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46" firstSheet="4" activeTab="8"/>
  </bookViews>
  <sheets>
    <sheet name="1" sheetId="16" r:id="rId1"/>
    <sheet name="портефль до погашения" sheetId="19" r:id="rId2"/>
    <sheet name="рейтинг В" sheetId="17" r:id="rId3"/>
    <sheet name="РейтPD" sheetId="20" r:id="rId4"/>
    <sheet name="FRED Graph - раз в квартал" sheetId="22" r:id="rId5"/>
    <sheet name="Справочник отрасли" sheetId="24" r:id="rId6"/>
    <sheet name="Инвест политика" sheetId="25" r:id="rId7"/>
    <sheet name="Справочник эшелоны акции" sheetId="27" r:id="rId8"/>
    <sheet name="Эшелоны результат" sheetId="28" r:id="rId9"/>
    <sheet name="для стресс-теста" sheetId="29" r:id="rId10"/>
    <sheet name="Для КУАП" sheetId="18" state="hidden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_DumProb">OFFSET([1]BetaSolver!$R$4,0,0,COUNTA([1]BetaSolver!$R$5:$R$1000),1)</definedName>
    <definedName name="_xlnm._FilterDatabase" localSheetId="10" hidden="1">'Для КУАП'!$A$2:$E$24</definedName>
    <definedName name="_xlnm._FilterDatabase" localSheetId="9" hidden="1">'для стресс-теста'!$A$22:$E$22</definedName>
    <definedName name="_xlnm._FilterDatabase" localSheetId="6" hidden="1">'Инвест политика'!$A$23:$V$120</definedName>
    <definedName name="_xlnm._FilterDatabase" localSheetId="1" hidden="1">'портефль до погашения'!$A$7:$K$78</definedName>
    <definedName name="_xlnm._FilterDatabase" localSheetId="3" hidden="1">РейтPD!#REF!</definedName>
    <definedName name="_xlnm._FilterDatabase" localSheetId="5" hidden="1">'Справочник отрасли'!$A$1:$D$56</definedName>
    <definedName name="_xlnm._FilterDatabase" localSheetId="7" hidden="1">'Справочник эшелоны акции'!$B$5:$C$5</definedName>
    <definedName name="a" localSheetId="3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>#REF!</definedName>
    <definedName name="acdr_avg_head" localSheetId="3">#REF!</definedName>
    <definedName name="acdr_avg_head">#REF!</definedName>
    <definedName name="acdr_cohort_annual_default" localSheetId="3">#REF!</definedName>
    <definedName name="acdr_cohort_annual_default">#REF!</definedName>
    <definedName name="acdr_cohort_cum_default" localSheetId="3">#REF!</definedName>
    <definedName name="acdr_cohort_cum_default">#REF!</definedName>
    <definedName name="acdr_cohort_name" localSheetId="3">#REF!</definedName>
    <definedName name="acdr_cohort_name">#REF!</definedName>
    <definedName name="acdr_cohort_year" localSheetId="3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>#REF!</definedName>
    <definedName name="b" localSheetId="3">#REF!</definedName>
    <definedName name="b">#REF!</definedName>
    <definedName name="BetaProb_">OFFSET([1]BetaSolver!$E$12,0,0,COUNTA([1]BetaSolver!$E$12:$E$1000),1)</definedName>
    <definedName name="ButtonGoto" localSheetId="3">РейтPD!ButtonGoto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>#REF!</definedName>
    <definedName name="Code_rang1">#REF!</definedName>
    <definedName name="Code_rang1_1">#REF!</definedName>
    <definedName name="Code_rang1_2">#REF!</definedName>
    <definedName name="Code_rang1_3">#REF!</definedName>
    <definedName name="Code_rang1_4">#REF!</definedName>
    <definedName name="Code_rang1_5">#REF!</definedName>
    <definedName name="Code_rang1_6">#REF!</definedName>
    <definedName name="Code_rang1_7">#REF!</definedName>
    <definedName name="Code_rang1_8">#REF!</definedName>
    <definedName name="Code_rang2">#REF!</definedName>
    <definedName name="Code_rang2_2">#REF!</definedName>
    <definedName name="Code_rang2_3">#REF!</definedName>
    <definedName name="Code_rang2_4">#REF!</definedName>
    <definedName name="Code_rang2_5">#REF!</definedName>
    <definedName name="Code_rang2_6">#REF!</definedName>
    <definedName name="Code_rang2_7">#REF!</definedName>
    <definedName name="Code_rang2_8">#REF!</definedName>
    <definedName name="Code_rang3">#REF!</definedName>
    <definedName name="Code_rang3_3">#REF!</definedName>
    <definedName name="Code_rang3_4">#REF!</definedName>
    <definedName name="Code_rang3_5">#REF!</definedName>
    <definedName name="Code_rang3_6">#REF!</definedName>
    <definedName name="Code_rang3_7">#REF!</definedName>
    <definedName name="Code_rang3_8">#REF!</definedName>
    <definedName name="Code_rang4">#REF!</definedName>
    <definedName name="Code_rang4_4">#REF!</definedName>
    <definedName name="Code_rang4_5">#REF!</definedName>
    <definedName name="Code_rang4_6">#REF!</definedName>
    <definedName name="Code_rang4_7">#REF!</definedName>
    <definedName name="Code_rang4_8">#REF!</definedName>
    <definedName name="Code_rang5">#REF!</definedName>
    <definedName name="Code_rang5_5">#REF!</definedName>
    <definedName name="Code_rang5_6">#REF!</definedName>
    <definedName name="Code_rang5_7">#REF!</definedName>
    <definedName name="Code_rang5_8">#REF!</definedName>
    <definedName name="Code_rang6">#REF!</definedName>
    <definedName name="Code_rang6_6">#REF!</definedName>
    <definedName name="Code_rang6_7">#REF!</definedName>
    <definedName name="Code_rang6_8">#REF!</definedName>
    <definedName name="Code_rang7">#REF!</definedName>
    <definedName name="Code_rang7_7">#REF!</definedName>
    <definedName name="Code_rang7_8">#REF!</definedName>
    <definedName name="Code_rang8">#REF!</definedName>
    <definedName name="Code_rang8_8">#REF!</definedName>
    <definedName name="CreditMetrixPropabilities" localSheetId="3">РейтPD!CreditMetrixPropabilities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>'[3]Letter Numerators'!#REF!</definedName>
    <definedName name="Day_cur_12">#REF!</definedName>
    <definedName name="Day_next_12">#REF!</definedName>
    <definedName name="Day_next_3">#REF!</definedName>
    <definedName name="Day_next_6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>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>#REF!</definedName>
    <definedName name="Family_DP_">'[1]Model Inputs'!$D$22</definedName>
    <definedName name="FamilyInDefault">'[1]Model Inputs'!$D$23</definedName>
    <definedName name="fgsdfgqfa">'[3]Letter Cumulative Default Rates'!#REF!</definedName>
    <definedName name="fil">#REF!</definedName>
    <definedName name="g" localSheetId="3">#REF!</definedName>
    <definedName name="g">#REF!</definedName>
    <definedName name="h" localSheetId="3">#REF!</definedName>
    <definedName name="h">#REF!</definedName>
    <definedName name="header" localSheetId="4">#REF!</definedName>
    <definedName name="header">#REF!</definedName>
    <definedName name="High">"High"</definedName>
    <definedName name="i">#REF!</definedName>
    <definedName name="Index" localSheetId="3">#REF!</definedName>
    <definedName name="Index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>#REF!</definedName>
    <definedName name="j" localSheetId="3">#REF!</definedName>
    <definedName name="j">#REF!</definedName>
    <definedName name="k" localSheetId="3">#REF!</definedName>
    <definedName name="k">#REF!</definedName>
    <definedName name="kl" localSheetId="3">'[3]Letter Numerators'!#REF!</definedName>
    <definedName name="kl">'[3]Letter Numerators'!#REF!</definedName>
    <definedName name="kv1_go_rang1">#REF!</definedName>
    <definedName name="kv1_go_rang2">#REF!</definedName>
    <definedName name="kv1_go_rang3">#REF!</definedName>
    <definedName name="kv1_go_rang4">#REF!</definedName>
    <definedName name="kv1_go_rang5">#REF!</definedName>
    <definedName name="kv1_go_rang6">#REF!</definedName>
    <definedName name="kv1_go_rang7">#REF!</definedName>
    <definedName name="kv1_go_rang8">#REF!</definedName>
    <definedName name="kv1_post_rang1">#REF!</definedName>
    <definedName name="kv1_post_rang2">#REF!</definedName>
    <definedName name="kv1_post_rang3">#REF!</definedName>
    <definedName name="kv1_post_rang4">#REF!</definedName>
    <definedName name="kv1_post_rang5">#REF!</definedName>
    <definedName name="kv1_post_rang6">#REF!</definedName>
    <definedName name="kv1_post_rang7">#REF!</definedName>
    <definedName name="kv1_post_rang8">#REF!</definedName>
    <definedName name="kv1_tp_rang1">#REF!</definedName>
    <definedName name="kv1_tp_rang2">#REF!</definedName>
    <definedName name="kv1_tp_rang3">#REF!</definedName>
    <definedName name="kv1_tp_rang4">#REF!</definedName>
    <definedName name="kv1_tp_rang5">#REF!</definedName>
    <definedName name="kv1_tp_rang6">#REF!</definedName>
    <definedName name="kv1_tp_rang7">#REF!</definedName>
    <definedName name="kv1_tp_rang8">#REF!</definedName>
    <definedName name="kv1_vrem_rang1">#REF!</definedName>
    <definedName name="kv1_vrem_rang2">#REF!</definedName>
    <definedName name="kv1_vrem_rang3">#REF!</definedName>
    <definedName name="kv1_vrem_rang4">#REF!</definedName>
    <definedName name="kv1_vrem_rang5">#REF!</definedName>
    <definedName name="kv1_vrem_rang6">#REF!</definedName>
    <definedName name="kv1_vrem_rang7">#REF!</definedName>
    <definedName name="kv1_vrem_rang8">#REF!</definedName>
    <definedName name="kv1_zel_rang1">#REF!</definedName>
    <definedName name="kv1_zel_rang2">#REF!</definedName>
    <definedName name="kv1_zel_rang3">#REF!</definedName>
    <definedName name="kv1_zel_rang4">#REF!</definedName>
    <definedName name="kv1_zel_rang5">#REF!</definedName>
    <definedName name="kv1_zel_rang6">#REF!</definedName>
    <definedName name="kv1_zel_rang7">#REF!</definedName>
    <definedName name="kv1_zel_rang8">#REF!</definedName>
    <definedName name="kv2_go_rang1">#REF!</definedName>
    <definedName name="kv2_go_rang2">#REF!</definedName>
    <definedName name="kv2_go_rang3">#REF!</definedName>
    <definedName name="kv2_go_rang4">#REF!</definedName>
    <definedName name="kv2_go_rang5">#REF!</definedName>
    <definedName name="kv2_go_rang6">#REF!</definedName>
    <definedName name="kv2_go_rang7">#REF!</definedName>
    <definedName name="kv2_go_rang8">#REF!</definedName>
    <definedName name="kv2_post_rang1">#REF!</definedName>
    <definedName name="kv2_post_rang2">#REF!</definedName>
    <definedName name="kv2_post_rang3">#REF!</definedName>
    <definedName name="kv2_post_rang4">#REF!</definedName>
    <definedName name="kv2_post_rang5">#REF!</definedName>
    <definedName name="kv2_post_rang6">#REF!</definedName>
    <definedName name="kv2_post_rang7">#REF!</definedName>
    <definedName name="kv2_post_rang8">#REF!</definedName>
    <definedName name="kv2_tp_rang1">#REF!</definedName>
    <definedName name="kv2_tp_rang2">#REF!</definedName>
    <definedName name="kv2_tp_rang3">#REF!</definedName>
    <definedName name="kv2_tp_rang4">#REF!</definedName>
    <definedName name="kv2_tp_rang5">#REF!</definedName>
    <definedName name="kv2_tp_rang6">#REF!</definedName>
    <definedName name="kv2_tp_rang7">#REF!</definedName>
    <definedName name="kv2_tp_rang8">#REF!</definedName>
    <definedName name="kv2_vrem_rang1">#REF!</definedName>
    <definedName name="kv2_vrem_rang2">#REF!</definedName>
    <definedName name="kv2_vrem_rang3">#REF!</definedName>
    <definedName name="kv2_vrem_rang4">#REF!</definedName>
    <definedName name="kv2_vrem_rang5">#REF!</definedName>
    <definedName name="kv2_vrem_rang6">#REF!</definedName>
    <definedName name="kv2_vrem_rang7">#REF!</definedName>
    <definedName name="kv2_vrem_rang8">#REF!</definedName>
    <definedName name="kv2_zel_rang1">#REF!</definedName>
    <definedName name="kv2_zel_rang2">#REF!</definedName>
    <definedName name="kv2_zel_rang3">#REF!</definedName>
    <definedName name="kv2_zel_rang4">#REF!</definedName>
    <definedName name="kv2_zel_rang5">#REF!</definedName>
    <definedName name="kv2_zel_rang6">#REF!</definedName>
    <definedName name="kv2_zel_rang7">#REF!</definedName>
    <definedName name="kv2_zel_rang8">#REF!</definedName>
    <definedName name="kv3_go_rang1">#REF!</definedName>
    <definedName name="kv3_go_rang2">#REF!</definedName>
    <definedName name="kv3_go_rang3">#REF!</definedName>
    <definedName name="kv3_go_rang4">#REF!</definedName>
    <definedName name="kv3_go_rang5">#REF!</definedName>
    <definedName name="kv3_go_rang6">#REF!</definedName>
    <definedName name="kv3_go_rang7">#REF!</definedName>
    <definedName name="kv3_go_rang8">#REF!</definedName>
    <definedName name="kv3_post_rang1">#REF!</definedName>
    <definedName name="kv3_post_rang2">#REF!</definedName>
    <definedName name="kv3_post_rang3">#REF!</definedName>
    <definedName name="kv3_post_rang4">#REF!</definedName>
    <definedName name="kv3_post_rang5">#REF!</definedName>
    <definedName name="kv3_post_rang6">#REF!</definedName>
    <definedName name="kv3_post_rang7">#REF!</definedName>
    <definedName name="kv3_post_rang8">#REF!</definedName>
    <definedName name="kv3_tp_rang1">#REF!</definedName>
    <definedName name="kv3_tp_rang2">#REF!</definedName>
    <definedName name="kv3_tp_rang3">#REF!</definedName>
    <definedName name="kv3_tp_rang4">#REF!</definedName>
    <definedName name="kv3_tp_rang5">#REF!</definedName>
    <definedName name="kv3_tp_rang6">#REF!</definedName>
    <definedName name="kv3_tp_rang7">#REF!</definedName>
    <definedName name="kv3_tp_rang8">#REF!</definedName>
    <definedName name="kv3_vrem_rang1">#REF!</definedName>
    <definedName name="kv3_vrem_rang2">#REF!</definedName>
    <definedName name="kv3_vrem_rang3">#REF!</definedName>
    <definedName name="kv3_vrem_rang4">#REF!</definedName>
    <definedName name="kv3_vrem_rang5">#REF!</definedName>
    <definedName name="kv3_vrem_rang6">#REF!</definedName>
    <definedName name="kv3_vrem_rang7">#REF!</definedName>
    <definedName name="kv3_vrem_rang8">#REF!</definedName>
    <definedName name="kv3_zel_rang1">#REF!</definedName>
    <definedName name="kv3_zel_rang2">#REF!</definedName>
    <definedName name="kv3_zel_rang3">#REF!</definedName>
    <definedName name="kv3_zel_rang4">#REF!</definedName>
    <definedName name="kv3_zel_rang5">#REF!</definedName>
    <definedName name="kv3_zel_rang6">#REF!</definedName>
    <definedName name="kv3_zel_rang7">#REF!</definedName>
    <definedName name="kv3_zel_rang8">#REF!</definedName>
    <definedName name="kv4_go_rang1">#REF!</definedName>
    <definedName name="kv4_go_rang2">#REF!</definedName>
    <definedName name="kv4_go_rang3">#REF!</definedName>
    <definedName name="kv4_go_rang4">#REF!</definedName>
    <definedName name="kv4_go_rang5">#REF!</definedName>
    <definedName name="kv4_go_rang6">#REF!</definedName>
    <definedName name="kv4_go_rang7">#REF!</definedName>
    <definedName name="kv4_go_rang8">#REF!</definedName>
    <definedName name="kv4_post_rang1">#REF!</definedName>
    <definedName name="kv4_post_rang2">#REF!</definedName>
    <definedName name="kv4_post_rang3">#REF!</definedName>
    <definedName name="kv4_post_rang4">#REF!</definedName>
    <definedName name="kv4_post_rang5">#REF!</definedName>
    <definedName name="kv4_post_rang6">#REF!</definedName>
    <definedName name="kv4_post_rang7">#REF!</definedName>
    <definedName name="kv4_post_rang8">#REF!</definedName>
    <definedName name="kv4_tp_rang1">#REF!</definedName>
    <definedName name="kv4_tp_rang2">#REF!</definedName>
    <definedName name="kv4_tp_rang3">#REF!</definedName>
    <definedName name="kv4_tp_rang4">#REF!</definedName>
    <definedName name="kv4_tp_rang5">#REF!</definedName>
    <definedName name="kv4_tp_rang6">#REF!</definedName>
    <definedName name="kv4_tp_rang7">#REF!</definedName>
    <definedName name="kv4_tp_rang8">#REF!</definedName>
    <definedName name="kv4_vrem_rang1">#REF!</definedName>
    <definedName name="kv4_vrem_rang2">#REF!</definedName>
    <definedName name="kv4_vrem_rang3">#REF!</definedName>
    <definedName name="kv4_vrem_rang4">#REF!</definedName>
    <definedName name="kv4_vrem_rang5">#REF!</definedName>
    <definedName name="kv4_vrem_rang6">#REF!</definedName>
    <definedName name="kv4_vrem_rang7">#REF!</definedName>
    <definedName name="kv4_vrem_rang8">#REF!</definedName>
    <definedName name="kv4_zel_rang1">#REF!</definedName>
    <definedName name="kv4_zel_rang2">#REF!</definedName>
    <definedName name="kv4_zel_rang3">#REF!</definedName>
    <definedName name="kv4_zel_rang4">#REF!</definedName>
    <definedName name="kv4_zel_rang5">#REF!</definedName>
    <definedName name="kv4_zel_rang6">#REF!</definedName>
    <definedName name="kv4_zel_rang7">#REF!</definedName>
    <definedName name="kv4_zel_rang8">#REF!</definedName>
    <definedName name="l" localSheetId="3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>#REF!</definedName>
    <definedName name="line_rang1_1">#REF!</definedName>
    <definedName name="line_rang1_2">#REF!</definedName>
    <definedName name="line_rang1_3">#REF!</definedName>
    <definedName name="line_rang1_4">#REF!</definedName>
    <definedName name="line_rang1_5">#REF!</definedName>
    <definedName name="line_rang1_6">#REF!</definedName>
    <definedName name="line_rang1_7">#REF!</definedName>
    <definedName name="line_rang1_8">#REF!</definedName>
    <definedName name="line_rang2">#REF!</definedName>
    <definedName name="line_rang2_2">#REF!</definedName>
    <definedName name="line_rang2_3">#REF!</definedName>
    <definedName name="line_rang2_4">#REF!</definedName>
    <definedName name="line_rang2_5">#REF!</definedName>
    <definedName name="line_rang2_6">#REF!</definedName>
    <definedName name="line_rang2_7">#REF!</definedName>
    <definedName name="line_rang2_8">#REF!</definedName>
    <definedName name="line_rang3">#REF!</definedName>
    <definedName name="line_rang3_3">#REF!</definedName>
    <definedName name="line_rang3_4">#REF!</definedName>
    <definedName name="line_rang3_5">#REF!</definedName>
    <definedName name="line_rang3_6">#REF!</definedName>
    <definedName name="line_rang3_7">#REF!</definedName>
    <definedName name="line_rang3_8">#REF!</definedName>
    <definedName name="line_rang4">#REF!</definedName>
    <definedName name="line_rang4_4">#REF!</definedName>
    <definedName name="line_rang4_5">#REF!</definedName>
    <definedName name="line_rang4_6">#REF!</definedName>
    <definedName name="line_rang4_7">#REF!</definedName>
    <definedName name="line_rang4_8">#REF!</definedName>
    <definedName name="line_rang5">#REF!</definedName>
    <definedName name="line_rang5_5">#REF!</definedName>
    <definedName name="line_rang5_6">#REF!</definedName>
    <definedName name="line_rang5_7">#REF!</definedName>
    <definedName name="line_rang5_8">#REF!</definedName>
    <definedName name="line_rang6">#REF!</definedName>
    <definedName name="line_rang6_6">#REF!</definedName>
    <definedName name="line_rang6_7">#REF!</definedName>
    <definedName name="line_rang6_8">#REF!</definedName>
    <definedName name="line_rang7">#REF!</definedName>
    <definedName name="line_rang7_7">#REF!</definedName>
    <definedName name="line_rang7_8">#REF!</definedName>
    <definedName name="line_rang8">#REF!</definedName>
    <definedName name="line_rang8_8">#REF!</definedName>
    <definedName name="Linking_1" localSheetId="3">#REF!</definedName>
    <definedName name="Linking_1">#REF!</definedName>
    <definedName name="Linking_10" localSheetId="3">#REF!</definedName>
    <definedName name="Linking_10">#REF!</definedName>
    <definedName name="Linking_2" localSheetId="3">#REF!</definedName>
    <definedName name="Linking_2">#REF!</definedName>
    <definedName name="Linking_20" localSheetId="3">#REF!</definedName>
    <definedName name="Linking_20">#REF!</definedName>
    <definedName name="Linking_3" localSheetId="3">#REF!</definedName>
    <definedName name="Linking_3">#REF!</definedName>
    <definedName name="Linking_35" localSheetId="3">#REF!</definedName>
    <definedName name="Linking_35">#REF!</definedName>
    <definedName name="Linking_4" localSheetId="3">#REF!</definedName>
    <definedName name="Linking_4">#REF!</definedName>
    <definedName name="Linking_40" localSheetId="3">'[4]V-46'!#REF!</definedName>
    <definedName name="Linking_40">'[4]V-46'!#REF!</definedName>
    <definedName name="Linking_5" localSheetId="3">#REF!</definedName>
    <definedName name="Linking_5">#REF!</definedName>
    <definedName name="Linking_6" localSheetId="3">#REF!</definedName>
    <definedName name="Linking_6">#REF!</definedName>
    <definedName name="Linking_7" localSheetId="3">#REF!</definedName>
    <definedName name="Linking_7">#REF!</definedName>
    <definedName name="Linking_8" localSheetId="3">#REF!</definedName>
    <definedName name="Linking_8">#REF!</definedName>
    <definedName name="Linking_9" localSheetId="3">#REF!</definedName>
    <definedName name="Linking_9">#REF!</definedName>
    <definedName name="Linking_ExampleTable1_Copy" localSheetId="3">#REF!</definedName>
    <definedName name="Linking_ExampleTable1_Copy">#REF!</definedName>
    <definedName name="Linking_ExampleTable1_CopyRect" localSheetId="3">#REF!</definedName>
    <definedName name="Linking_ExampleTable1_CopyRect">#REF!</definedName>
    <definedName name="Linking_ExampleTable10_Copy" localSheetId="3">#REF!</definedName>
    <definedName name="Linking_ExampleTable10_Copy">#REF!</definedName>
    <definedName name="Linking_ExampleTable10_CopyRect" localSheetId="3">#REF!</definedName>
    <definedName name="Linking_ExampleTable10_CopyRect">#REF!</definedName>
    <definedName name="Linking_ExampleTable11_Copy" localSheetId="3">#REF!</definedName>
    <definedName name="Linking_ExampleTable11_Copy">#REF!</definedName>
    <definedName name="Linking_ExampleTable11_CopyRect" localSheetId="3">#REF!</definedName>
    <definedName name="Linking_ExampleTable11_CopyRect">#REF!</definedName>
    <definedName name="Linking_ExampleTable12_Copy" localSheetId="3">#REF!</definedName>
    <definedName name="Linking_ExampleTable12_Copy">#REF!</definedName>
    <definedName name="Linking_ExampleTable12_CopyRect" localSheetId="3">#REF!</definedName>
    <definedName name="Linking_ExampleTable12_CopyRect">#REF!</definedName>
    <definedName name="Linking_ExampleTable13_Copy" localSheetId="3">#REF!</definedName>
    <definedName name="Linking_ExampleTable13_Copy">#REF!</definedName>
    <definedName name="Linking_ExampleTable13_CopyRect" localSheetId="3">#REF!</definedName>
    <definedName name="Linking_ExampleTable13_CopyRect">#REF!</definedName>
    <definedName name="Linking_ExampleTable14_Copy" localSheetId="3">#REF!</definedName>
    <definedName name="Linking_ExampleTable14_Copy">#REF!</definedName>
    <definedName name="Linking_ExampleTable14_CopyRect" localSheetId="3">#REF!</definedName>
    <definedName name="Linking_ExampleTable14_CopyRect">#REF!</definedName>
    <definedName name="Linking_ExampleTable15_Copy" localSheetId="3">#REF!</definedName>
    <definedName name="Linking_ExampleTable15_Copy">#REF!</definedName>
    <definedName name="Linking_ExampleTable15_CopyRect" localSheetId="3">#REF!</definedName>
    <definedName name="Linking_ExampleTable15_CopyRect">#REF!</definedName>
    <definedName name="Linking_ExampleTable16_Copy" localSheetId="3">#REF!</definedName>
    <definedName name="Linking_ExampleTable16_Copy">#REF!</definedName>
    <definedName name="Linking_ExampleTable16_CopyRect" localSheetId="3">#REF!</definedName>
    <definedName name="Linking_ExampleTable16_CopyRect">#REF!</definedName>
    <definedName name="Linking_ExampleTable17_Copy" localSheetId="3">#REF!</definedName>
    <definedName name="Linking_ExampleTable17_Copy">#REF!</definedName>
    <definedName name="Linking_ExampleTable17_CopyRect" localSheetId="3">#REF!</definedName>
    <definedName name="Linking_ExampleTable17_CopyRect">#REF!</definedName>
    <definedName name="Linking_ExampleTable18_Copy" localSheetId="3">#REF!</definedName>
    <definedName name="Linking_ExampleTable18_Copy">#REF!</definedName>
    <definedName name="Linking_ExampleTable18_CopyRect" localSheetId="3">#REF!</definedName>
    <definedName name="Linking_ExampleTable18_CopyRect">#REF!</definedName>
    <definedName name="Linking_ExampleTable19_Copy" localSheetId="3">#REF!</definedName>
    <definedName name="Linking_ExampleTable19_Copy">#REF!</definedName>
    <definedName name="Linking_ExampleTable19_CopyRect" localSheetId="3">#REF!</definedName>
    <definedName name="Linking_ExampleTable19_CopyRect">#REF!</definedName>
    <definedName name="Linking_ExampleTable2_Copy" localSheetId="3">#REF!</definedName>
    <definedName name="Linking_ExampleTable2_Copy">#REF!</definedName>
    <definedName name="Linking_ExampleTable2_CopyRect" localSheetId="3">#REF!</definedName>
    <definedName name="Linking_ExampleTable2_CopyRect">#REF!</definedName>
    <definedName name="Linking_ExampleTable20_Copy" localSheetId="3">#REF!</definedName>
    <definedName name="Linking_ExampleTable20_Copy">#REF!</definedName>
    <definedName name="Linking_ExampleTable20_CopyRect" localSheetId="3">#REF!</definedName>
    <definedName name="Linking_ExampleTable20_CopyRect">#REF!</definedName>
    <definedName name="Linking_ExampleTable21_Copy" localSheetId="3">#REF!</definedName>
    <definedName name="Linking_ExampleTable21_Copy">#REF!</definedName>
    <definedName name="Linking_ExampleTable21_CopyRect" localSheetId="3">#REF!</definedName>
    <definedName name="Linking_ExampleTable21_CopyRect">#REF!</definedName>
    <definedName name="Linking_ExampleTable22_Copy" localSheetId="3">#REF!</definedName>
    <definedName name="Linking_ExampleTable22_Copy">#REF!</definedName>
    <definedName name="Linking_ExampleTable22_CopyRect" localSheetId="3">#REF!</definedName>
    <definedName name="Linking_ExampleTable22_CopyRect">#REF!</definedName>
    <definedName name="Linking_ExampleTable23_Copy" localSheetId="3">#REF!</definedName>
    <definedName name="Linking_ExampleTable23_Copy">#REF!</definedName>
    <definedName name="Linking_ExampleTable23_CopyRect" localSheetId="3">#REF!</definedName>
    <definedName name="Linking_ExampleTable23_CopyRect">#REF!</definedName>
    <definedName name="Linking_ExampleTable24_Copy" localSheetId="3">#REF!</definedName>
    <definedName name="Linking_ExampleTable24_Copy">#REF!</definedName>
    <definedName name="Linking_ExampleTable24_CopyRect" localSheetId="3">#REF!</definedName>
    <definedName name="Linking_ExampleTable24_CopyRect">#REF!</definedName>
    <definedName name="Linking_ExampleTable25_Copy" localSheetId="3">#REF!</definedName>
    <definedName name="Linking_ExampleTable25_Copy">#REF!</definedName>
    <definedName name="Linking_ExampleTable25_CopyRect" localSheetId="3">#REF!</definedName>
    <definedName name="Linking_ExampleTable25_CopyRect">#REF!</definedName>
    <definedName name="Linking_ExampleTable26_Copy" localSheetId="3">#REF!</definedName>
    <definedName name="Linking_ExampleTable26_Copy">#REF!</definedName>
    <definedName name="Linking_ExampleTable26_CopyRect" localSheetId="3">#REF!</definedName>
    <definedName name="Linking_ExampleTable26_CopyRect">#REF!</definedName>
    <definedName name="Linking_ExampleTable27_Copy" localSheetId="3">#REF!</definedName>
    <definedName name="Linking_ExampleTable27_Copy">#REF!</definedName>
    <definedName name="Linking_ExampleTable27_CopyRect" localSheetId="3">#REF!</definedName>
    <definedName name="Linking_ExampleTable27_CopyRect">#REF!</definedName>
    <definedName name="Linking_ExampleTable28_Copy" localSheetId="3">#REF!</definedName>
    <definedName name="Linking_ExampleTable28_Copy">#REF!</definedName>
    <definedName name="Linking_ExampleTable28_CopyRect" localSheetId="3">#REF!</definedName>
    <definedName name="Linking_ExampleTable28_CopyRect">#REF!</definedName>
    <definedName name="Linking_ExampleTable29_Copy" localSheetId="3">#REF!</definedName>
    <definedName name="Linking_ExampleTable29_Copy">#REF!</definedName>
    <definedName name="Linking_ExampleTable29_CopyRect" localSheetId="3">#REF!</definedName>
    <definedName name="Linking_ExampleTable29_CopyRect">#REF!</definedName>
    <definedName name="Linking_ExampleTable3_Copy" localSheetId="3">#REF!</definedName>
    <definedName name="Linking_ExampleTable3_Copy">#REF!</definedName>
    <definedName name="Linking_ExampleTable3_Copy54" localSheetId="3">#REF!</definedName>
    <definedName name="Linking_ExampleTable3_Copy54">#REF!</definedName>
    <definedName name="Linking_ExampleTable3_CopyRect" localSheetId="3">#REF!</definedName>
    <definedName name="Linking_ExampleTable3_CopyRect">#REF!</definedName>
    <definedName name="Linking_ExampleTable30_Copy" localSheetId="3">#REF!</definedName>
    <definedName name="Linking_ExampleTable30_Copy">#REF!</definedName>
    <definedName name="Linking_ExampleTable30_CopyRect" localSheetId="3">#REF!</definedName>
    <definedName name="Linking_ExampleTable30_CopyRect">#REF!</definedName>
    <definedName name="Linking_ExampleTable31_Copy" localSheetId="3">#REF!</definedName>
    <definedName name="Linking_ExampleTable31_Copy">#REF!</definedName>
    <definedName name="Linking_ExampleTable31_CopyRect" localSheetId="3">#REF!</definedName>
    <definedName name="Linking_ExampleTable31_CopyRect">#REF!</definedName>
    <definedName name="Linking_ExampleTable32_Copy" localSheetId="3">#REF!</definedName>
    <definedName name="Linking_ExampleTable32_Copy">#REF!</definedName>
    <definedName name="Linking_ExampleTable32_CopyRect" localSheetId="3">#REF!</definedName>
    <definedName name="Linking_ExampleTable32_CopyRect">#REF!</definedName>
    <definedName name="Linking_ExampleTable33_Copy" localSheetId="3">#REF!</definedName>
    <definedName name="Linking_ExampleTable33_Copy">#REF!</definedName>
    <definedName name="Linking_ExampleTable33_CopyRect" localSheetId="3">#REF!</definedName>
    <definedName name="Linking_ExampleTable33_CopyRect">#REF!</definedName>
    <definedName name="Linking_ExampleTable34_Copy" localSheetId="3">#REF!</definedName>
    <definedName name="Linking_ExampleTable34_Copy">#REF!</definedName>
    <definedName name="Linking_ExampleTable34_CopyRect" localSheetId="3">#REF!</definedName>
    <definedName name="Linking_ExampleTable34_CopyRect">#REF!</definedName>
    <definedName name="Linking_ExampleTable35_Copy" localSheetId="3">#REF!</definedName>
    <definedName name="Linking_ExampleTable35_Copy">#REF!</definedName>
    <definedName name="Linking_ExampleTable35_CopyRect" localSheetId="3">#REF!</definedName>
    <definedName name="Linking_ExampleTable35_CopyRect">#REF!</definedName>
    <definedName name="Linking_ExampleTable36_Copy" localSheetId="3">#REF!</definedName>
    <definedName name="Linking_ExampleTable36_Copy">#REF!</definedName>
    <definedName name="Linking_ExampleTable36_CopyRect" localSheetId="3">#REF!</definedName>
    <definedName name="Linking_ExampleTable36_CopyRect">#REF!</definedName>
    <definedName name="Linking_ExampleTable4_Copy" localSheetId="3">#REF!</definedName>
    <definedName name="Linking_ExampleTable4_Copy">#REF!</definedName>
    <definedName name="Linking_ExampleTable4_CopyRect" localSheetId="3">#REF!</definedName>
    <definedName name="Linking_ExampleTable4_CopyRect">#REF!</definedName>
    <definedName name="Linking_ExampleTable5_Copy" localSheetId="3">#REF!</definedName>
    <definedName name="Linking_ExampleTable5_Copy">#REF!</definedName>
    <definedName name="Linking_ExampleTable5_CopyRect" localSheetId="3">#REF!</definedName>
    <definedName name="Linking_ExampleTable5_CopyRect">#REF!</definedName>
    <definedName name="Linking_ExampleTable6_Copy" localSheetId="3">#REF!</definedName>
    <definedName name="Linking_ExampleTable6_Copy">#REF!</definedName>
    <definedName name="Linking_ExampleTable6_CopyRect" localSheetId="3">#REF!</definedName>
    <definedName name="Linking_ExampleTable6_CopyRect">#REF!</definedName>
    <definedName name="Linking_ExampleTable7_Copy" localSheetId="3">#REF!</definedName>
    <definedName name="Linking_ExampleTable7_Copy">#REF!</definedName>
    <definedName name="Linking_ExampleTable7_CopyRect" localSheetId="3">#REF!</definedName>
    <definedName name="Linking_ExampleTable7_CopyRect">#REF!</definedName>
    <definedName name="Linking_ExampleTable8_Copy" localSheetId="3">#REF!</definedName>
    <definedName name="Linking_ExampleTable8_Copy">#REF!</definedName>
    <definedName name="Linking_ExampleTable8_CopyRect" localSheetId="3">#REF!</definedName>
    <definedName name="Linking_ExampleTable8_CopyRect">#REF!</definedName>
    <definedName name="Linking_ExampleTable9_Copy" localSheetId="3">#REF!</definedName>
    <definedName name="Linking_ExampleTable9_Copy">#REF!</definedName>
    <definedName name="Linking_ExampleTable9_CopyRect" localSheetId="3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>#REF!</definedName>
    <definedName name="m_CohortDate" localSheetId="3">#REF!</definedName>
    <definedName name="m_CohortDate">#REF!</definedName>
    <definedName name="m_ColRef" localSheetId="3">#REF!</definedName>
    <definedName name="m_ColRef">#REF!</definedName>
    <definedName name="m_ColRef1" localSheetId="3">#REF!</definedName>
    <definedName name="m_ColRef1">#REF!</definedName>
    <definedName name="m_CriteriaField" localSheetId="3">#REF!</definedName>
    <definedName name="m_CriteriaField">#REF!</definedName>
    <definedName name="M_DataStartPoint1" localSheetId="3">#REF!</definedName>
    <definedName name="M_DataStartPoint1">#REF!</definedName>
    <definedName name="M_DataStartPoint2" localSheetId="3">#REF!</definedName>
    <definedName name="M_DataStartPoint2">#REF!</definedName>
    <definedName name="m_Destination1" localSheetId="3">'[3]Letter Denominators'!#REF!</definedName>
    <definedName name="m_Destination1">'[3]Letter Denominators'!#REF!</definedName>
    <definedName name="m_Destination2" localSheetId="3">'[3]Letter Numerators'!#REF!</definedName>
    <definedName name="m_Destination2">'[3]Letter Numerators'!#REF!</definedName>
    <definedName name="m_Destination3" localSheetId="3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>'[3]Letter Cumulative Default Rates'!#REF!</definedName>
    <definedName name="m_Destination5" localSheetId="3">#REF!</definedName>
    <definedName name="m_Destination5">#REF!</definedName>
    <definedName name="m_ExtractofIntervals" localSheetId="3">#REF!</definedName>
    <definedName name="m_ExtractofIntervals">#REF!</definedName>
    <definedName name="m_Fill1" localSheetId="3">#REF!</definedName>
    <definedName name="m_Fill1">#REF!</definedName>
    <definedName name="m_Fill2" localSheetId="3">#REF!</definedName>
    <definedName name="m_Fill2">#REF!</definedName>
    <definedName name="m_Fill3" localSheetId="3">#REF!</definedName>
    <definedName name="m_Fill3">#REF!</definedName>
    <definedName name="m_Fill4" localSheetId="3">#REF!</definedName>
    <definedName name="m_Fill4">#REF!</definedName>
    <definedName name="m_Fill5" localSheetId="3">#REF!</definedName>
    <definedName name="m_Fill5">#REF!</definedName>
    <definedName name="m_FirstDate">[3]wParm!$C$24</definedName>
    <definedName name="m_FromRange" localSheetId="3">#REF!</definedName>
    <definedName name="m_FromRange">#REF!</definedName>
    <definedName name="m_FromRange1" localSheetId="3">#REF!</definedName>
    <definedName name="m_FromRange1">#REF!</definedName>
    <definedName name="m_IntervalRecords" localSheetId="3">#REF!</definedName>
    <definedName name="m_IntervalRecords">#REF!</definedName>
    <definedName name="m_IntervalRecords1" localSheetId="3">#REF!</definedName>
    <definedName name="m_IntervalRecords1">#REF!</definedName>
    <definedName name="m_LastDate">[3]wParm!$C$25</definedName>
    <definedName name="M_QueryData_1" localSheetId="3">#REF!</definedName>
    <definedName name="M_QueryData_1">#REF!</definedName>
    <definedName name="M_QueryData_2" localSheetId="3">#REF!</definedName>
    <definedName name="M_QueryData_2">#REF!</definedName>
    <definedName name="m_RatingScale" localSheetId="3">#REF!</definedName>
    <definedName name="m_RatingScale">#REF!</definedName>
    <definedName name="m_RowRef" localSheetId="3">#REF!</definedName>
    <definedName name="m_RowRef">#REF!</definedName>
    <definedName name="m_RowRef1" localSheetId="3">#REF!</definedName>
    <definedName name="m_RowRef1">#REF!</definedName>
    <definedName name="m_SortedSquareDes" localSheetId="3">#REF!</definedName>
    <definedName name="m_SortedSquareDes">#REF!</definedName>
    <definedName name="m_SortedSquareDes1" localSheetId="3">#REF!</definedName>
    <definedName name="m_SortedSquareDes1">#REF!</definedName>
    <definedName name="m_Source1" localSheetId="3">#REF!</definedName>
    <definedName name="m_Source1">#REF!</definedName>
    <definedName name="m_Source10" localSheetId="3">'[3]Alpha Num Marginal Def Rate'!#REF!</definedName>
    <definedName name="m_Source10">'[3]Alpha Num Marginal Def Rate'!#REF!</definedName>
    <definedName name="m_Source11" localSheetId="3">'[3]Alpha Num Cumulative  DR'!#REF!</definedName>
    <definedName name="m_Source11">'[3]Alpha Num Cumulative  DR'!#REF!</definedName>
    <definedName name="m_Source12" localSheetId="3">#REF!</definedName>
    <definedName name="m_Source12">#REF!</definedName>
    <definedName name="m_Source2" localSheetId="3">'[3]Letter Numerators'!#REF!</definedName>
    <definedName name="m_Source2">'[3]Letter Numerators'!#REF!</definedName>
    <definedName name="m_Source3" localSheetId="3">'[3]Letter Denominators'!#REF!</definedName>
    <definedName name="m_Source3">'[3]Letter Denominators'!#REF!</definedName>
    <definedName name="m_Source4" localSheetId="3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>'[3]Letter Cumulative Default Rates'!#REF!</definedName>
    <definedName name="m_Source6" localSheetId="3">#REF!</definedName>
    <definedName name="m_Source6">#REF!</definedName>
    <definedName name="m_Source7" localSheetId="3">#REF!</definedName>
    <definedName name="m_Source7">#REF!</definedName>
    <definedName name="m_Source8" localSheetId="3">'[5]Alpha Numeric Numerators'!#REF!</definedName>
    <definedName name="m_Source8">'[5]Alpha Numeric Numerators'!#REF!</definedName>
    <definedName name="m_Source9" localSheetId="3">'[3]Alpha Numeric Denominators'!#REF!</definedName>
    <definedName name="m_Source9">'[3]Alpha Numeric Denominators'!#REF!</definedName>
    <definedName name="m_SquaredRange" localSheetId="3">#REF!</definedName>
    <definedName name="m_SquaredRange">#REF!</definedName>
    <definedName name="m_SquaredRange1" localSheetId="3">#REF!</definedName>
    <definedName name="m_SquaredRange1">#REF!</definedName>
    <definedName name="m_SquareRef" localSheetId="3">#REF!</definedName>
    <definedName name="m_SquareRef">#REF!</definedName>
    <definedName name="m_SummAlpha_1" localSheetId="3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>'[3]Alpha Numeric WACD Rates'!#REF!</definedName>
    <definedName name="m_SummLett_1" localSheetId="3">'[3]Letter WACD Rates'!#REF!</definedName>
    <definedName name="m_SummLett_1">'[3]Letter WACD Rates'!#REF!</definedName>
    <definedName name="m_SummLett_2" localSheetId="3">'[3]Letter WACD Rates'!#REF!</definedName>
    <definedName name="m_SummLett_2">'[3]Letter WACD Rates'!#REF!</definedName>
    <definedName name="m_ToRange" localSheetId="3">#REF!</definedName>
    <definedName name="m_ToRange">#REF!</definedName>
    <definedName name="mANDefaultRate" localSheetId="3">#REF!</definedName>
    <definedName name="mANDefaultRate">#REF!</definedName>
    <definedName name="MassiveLookup">'[1]StabilityBands-4Yr'!$M$2:$AA$23</definedName>
    <definedName name="mDefaultRate" localSheetId="3">#REF!</definedName>
    <definedName name="mDefaultRate">#REF!</definedName>
    <definedName name="mDemoninator" localSheetId="3">#REF!</definedName>
    <definedName name="mDemoninator">#REF!</definedName>
    <definedName name="mDenominator" localSheetId="3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>#REF!</definedName>
    <definedName name="name">#REF!</definedName>
    <definedName name="Name_rang1">#REF!</definedName>
    <definedName name="Name_rang1_1">#REF!</definedName>
    <definedName name="Name_rang1_2">#REF!</definedName>
    <definedName name="Name_rang1_3">#REF!</definedName>
    <definedName name="Name_rang1_4">#REF!</definedName>
    <definedName name="Name_rang1_5">#REF!</definedName>
    <definedName name="Name_rang1_6">#REF!</definedName>
    <definedName name="Name_rang1_7">#REF!</definedName>
    <definedName name="Name_rang1_8">#REF!</definedName>
    <definedName name="Name_rang2">#REF!</definedName>
    <definedName name="Name_rang2_2">#REF!</definedName>
    <definedName name="Name_rang2_3">#REF!</definedName>
    <definedName name="Name_rang2_4">#REF!</definedName>
    <definedName name="Name_rang2_5">#REF!</definedName>
    <definedName name="Name_rang2_6">#REF!</definedName>
    <definedName name="Name_rang2_7">#REF!</definedName>
    <definedName name="Name_rang2_8">#REF!</definedName>
    <definedName name="Name_rang3">#REF!</definedName>
    <definedName name="Name_rang3_3">#REF!</definedName>
    <definedName name="Name_rang3_4">#REF!</definedName>
    <definedName name="Name_rang3_5">#REF!</definedName>
    <definedName name="Name_rang3_6">#REF!</definedName>
    <definedName name="Name_rang3_7">#REF!</definedName>
    <definedName name="Name_rang3_8">#REF!</definedName>
    <definedName name="Name_rang4">#REF!</definedName>
    <definedName name="Name_rang4_4">#REF!</definedName>
    <definedName name="Name_rang4_5">#REF!</definedName>
    <definedName name="Name_rang4_6">#REF!</definedName>
    <definedName name="Name_rang4_7">#REF!</definedName>
    <definedName name="Name_rang4_8">#REF!</definedName>
    <definedName name="Name_rang5">#REF!</definedName>
    <definedName name="Name_rang5_5">#REF!</definedName>
    <definedName name="Name_rang5_6">#REF!</definedName>
    <definedName name="Name_rang5_7">#REF!</definedName>
    <definedName name="Name_rang5_8">#REF!</definedName>
    <definedName name="Name_rang6">#REF!</definedName>
    <definedName name="Name_rang6_6">#REF!</definedName>
    <definedName name="Name_rang6_7">#REF!</definedName>
    <definedName name="Name_rang6_8">#REF!</definedName>
    <definedName name="Name_rang7">#REF!</definedName>
    <definedName name="Name_rang7_7">#REF!</definedName>
    <definedName name="Name_rang7_8">#REF!</definedName>
    <definedName name="Name_rang8">#REF!</definedName>
    <definedName name="Name_rang8_8">#REF!</definedName>
    <definedName name="No">[1]Buffer!$B$5</definedName>
    <definedName name="num">#REF!</definedName>
    <definedName name="o" localSheetId="3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>#REF!</definedName>
    <definedName name="Oper_name_rang2">#REF!</definedName>
    <definedName name="Oper_name_rang3">#REF!</definedName>
    <definedName name="Oper_name_rang4">#REF!</definedName>
    <definedName name="Oper_name_rang5">#REF!</definedName>
    <definedName name="Oper_name_rang6">#REF!</definedName>
    <definedName name="Oper_name_rang7">#REF!</definedName>
    <definedName name="Oper_name_rang8">#REF!</definedName>
    <definedName name="OrigELs">'[1]StabilityBands-4Yr'!$A$5:$B$26</definedName>
    <definedName name="ou" localSheetId="3">РейтPD!ou</definedName>
    <definedName name="ou">[0]!ou</definedName>
    <definedName name="OverrideFactor">[1]Lookups!$M$91</definedName>
    <definedName name="OverrideValue">[1]Buffer!$T$2:$T$4</definedName>
    <definedName name="owner_1">#REF!</definedName>
    <definedName name="owner_2">#REF!</definedName>
    <definedName name="owner_3">#REF!</definedName>
    <definedName name="owner_4">#REF!</definedName>
    <definedName name="owner_5">#REF!</definedName>
    <definedName name="owner_6">#REF!</definedName>
    <definedName name="owner_7">#REF!</definedName>
    <definedName name="owner_8">#REF!</definedName>
    <definedName name="p" localSheetId="3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>#REF!</definedName>
    <definedName name="prod_name_2">#REF!</definedName>
    <definedName name="prod_name_3">#REF!</definedName>
    <definedName name="prod_name_4">#REF!</definedName>
    <definedName name="prod_name_5">#REF!</definedName>
    <definedName name="prod_name_6">#REF!</definedName>
    <definedName name="prod_name_7">#REF!</definedName>
    <definedName name="prod_name_8">#REF!</definedName>
    <definedName name="q" localSheetId="3">#REF!</definedName>
    <definedName name="q">#REF!</definedName>
    <definedName name="quart1">#REF!</definedName>
    <definedName name="quart2">#REF!</definedName>
    <definedName name="quart3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>'[9]бдр 1 кв'!#REF!</definedName>
    <definedName name="Rep_Date_2">#REF!</definedName>
    <definedName name="Rep_Hdr_2">#REF!</definedName>
    <definedName name="rep_month">#REF!</definedName>
    <definedName name="rep_year">#REF!</definedName>
    <definedName name="repsubj">#REF!</definedName>
    <definedName name="rest">#REF!</definedName>
    <definedName name="Rest_Delta_rang1_1">#REF!</definedName>
    <definedName name="Rest_Delta_rang1_2">#REF!</definedName>
    <definedName name="Rest_Delta_rang1_3">#REF!</definedName>
    <definedName name="Rest_Delta_rang1_4">#REF!</definedName>
    <definedName name="Rest_Delta_rang1_5">#REF!</definedName>
    <definedName name="Rest_Delta_rang1_6">#REF!</definedName>
    <definedName name="Rest_Delta_rang1_7">#REF!</definedName>
    <definedName name="Rest_Delta_rang1_8">#REF!</definedName>
    <definedName name="Rest_Delta_rang2_2">#REF!</definedName>
    <definedName name="Rest_Delta_rang2_3">#REF!</definedName>
    <definedName name="Rest_Delta_rang2_4">#REF!</definedName>
    <definedName name="Rest_Delta_rang2_5">#REF!</definedName>
    <definedName name="Rest_Delta_rang2_6">#REF!</definedName>
    <definedName name="Rest_Delta_rang2_7">#REF!</definedName>
    <definedName name="Rest_Delta_rang2_8">#REF!</definedName>
    <definedName name="Rest_Delta_rang3_3">#REF!</definedName>
    <definedName name="Rest_Delta_rang3_4">#REF!</definedName>
    <definedName name="Rest_Delta_rang3_5">#REF!</definedName>
    <definedName name="Rest_Delta_rang3_6">#REF!</definedName>
    <definedName name="Rest_Delta_rang3_7">#REF!</definedName>
    <definedName name="Rest_Delta_rang3_8">#REF!</definedName>
    <definedName name="Rest_Delta_rang4_4">#REF!</definedName>
    <definedName name="Rest_Delta_rang4_5">#REF!</definedName>
    <definedName name="Rest_Delta_rang4_6">#REF!</definedName>
    <definedName name="Rest_Delta_rang4_7">#REF!</definedName>
    <definedName name="Rest_Delta_rang4_8">#REF!</definedName>
    <definedName name="Rest_Delta_rang5_5">#REF!</definedName>
    <definedName name="Rest_Delta_rang5_6">#REF!</definedName>
    <definedName name="Rest_Delta_rang5_7">#REF!</definedName>
    <definedName name="Rest_Delta_rang5_8">#REF!</definedName>
    <definedName name="Rest_Delta_rang6_6">#REF!</definedName>
    <definedName name="Rest_Delta_rang6_7">#REF!</definedName>
    <definedName name="Rest_Delta_rang6_8">#REF!</definedName>
    <definedName name="Rest_Delta_rang7_7">#REF!</definedName>
    <definedName name="Rest_Delta_rang7_8">#REF!</definedName>
    <definedName name="Rest_Delta_rang8_8">#REF!</definedName>
    <definedName name="Rest_Fact_rang1_1">#REF!</definedName>
    <definedName name="Rest_Fact_rang1_2">#REF!</definedName>
    <definedName name="Rest_Fact_rang1_3">#REF!</definedName>
    <definedName name="Rest_Fact_rang1_4">#REF!</definedName>
    <definedName name="Rest_Fact_rang1_5">#REF!</definedName>
    <definedName name="Rest_Fact_rang1_6">#REF!</definedName>
    <definedName name="Rest_Fact_rang1_7">#REF!</definedName>
    <definedName name="Rest_Fact_rang1_8">#REF!</definedName>
    <definedName name="Rest_Fact_rang2_2">#REF!</definedName>
    <definedName name="Rest_Fact_rang2_3">#REF!</definedName>
    <definedName name="Rest_Fact_rang2_4">#REF!</definedName>
    <definedName name="Rest_Fact_rang2_5">#REF!</definedName>
    <definedName name="Rest_Fact_rang2_6">#REF!</definedName>
    <definedName name="Rest_Fact_rang2_7">#REF!</definedName>
    <definedName name="Rest_Fact_rang2_8">#REF!</definedName>
    <definedName name="Rest_Fact_rang3_3">#REF!</definedName>
    <definedName name="Rest_Fact_rang3_4">#REF!</definedName>
    <definedName name="Rest_Fact_rang3_5">#REF!</definedName>
    <definedName name="Rest_Fact_rang3_6">#REF!</definedName>
    <definedName name="Rest_Fact_rang3_7">#REF!</definedName>
    <definedName name="Rest_Fact_rang3_8">#REF!</definedName>
    <definedName name="Rest_Fact_rang4_4">#REF!</definedName>
    <definedName name="Rest_Fact_rang4_5">#REF!</definedName>
    <definedName name="Rest_Fact_rang4_6">#REF!</definedName>
    <definedName name="Rest_Fact_rang4_7">#REF!</definedName>
    <definedName name="Rest_Fact_rang4_8">#REF!</definedName>
    <definedName name="Rest_Fact_rang5_5">#REF!</definedName>
    <definedName name="Rest_Fact_rang5_6">#REF!</definedName>
    <definedName name="Rest_Fact_rang5_7">#REF!</definedName>
    <definedName name="Rest_Fact_rang5_8">#REF!</definedName>
    <definedName name="Rest_Fact_rang6_6">#REF!</definedName>
    <definedName name="Rest_Fact_rang6_7">#REF!</definedName>
    <definedName name="Rest_Fact_rang6_8">#REF!</definedName>
    <definedName name="Rest_Fact_rang7_7">#REF!</definedName>
    <definedName name="Rest_Fact_rang7_8">#REF!</definedName>
    <definedName name="Rest_Fact_rang8_8">#REF!</definedName>
    <definedName name="Rest_Plan_rang1_1">#REF!</definedName>
    <definedName name="Rest_Plan_rang1_2">#REF!</definedName>
    <definedName name="Rest_Plan_rang1_3">#REF!</definedName>
    <definedName name="Rest_Plan_rang1_4">#REF!</definedName>
    <definedName name="Rest_Plan_rang1_5">#REF!</definedName>
    <definedName name="Rest_Plan_rang1_6">#REF!</definedName>
    <definedName name="Rest_Plan_rang1_7">#REF!</definedName>
    <definedName name="Rest_Plan_rang1_8">#REF!</definedName>
    <definedName name="Rest_Plan_rang2_2">#REF!</definedName>
    <definedName name="Rest_Plan_rang2_3">#REF!</definedName>
    <definedName name="Rest_Plan_rang2_4">#REF!</definedName>
    <definedName name="Rest_Plan_rang2_5">#REF!</definedName>
    <definedName name="Rest_Plan_rang2_6">#REF!</definedName>
    <definedName name="Rest_Plan_rang2_7">#REF!</definedName>
    <definedName name="Rest_Plan_rang2_8">#REF!</definedName>
    <definedName name="Rest_Plan_rang3_3">#REF!</definedName>
    <definedName name="Rest_Plan_rang3_4">#REF!</definedName>
    <definedName name="Rest_Plan_rang3_5">#REF!</definedName>
    <definedName name="Rest_Plan_rang3_6">#REF!</definedName>
    <definedName name="Rest_Plan_rang3_7">#REF!</definedName>
    <definedName name="Rest_Plan_rang3_8">#REF!</definedName>
    <definedName name="Rest_Plan_rang4_4">#REF!</definedName>
    <definedName name="Rest_Plan_rang4_5">#REF!</definedName>
    <definedName name="Rest_Plan_rang4_6">#REF!</definedName>
    <definedName name="Rest_Plan_rang4_7">#REF!</definedName>
    <definedName name="Rest_Plan_rang4_8">#REF!</definedName>
    <definedName name="Rest_Plan_rang5_5">#REF!</definedName>
    <definedName name="Rest_Plan_rang5_6">#REF!</definedName>
    <definedName name="Rest_Plan_rang5_7">#REF!</definedName>
    <definedName name="Rest_Plan_rang5_8">#REF!</definedName>
    <definedName name="Rest_Plan_rang6_6">#REF!</definedName>
    <definedName name="Rest_Plan_rang6_7">#REF!</definedName>
    <definedName name="Rest_Plan_rang6_8">#REF!</definedName>
    <definedName name="Rest_Plan_rang7_7">#REF!</definedName>
    <definedName name="Rest_Plan_rang7_8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>#REF!</definedName>
    <definedName name="Rur_bap_1_rang2">#REF!</definedName>
    <definedName name="Rur_bap_1_rang3">#REF!</definedName>
    <definedName name="Rur_bap_1_rang4">#REF!</definedName>
    <definedName name="Rur_bap_1_rang5">#REF!</definedName>
    <definedName name="Rur_bap_1_rang6">#REF!</definedName>
    <definedName name="Rur_bap_1_rang7">#REF!</definedName>
    <definedName name="Rur_bap_1_rang8">#REF!</definedName>
    <definedName name="Rur_bap_2_rang1">#REF!</definedName>
    <definedName name="Rur_bap_2_rang2">#REF!</definedName>
    <definedName name="Rur_bap_2_rang3">#REF!</definedName>
    <definedName name="Rur_bap_2_rang4">#REF!</definedName>
    <definedName name="Rur_bap_2_rang5">#REF!</definedName>
    <definedName name="Rur_bap_2_rang6">#REF!</definedName>
    <definedName name="Rur_bap_2_rang7">#REF!</definedName>
    <definedName name="Rur_bap_2_rang8">#REF!</definedName>
    <definedName name="Rur_bap_3_rang1">#REF!</definedName>
    <definedName name="Rur_bap_3_rang2">#REF!</definedName>
    <definedName name="Rur_bap_3_rang3">#REF!</definedName>
    <definedName name="Rur_bap_3_rang4">#REF!</definedName>
    <definedName name="Rur_bap_3_rang5">#REF!</definedName>
    <definedName name="Rur_bap_3_rang6">#REF!</definedName>
    <definedName name="Rur_bap_3_rang7">#REF!</definedName>
    <definedName name="Rur_bap_3_rang8">#REF!</definedName>
    <definedName name="Rur_bap_4_rang1">#REF!</definedName>
    <definedName name="Rur_bap_4_rang2">#REF!</definedName>
    <definedName name="Rur_bap_4_rang3">#REF!</definedName>
    <definedName name="Rur_bap_4_rang4">#REF!</definedName>
    <definedName name="Rur_bap_4_rang5">#REF!</definedName>
    <definedName name="Rur_bap_4_rang6">#REF!</definedName>
    <definedName name="Rur_bap_4_rang7">#REF!</definedName>
    <definedName name="Rur_bap_4_rang8">#REF!</definedName>
    <definedName name="Rur_cur_12_rang1">#REF!</definedName>
    <definedName name="Rur_cur_12_rang2">#REF!</definedName>
    <definedName name="Rur_cur_12_rang3">#REF!</definedName>
    <definedName name="Rur_cur_12_rang4">#REF!</definedName>
    <definedName name="Rur_cur_12_rang5">#REF!</definedName>
    <definedName name="Rur_cur_12_rang6">#REF!</definedName>
    <definedName name="Rur_cur_12_rang7">#REF!</definedName>
    <definedName name="Rur_cur_12_rang8">#REF!</definedName>
    <definedName name="Rur_next_12_rang1">#REF!</definedName>
    <definedName name="Rur_next_12_rang2">#REF!</definedName>
    <definedName name="Rur_next_12_rang3">#REF!</definedName>
    <definedName name="Rur_next_12_rang4">#REF!</definedName>
    <definedName name="Rur_next_12_rang5">#REF!</definedName>
    <definedName name="Rur_next_12_rang6">#REF!</definedName>
    <definedName name="Rur_next_12_rang7">#REF!</definedName>
    <definedName name="Rur_next_12_rang8">#REF!</definedName>
    <definedName name="Rur_next_3_rang1">#REF!</definedName>
    <definedName name="Rur_next_3_rang2">#REF!</definedName>
    <definedName name="Rur_next_3_rang3">#REF!</definedName>
    <definedName name="Rur_next_3_rang4">#REF!</definedName>
    <definedName name="Rur_next_3_rang5">#REF!</definedName>
    <definedName name="Rur_next_3_rang6">#REF!</definedName>
    <definedName name="Rur_next_3_rang7">#REF!</definedName>
    <definedName name="Rur_next_3_rang8">#REF!</definedName>
    <definedName name="Rur_next_6_rang1">#REF!</definedName>
    <definedName name="Rur_next_6_rang2">#REF!</definedName>
    <definedName name="Rur_next_6_rang3">#REF!</definedName>
    <definedName name="Rur_next_6_rang4">#REF!</definedName>
    <definedName name="Rur_next_6_rang5">#REF!</definedName>
    <definedName name="Rur_next_6_rang6">#REF!</definedName>
    <definedName name="Rur_next_6_rang7">#REF!</definedName>
    <definedName name="Rur_next_6_rang8">#REF!</definedName>
    <definedName name="Rur_next_9_rang1">#REF!</definedName>
    <definedName name="Rur_next_9_rang2">#REF!</definedName>
    <definedName name="Rur_next_9_rang3">#REF!</definedName>
    <definedName name="Rur_next_9_rang4">#REF!</definedName>
    <definedName name="Rur_next_9_rang5">#REF!</definedName>
    <definedName name="Rur_next_9_rang6">#REF!</definedName>
    <definedName name="Rur_next_9_rang7">#REF!</definedName>
    <definedName name="Rur_next_9_rang8">#REF!</definedName>
    <definedName name="s" localSheetId="3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>#REF!</definedName>
    <definedName name="Smetoobr_name_rang2">#REF!</definedName>
    <definedName name="Smetoobr_name_rang3">#REF!</definedName>
    <definedName name="Smetoobr_name_rang4">#REF!</definedName>
    <definedName name="Smetoobr_name_rang5">#REF!</definedName>
    <definedName name="Smetoobr_name_rang6">#REF!</definedName>
    <definedName name="Smetoobr_name_rang7">#REF!</definedName>
    <definedName name="Smetoobr_name_rang8">#REF!</definedName>
    <definedName name="solver_adj" localSheetId="3" hidden="1">РейтPD!#REF!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РейтPD!#REF!</definedName>
    <definedName name="solver_lhs2" localSheetId="3" hidden="1">РейтPD!#REF!</definedName>
    <definedName name="solver_lhs3" localSheetId="3" hidden="1">РейтPD!#REF!</definedName>
    <definedName name="solver_lhs4" localSheetId="3" hidden="1">РейтPD!#REF!</definedName>
    <definedName name="solver_lhs5" localSheetId="3" hidden="1">РейтPD!#REF!</definedName>
    <definedName name="solver_lhs6" localSheetId="3" hidden="1">РейтPD!#REF!</definedName>
    <definedName name="solver_lhs7" localSheetId="3" hidden="1">РейтPD!#REF!</definedName>
    <definedName name="solver_lhs8" localSheetId="3" hidden="1">РейтPD!#REF!</definedName>
    <definedName name="solver_lhs9" localSheetId="3" hidden="1">РейтPD!#REF!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РейтPD!#REF!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>#REF!</definedName>
    <definedName name="Start3">'[11]Global Corporate Default Rates'!#REF!</definedName>
    <definedName name="Start4" localSheetId="3">#REF!</definedName>
    <definedName name="Start4">#REF!</definedName>
    <definedName name="Subj_Name">'[9]бдр 1 кв'!#REF!</definedName>
    <definedName name="Subj_Name_2">#REF!</definedName>
    <definedName name="sum_rub_1_1">#REF!</definedName>
    <definedName name="sum_rub_1_2">#REF!</definedName>
    <definedName name="sum_rub_1_3">#REF!</definedName>
    <definedName name="sum_rub_1_4">#REF!</definedName>
    <definedName name="sum_rub_1_5">#REF!</definedName>
    <definedName name="sum_rub_1_6">#REF!</definedName>
    <definedName name="sum_rub_1_7">#REF!</definedName>
    <definedName name="sum_rub_1_8">#REF!</definedName>
    <definedName name="sum_rub_2_1">#REF!</definedName>
    <definedName name="sum_rub_2_2">#REF!</definedName>
    <definedName name="sum_rub_2_3">#REF!</definedName>
    <definedName name="sum_rub_2_4">#REF!</definedName>
    <definedName name="sum_rub_2_5">#REF!</definedName>
    <definedName name="sum_rub_3_1">#REF!</definedName>
    <definedName name="sum_rub_3_2">#REF!</definedName>
    <definedName name="sum_rub_3_3">#REF!</definedName>
    <definedName name="sum_rub_3_4">#REF!</definedName>
    <definedName name="sum_rub_3_5">#REF!</definedName>
    <definedName name="sum_rub_4_1">#REF!</definedName>
    <definedName name="sum_rub_4_2">#REF!</definedName>
    <definedName name="sum_rub_4_3">#REF!</definedName>
    <definedName name="sum_rub_4_4">#REF!</definedName>
    <definedName name="sum_rub_4_5">#REF!</definedName>
    <definedName name="sum_val_1_1">#REF!</definedName>
    <definedName name="sum_val_1_2">#REF!</definedName>
    <definedName name="sum_val_1_3">#REF!</definedName>
    <definedName name="sum_val_1_4">#REF!</definedName>
    <definedName name="sum_val_1_5">#REF!</definedName>
    <definedName name="sum_val_1_6">#REF!</definedName>
    <definedName name="sum_val_1_7">#REF!</definedName>
    <definedName name="sum_val_1_8">#REF!</definedName>
    <definedName name="sum_val_2_1">#REF!</definedName>
    <definedName name="sum_val_2_2">#REF!</definedName>
    <definedName name="sum_val_2_3">#REF!</definedName>
    <definedName name="sum_val_2_4">#REF!</definedName>
    <definedName name="sum_val_2_5">#REF!</definedName>
    <definedName name="sum_val_3_1">#REF!</definedName>
    <definedName name="sum_val_3_2">#REF!</definedName>
    <definedName name="sum_val_3_3">#REF!</definedName>
    <definedName name="sum_val_3_4">#REF!</definedName>
    <definedName name="sum_val_3_5">#REF!</definedName>
    <definedName name="sum_val_4_1">#REF!</definedName>
    <definedName name="sum_val_4_2">#REF!</definedName>
    <definedName name="sum_val_4_3">#REF!</definedName>
    <definedName name="sum_val_4_4">#REF!</definedName>
    <definedName name="sum_val_4_5">#REF!</definedName>
    <definedName name="Svod">'[9]бдр 1 кв'!#REF!</definedName>
    <definedName name="Svod_2">#REF!</definedName>
    <definedName name="synt_1">#REF!</definedName>
    <definedName name="synt_2">#REF!</definedName>
    <definedName name="synt_3">#REF!</definedName>
    <definedName name="synt_4">#REF!</definedName>
    <definedName name="synt_5">#REF!</definedName>
    <definedName name="synt_6">#REF!</definedName>
    <definedName name="synt_7">#REF!</definedName>
    <definedName name="synt_8">#REF!</definedName>
    <definedName name="synt_name_1">#REF!</definedName>
    <definedName name="synt_name_2">#REF!</definedName>
    <definedName name="synt_name_3">#REF!</definedName>
    <definedName name="synt_name_4">#REF!</definedName>
    <definedName name="synt_name_5">#REF!</definedName>
    <definedName name="synt_name_6">#REF!</definedName>
    <definedName name="synt_name_7">#REF!</definedName>
    <definedName name="synt_name_8">#REF!</definedName>
    <definedName name="t" localSheetId="3">#REF!</definedName>
    <definedName name="t">#REF!</definedName>
    <definedName name="Table_Hdr_2">#REF!</definedName>
    <definedName name="table_header">#REF!</definedName>
    <definedName name="table_line_1">#REF!</definedName>
    <definedName name="table_line_2">#REF!</definedName>
    <definedName name="table_line_3">#REF!</definedName>
    <definedName name="table_line_4">#REF!</definedName>
    <definedName name="table_line_5">#REF!</definedName>
    <definedName name="table_line_6">#REF!</definedName>
    <definedName name="table_line_7">#REF!</definedName>
    <definedName name="table_line_8">#REF!</definedName>
    <definedName name="table_row">#REF!</definedName>
    <definedName name="TableName">"Dummy"</definedName>
    <definedName name="TM1REBUILDOPTION">1</definedName>
    <definedName name="Total">#REF!</definedName>
    <definedName name="total_fil">#REF!</definedName>
    <definedName name="Total_Name_rang1">#REF!</definedName>
    <definedName name="Total_Name_rang2">#REF!</definedName>
    <definedName name="Total_R">#REF!</definedName>
    <definedName name="Total_rang1">#REF!</definedName>
    <definedName name="Total_rang2">#REF!</definedName>
    <definedName name="total_rest">#REF!</definedName>
    <definedName name="Total_Rest_Delta">#REF!</definedName>
    <definedName name="Total_Rest_Delta_R">#REF!</definedName>
    <definedName name="Total_Rest_Delta_rang1">#REF!</definedName>
    <definedName name="Total_Rest_Delta_rang2">#REF!</definedName>
    <definedName name="Total_Rest_Fact">#REF!</definedName>
    <definedName name="Total_Rest_Fact_R">#REF!</definedName>
    <definedName name="Total_Rest_Fact_rang1">#REF!</definedName>
    <definedName name="Total_Rest_Fact_rang2">#REF!</definedName>
    <definedName name="Total_Rest_Plan">#REF!</definedName>
    <definedName name="Total_Rest_Plan_R">#REF!</definedName>
    <definedName name="Total_Rest_Plan_rang1">#REF!</definedName>
    <definedName name="Total_Rest_Plan_rang2">#REF!</definedName>
    <definedName name="total_row">#REF!</definedName>
    <definedName name="total_text">#REF!</definedName>
    <definedName name="Tri_RR_">[1]Buffer!$J$2:$J$5</definedName>
    <definedName name="TriSection">'[1]StabilityBands-4Yr'!$F$2:$K$45</definedName>
    <definedName name="type">#REF!</definedName>
    <definedName name="u">'[3]Letter Numerators'!#REF!</definedName>
    <definedName name="UpDp2Rtg_Lookup_">'[1]Source Tables'!$G$6:$H$26</definedName>
    <definedName name="v">'[3]Letter Denominators'!#REF!</definedName>
    <definedName name="Val">'[9]бдр 1 кв'!#REF!</definedName>
    <definedName name="Val_2">#REF!</definedName>
    <definedName name="Val_bap_1_rang1">#REF!</definedName>
    <definedName name="Val_bap_1_rang2">#REF!</definedName>
    <definedName name="Val_bap_1_rang3">#REF!</definedName>
    <definedName name="Val_bap_1_rang4">#REF!</definedName>
    <definedName name="Val_bap_1_rang5">#REF!</definedName>
    <definedName name="Val_bap_1_rang6">#REF!</definedName>
    <definedName name="Val_bap_1_rang7">#REF!</definedName>
    <definedName name="Val_bap_1_rang8">#REF!</definedName>
    <definedName name="Val_bap_2_rang1">#REF!</definedName>
    <definedName name="Val_bap_2_rang2">#REF!</definedName>
    <definedName name="Val_bap_2_rang3">#REF!</definedName>
    <definedName name="Val_bap_2_rang4">#REF!</definedName>
    <definedName name="Val_bap_2_rang5">#REF!</definedName>
    <definedName name="Val_bap_2_rang6">#REF!</definedName>
    <definedName name="Val_bap_2_rang7">#REF!</definedName>
    <definedName name="Val_bap_2_rang8">#REF!</definedName>
    <definedName name="Val_bap_3_rang1">#REF!</definedName>
    <definedName name="Val_bap_3_rang2">#REF!</definedName>
    <definedName name="Val_bap_3_rang3">#REF!</definedName>
    <definedName name="Val_bap_3_rang4">#REF!</definedName>
    <definedName name="Val_bap_3_rang5">#REF!</definedName>
    <definedName name="Val_bap_3_rang6">#REF!</definedName>
    <definedName name="Val_bap_3_rang7">#REF!</definedName>
    <definedName name="Val_bap_3_rang8">#REF!</definedName>
    <definedName name="Val_bap_4_rang1">#REF!</definedName>
    <definedName name="Val_bap_4_rang2">#REF!</definedName>
    <definedName name="Val_bap_4_rang3">#REF!</definedName>
    <definedName name="Val_bap_4_rang4">#REF!</definedName>
    <definedName name="Val_bap_4_rang5">#REF!</definedName>
    <definedName name="Val_bap_4_rang6">#REF!</definedName>
    <definedName name="Val_bap_4_rang7">#REF!</definedName>
    <definedName name="Val_bap_4_rang8">#REF!</definedName>
    <definedName name="Val_cur_12_rang1">#REF!</definedName>
    <definedName name="Val_cur_12_rang2">#REF!</definedName>
    <definedName name="Val_cur_12_rang3">#REF!</definedName>
    <definedName name="Val_cur_12_rang4">#REF!</definedName>
    <definedName name="Val_cur_12_rang5">#REF!</definedName>
    <definedName name="Val_cur_12_rang6">#REF!</definedName>
    <definedName name="Val_cur_12_rang7">#REF!</definedName>
    <definedName name="Val_cur_12_rang8">#REF!</definedName>
    <definedName name="Val_next_12_rang1">#REF!</definedName>
    <definedName name="Val_next_12_rang2">#REF!</definedName>
    <definedName name="Val_next_12_rang3">#REF!</definedName>
    <definedName name="Val_next_12_rang4">#REF!</definedName>
    <definedName name="Val_next_12_rang5">#REF!</definedName>
    <definedName name="Val_next_12_rang6">#REF!</definedName>
    <definedName name="Val_next_12_rang7">#REF!</definedName>
    <definedName name="Val_next_12_rang8">#REF!</definedName>
    <definedName name="Val_next_3_rang1">#REF!</definedName>
    <definedName name="Val_next_3_rang2">#REF!</definedName>
    <definedName name="Val_next_3_rang3">#REF!</definedName>
    <definedName name="Val_next_3_rang4">#REF!</definedName>
    <definedName name="Val_next_3_rang5">#REF!</definedName>
    <definedName name="Val_next_3_rang6">#REF!</definedName>
    <definedName name="Val_next_3_rang7">#REF!</definedName>
    <definedName name="Val_next_3_rang8">#REF!</definedName>
    <definedName name="Val_next_6_rang1">#REF!</definedName>
    <definedName name="Val_next_6_rang2">#REF!</definedName>
    <definedName name="Val_next_6_rang3">#REF!</definedName>
    <definedName name="Val_next_6_rang4">#REF!</definedName>
    <definedName name="Val_next_6_rang5">#REF!</definedName>
    <definedName name="Val_next_6_rang6">#REF!</definedName>
    <definedName name="Val_next_6_rang7">#REF!</definedName>
    <definedName name="Val_next_6_rang8">#REF!</definedName>
    <definedName name="Val_next_9_rang1">#REF!</definedName>
    <definedName name="Val_next_9_rang2">#REF!</definedName>
    <definedName name="Val_next_9_rang3">#REF!</definedName>
    <definedName name="Val_next_9_rang4">#REF!</definedName>
    <definedName name="Val_next_9_rang5">#REF!</definedName>
    <definedName name="Val_next_9_rang6">#REF!</definedName>
    <definedName name="Val_next_9_rang7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>#REF!</definedName>
    <definedName name="и">'[19]списки значений'!$J$2:$J$20</definedName>
    <definedName name="итог">#REF!</definedName>
    <definedName name="итог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 localSheetId="4">#REF!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25" l="1"/>
  <c r="D22" i="25"/>
  <c r="F22" i="25" l="1"/>
  <c r="P12" i="29"/>
  <c r="P13" i="29"/>
  <c r="P14" i="29"/>
  <c r="P15" i="29"/>
  <c r="P16" i="29"/>
  <c r="P17" i="29"/>
  <c r="P18" i="29"/>
  <c r="P19" i="29"/>
  <c r="P20" i="29"/>
  <c r="P21" i="29"/>
  <c r="P11" i="29"/>
  <c r="P22" i="29" l="1"/>
  <c r="S12" i="29"/>
  <c r="S13" i="29"/>
  <c r="S14" i="29"/>
  <c r="S15" i="29"/>
  <c r="S16" i="29"/>
  <c r="S17" i="29"/>
  <c r="S18" i="29"/>
  <c r="S19" i="29"/>
  <c r="S20" i="29"/>
  <c r="S21" i="29"/>
  <c r="S11" i="29"/>
  <c r="S22" i="29" l="1"/>
  <c r="T24" i="19" l="1"/>
  <c r="T9" i="19"/>
  <c r="W10" i="19"/>
  <c r="W11" i="19"/>
  <c r="W12" i="19"/>
  <c r="W13" i="19"/>
  <c r="W14" i="19"/>
  <c r="W15" i="19"/>
  <c r="W16" i="19"/>
  <c r="W17" i="19"/>
  <c r="W18" i="19"/>
  <c r="W19" i="19"/>
  <c r="W9" i="19"/>
  <c r="T10" i="19"/>
  <c r="T11" i="19"/>
  <c r="T12" i="19"/>
  <c r="T13" i="19"/>
  <c r="T14" i="19"/>
  <c r="T15" i="19"/>
  <c r="T16" i="19"/>
  <c r="T17" i="19"/>
  <c r="T18" i="19"/>
  <c r="T19" i="19"/>
  <c r="W20" i="19" l="1"/>
  <c r="T20" i="19"/>
  <c r="B26" i="17"/>
  <c r="I36" i="25" l="1"/>
  <c r="J25" i="25" l="1"/>
  <c r="J26" i="25"/>
  <c r="J27" i="25"/>
  <c r="J28" i="25"/>
  <c r="J29" i="25"/>
  <c r="J30" i="25"/>
  <c r="J31" i="25"/>
  <c r="J32" i="25"/>
  <c r="J33" i="25"/>
  <c r="J34" i="25"/>
  <c r="J35" i="25"/>
  <c r="J116" i="25"/>
  <c r="J117" i="25"/>
  <c r="J118" i="25"/>
  <c r="J119" i="25"/>
  <c r="J24" i="25"/>
  <c r="G4" i="28" l="1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3" i="28"/>
  <c r="H43" i="28"/>
  <c r="H75" i="28"/>
  <c r="H25" i="28"/>
  <c r="H65" i="28"/>
  <c r="H58" i="28"/>
  <c r="H56" i="28"/>
  <c r="H32" i="28"/>
  <c r="H41" i="28"/>
  <c r="H45" i="28"/>
  <c r="H49" i="28"/>
  <c r="H33" i="28"/>
  <c r="H15" i="28"/>
  <c r="H48" i="28"/>
  <c r="H22" i="28"/>
  <c r="H8" i="28"/>
  <c r="H83" i="28"/>
  <c r="H47" i="28"/>
  <c r="H29" i="28"/>
  <c r="H81" i="28"/>
  <c r="H6" i="28"/>
  <c r="H31" i="28"/>
  <c r="H71" i="28"/>
  <c r="H76" i="28"/>
  <c r="H42" i="28"/>
  <c r="H61" i="28"/>
  <c r="H23" i="28"/>
  <c r="H19" i="28"/>
  <c r="H55" i="28"/>
  <c r="H50" i="28"/>
  <c r="H53" i="28"/>
  <c r="H68" i="28"/>
  <c r="H21" i="28"/>
  <c r="H40" i="28"/>
  <c r="H26" i="28"/>
  <c r="H70" i="28"/>
  <c r="H44" i="28"/>
  <c r="H10" i="28"/>
  <c r="H59" i="28"/>
  <c r="H28" i="28"/>
  <c r="H20" i="28"/>
  <c r="H54" i="28"/>
  <c r="H62" i="28"/>
  <c r="H60" i="28"/>
  <c r="H4" i="28"/>
  <c r="H5" i="28"/>
  <c r="H69" i="28"/>
  <c r="H14" i="28"/>
  <c r="H18" i="28"/>
  <c r="H7" i="28"/>
  <c r="H11" i="28"/>
  <c r="H12" i="28"/>
  <c r="H79" i="28"/>
  <c r="H27" i="28"/>
  <c r="H39" i="28"/>
  <c r="H64" i="28"/>
  <c r="H74" i="28"/>
  <c r="H57" i="28"/>
  <c r="H35" i="28"/>
  <c r="H63" i="28"/>
  <c r="H82" i="28"/>
  <c r="H78" i="28"/>
  <c r="H38" i="28"/>
  <c r="H73" i="28"/>
  <c r="H66" i="28"/>
  <c r="H52" i="28"/>
  <c r="H9" i="28"/>
  <c r="H77" i="28"/>
  <c r="H16" i="28"/>
  <c r="H30" i="28"/>
  <c r="H37" i="28"/>
  <c r="H17" i="28"/>
  <c r="H51" i="28"/>
  <c r="H72" i="28"/>
  <c r="H3" i="28"/>
  <c r="H13" i="28"/>
  <c r="H36" i="28"/>
  <c r="H67" i="28"/>
  <c r="H24" i="28"/>
  <c r="H46" i="28"/>
  <c r="H80" i="28"/>
  <c r="H34" i="28"/>
  <c r="B1" i="28"/>
  <c r="J45" i="25" l="1"/>
  <c r="J51" i="25"/>
  <c r="J40" i="25"/>
  <c r="J109" i="25"/>
  <c r="J54" i="25"/>
  <c r="J85" i="25"/>
  <c r="J61" i="25"/>
  <c r="J111" i="25"/>
  <c r="J47" i="25"/>
  <c r="J80" i="25"/>
  <c r="J84" i="25"/>
  <c r="J66" i="25"/>
  <c r="J93" i="25"/>
  <c r="J110" i="25"/>
  <c r="J46" i="25"/>
  <c r="J91" i="25"/>
  <c r="J68" i="25"/>
  <c r="J49" i="25"/>
  <c r="J67" i="25"/>
  <c r="J87" i="25"/>
  <c r="J41" i="25"/>
  <c r="J86" i="25"/>
  <c r="J37" i="25"/>
  <c r="J71" i="25"/>
  <c r="J60" i="25"/>
  <c r="J42" i="25"/>
  <c r="J113" i="25"/>
  <c r="J105" i="25"/>
  <c r="J76" i="25"/>
  <c r="J79" i="25"/>
  <c r="J69" i="25"/>
  <c r="J100" i="25"/>
  <c r="J59" i="25"/>
  <c r="J104" i="25"/>
  <c r="J78" i="25"/>
  <c r="J92" i="25"/>
  <c r="J74" i="25"/>
  <c r="J115" i="25"/>
  <c r="J88" i="25"/>
  <c r="J98" i="25"/>
  <c r="J70" i="25"/>
  <c r="J83" i="25"/>
  <c r="J64" i="25"/>
  <c r="J39" i="25"/>
  <c r="J106" i="25"/>
  <c r="J36" i="25"/>
  <c r="J48" i="25"/>
  <c r="J81" i="25"/>
  <c r="J52" i="25"/>
  <c r="J63" i="25"/>
  <c r="J120" i="25"/>
  <c r="J82" i="25"/>
  <c r="J107" i="25"/>
  <c r="J43" i="25"/>
  <c r="J72" i="25"/>
  <c r="J62" i="25"/>
  <c r="J89" i="25"/>
  <c r="J99" i="25"/>
  <c r="J44" i="25"/>
  <c r="J97" i="25"/>
  <c r="J90" i="25"/>
  <c r="J53" i="25"/>
  <c r="J73" i="25"/>
  <c r="J55" i="25"/>
  <c r="J112" i="25"/>
  <c r="J77" i="25"/>
  <c r="J102" i="25"/>
  <c r="J38" i="25"/>
  <c r="J65" i="25"/>
  <c r="J96" i="25"/>
  <c r="J58" i="25"/>
  <c r="J56" i="25"/>
  <c r="J108" i="25"/>
  <c r="J95" i="25"/>
  <c r="J101" i="25"/>
  <c r="J114" i="25"/>
  <c r="J50" i="25"/>
  <c r="J75" i="25"/>
  <c r="J103" i="25"/>
  <c r="J57" i="25"/>
  <c r="J94" i="25"/>
  <c r="D116" i="25"/>
  <c r="D32" i="25"/>
  <c r="D34" i="25"/>
  <c r="D26" i="25"/>
  <c r="D28" i="25"/>
  <c r="D30" i="25"/>
  <c r="I117" i="25"/>
  <c r="I118" i="25"/>
  <c r="I119" i="25"/>
  <c r="I120" i="25"/>
  <c r="F117" i="25"/>
  <c r="F118" i="25"/>
  <c r="F119" i="25"/>
  <c r="F120" i="25"/>
  <c r="C96" i="16" l="1"/>
  <c r="M10" i="25" l="1"/>
  <c r="M9" i="25"/>
  <c r="M11" i="25"/>
  <c r="M8" i="25"/>
  <c r="B43" i="17"/>
  <c r="D140" i="16"/>
  <c r="M12" i="25" l="1"/>
  <c r="N8" i="25" s="1"/>
  <c r="I24" i="25"/>
  <c r="I31" i="25"/>
  <c r="J5" i="25"/>
  <c r="J6" i="25"/>
  <c r="J7" i="25"/>
  <c r="J8" i="25"/>
  <c r="J9" i="25"/>
  <c r="J10" i="25"/>
  <c r="J11" i="25"/>
  <c r="J12" i="25"/>
  <c r="J13" i="25"/>
  <c r="J14" i="25"/>
  <c r="J4" i="25"/>
  <c r="F10" i="25"/>
  <c r="F9" i="25"/>
  <c r="M13" i="25" l="1"/>
  <c r="J15" i="25"/>
  <c r="J16" i="25" s="1"/>
  <c r="F11" i="25"/>
  <c r="N10" i="25"/>
  <c r="N11" i="25"/>
  <c r="N9" i="25"/>
  <c r="I25" i="25" l="1"/>
  <c r="I26" i="25"/>
  <c r="I27" i="25"/>
  <c r="I28" i="25"/>
  <c r="I29" i="25"/>
  <c r="I30" i="25"/>
  <c r="I32" i="25"/>
  <c r="I33" i="25"/>
  <c r="I34" i="25"/>
  <c r="I35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Q8" i="25" l="1"/>
  <c r="Q9" i="25"/>
  <c r="R7" i="25" l="1"/>
  <c r="Q7" i="25"/>
  <c r="G5" i="27"/>
  <c r="H5" i="27"/>
  <c r="J3" i="25"/>
  <c r="L23" i="25"/>
  <c r="Q10" i="25" l="1"/>
  <c r="Q11" i="25" l="1"/>
  <c r="Q12" i="25" s="1"/>
  <c r="M7" i="25"/>
  <c r="F8" i="25"/>
  <c r="A1" i="25"/>
  <c r="B1" i="25"/>
  <c r="R9" i="25" l="1"/>
  <c r="R8" i="25"/>
  <c r="R10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24" i="25"/>
  <c r="M75" i="25" l="1"/>
  <c r="N68" i="25" s="1"/>
  <c r="G9" i="25"/>
  <c r="G10" i="25"/>
  <c r="N29" i="25" l="1"/>
  <c r="N45" i="25"/>
  <c r="N61" i="25"/>
  <c r="N58" i="25"/>
  <c r="N26" i="25"/>
  <c r="N42" i="25"/>
  <c r="N27" i="25"/>
  <c r="N51" i="25"/>
  <c r="N33" i="25"/>
  <c r="N49" i="25"/>
  <c r="N65" i="25"/>
  <c r="N66" i="25"/>
  <c r="N30" i="25"/>
  <c r="N46" i="25"/>
  <c r="N31" i="25"/>
  <c r="N59" i="25"/>
  <c r="N24" i="25"/>
  <c r="N37" i="25"/>
  <c r="N53" i="25"/>
  <c r="N69" i="25"/>
  <c r="N74" i="25"/>
  <c r="N34" i="25"/>
  <c r="N54" i="25"/>
  <c r="N35" i="25"/>
  <c r="N28" i="25"/>
  <c r="N25" i="25"/>
  <c r="N41" i="25"/>
  <c r="N57" i="25"/>
  <c r="N73" i="25"/>
  <c r="N71" i="25"/>
  <c r="N38" i="25"/>
  <c r="N62" i="25"/>
  <c r="N47" i="25"/>
  <c r="N40" i="25"/>
  <c r="N44" i="25"/>
  <c r="N70" i="25"/>
  <c r="N43" i="25"/>
  <c r="N63" i="25"/>
  <c r="N56" i="25"/>
  <c r="N60" i="25"/>
  <c r="N50" i="25"/>
  <c r="N67" i="25"/>
  <c r="N39" i="25"/>
  <c r="N55" i="25"/>
  <c r="N32" i="25"/>
  <c r="N48" i="25"/>
  <c r="N64" i="25"/>
  <c r="N36" i="25"/>
  <c r="N52" i="25"/>
  <c r="N72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24" i="25"/>
  <c r="B16" i="25" l="1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7" i="25" l="1"/>
  <c r="G120" i="25" s="1"/>
  <c r="C5" i="25" l="1"/>
  <c r="G34" i="25"/>
  <c r="G72" i="25"/>
  <c r="C4" i="25"/>
  <c r="G47" i="25"/>
  <c r="G86" i="25"/>
  <c r="G104" i="25"/>
  <c r="G31" i="25"/>
  <c r="G37" i="25"/>
  <c r="C7" i="25"/>
  <c r="G108" i="25"/>
  <c r="G75" i="25"/>
  <c r="G93" i="25"/>
  <c r="C9" i="25"/>
  <c r="C12" i="25"/>
  <c r="G88" i="25"/>
  <c r="G63" i="25"/>
  <c r="G107" i="25"/>
  <c r="G67" i="25"/>
  <c r="G26" i="25"/>
  <c r="G70" i="25"/>
  <c r="G29" i="25"/>
  <c r="G85" i="25"/>
  <c r="G99" i="25"/>
  <c r="G58" i="25"/>
  <c r="G102" i="25"/>
  <c r="G61" i="25"/>
  <c r="G24" i="25"/>
  <c r="G60" i="25"/>
  <c r="C6" i="25"/>
  <c r="M76" i="25"/>
  <c r="G80" i="25"/>
  <c r="G39" i="25"/>
  <c r="G91" i="25"/>
  <c r="G42" i="25"/>
  <c r="G94" i="25"/>
  <c r="G53" i="25"/>
  <c r="G101" i="25"/>
  <c r="G44" i="25"/>
  <c r="G92" i="25"/>
  <c r="G55" i="25"/>
  <c r="G115" i="25"/>
  <c r="G83" i="25"/>
  <c r="G50" i="25"/>
  <c r="G110" i="25"/>
  <c r="G78" i="25"/>
  <c r="G45" i="25"/>
  <c r="G109" i="25"/>
  <c r="G77" i="25"/>
  <c r="G28" i="25"/>
  <c r="G69" i="25"/>
  <c r="C15" i="25"/>
  <c r="B18" i="25"/>
  <c r="C16" i="25"/>
  <c r="C10" i="25"/>
  <c r="C13" i="25"/>
  <c r="C14" i="25"/>
  <c r="G116" i="25"/>
  <c r="G112" i="25"/>
  <c r="G84" i="25"/>
  <c r="G68" i="25"/>
  <c r="G51" i="25"/>
  <c r="G35" i="25"/>
  <c r="G111" i="25"/>
  <c r="G95" i="25"/>
  <c r="G79" i="25"/>
  <c r="G62" i="25"/>
  <c r="G46" i="25"/>
  <c r="G30" i="25"/>
  <c r="G106" i="25"/>
  <c r="G90" i="25"/>
  <c r="G74" i="25"/>
  <c r="G57" i="25"/>
  <c r="G41" i="25"/>
  <c r="G25" i="25"/>
  <c r="G105" i="25"/>
  <c r="G89" i="25"/>
  <c r="G73" i="25"/>
  <c r="G56" i="25"/>
  <c r="G40" i="25"/>
  <c r="G64" i="25"/>
  <c r="G119" i="25"/>
  <c r="G52" i="25"/>
  <c r="G36" i="25"/>
  <c r="C3" i="25"/>
  <c r="G117" i="25"/>
  <c r="C8" i="25"/>
  <c r="C2" i="25"/>
  <c r="C11" i="25"/>
  <c r="G96" i="25"/>
  <c r="G100" i="25"/>
  <c r="G76" i="25"/>
  <c r="G59" i="25"/>
  <c r="G43" i="25"/>
  <c r="G27" i="25"/>
  <c r="G103" i="25"/>
  <c r="G87" i="25"/>
  <c r="G71" i="25"/>
  <c r="G54" i="25"/>
  <c r="G38" i="25"/>
  <c r="G114" i="25"/>
  <c r="G98" i="25"/>
  <c r="G82" i="25"/>
  <c r="G66" i="25"/>
  <c r="G49" i="25"/>
  <c r="G33" i="25"/>
  <c r="G113" i="25"/>
  <c r="G97" i="25"/>
  <c r="G81" i="25"/>
  <c r="G65" i="25"/>
  <c r="G48" i="25"/>
  <c r="G32" i="25"/>
  <c r="G118" i="25"/>
  <c r="F12" i="25"/>
  <c r="C83" i="22"/>
  <c r="C17" i="25" l="1"/>
  <c r="H51" i="16"/>
  <c r="C68" i="16" l="1"/>
  <c r="B68" i="16"/>
  <c r="B67" i="16"/>
  <c r="B38" i="17"/>
  <c r="B62" i="16" s="1"/>
  <c r="B42" i="17"/>
  <c r="J66" i="19"/>
  <c r="J67" i="19"/>
  <c r="J68" i="19"/>
  <c r="D141" i="16" l="1"/>
  <c r="E33" i="16" l="1"/>
  <c r="E50" i="16" l="1"/>
  <c r="G50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41" i="16" l="1"/>
  <c r="C66" i="16" l="1"/>
  <c r="B66" i="16" l="1"/>
  <c r="C140" i="16" l="1"/>
  <c r="T4" i="20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C80" i="22" l="1"/>
  <c r="C81" i="22"/>
  <c r="C82" i="22"/>
  <c r="C18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E2" i="22" l="1"/>
  <c r="H1" i="22" s="1"/>
  <c r="I1" i="22" s="1"/>
  <c r="E1" i="22"/>
  <c r="D83" i="22" s="1"/>
  <c r="S5" i="20"/>
  <c r="S4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20" i="20" l="1"/>
  <c r="V20" i="20" s="1"/>
  <c r="D22" i="22"/>
  <c r="D68" i="22"/>
  <c r="D29" i="22"/>
  <c r="E63" i="22"/>
  <c r="D80" i="22"/>
  <c r="D82" i="22"/>
  <c r="D42" i="22"/>
  <c r="D75" i="22"/>
  <c r="E38" i="22"/>
  <c r="D60" i="22"/>
  <c r="D65" i="22"/>
  <c r="E49" i="22"/>
  <c r="E48" i="22"/>
  <c r="E81" i="22"/>
  <c r="E82" i="22"/>
  <c r="H2" i="22"/>
  <c r="I2" i="22" s="1"/>
  <c r="E83" i="22"/>
  <c r="D34" i="22"/>
  <c r="D59" i="22"/>
  <c r="E22" i="22"/>
  <c r="D44" i="22"/>
  <c r="D53" i="22"/>
  <c r="E33" i="22"/>
  <c r="E32" i="22"/>
  <c r="E80" i="22"/>
  <c r="H3" i="22"/>
  <c r="I3" i="22" s="1"/>
  <c r="E43" i="22"/>
  <c r="D77" i="22"/>
  <c r="D73" i="22"/>
  <c r="E64" i="22"/>
  <c r="D26" i="22"/>
  <c r="D23" i="22"/>
  <c r="D76" i="22"/>
  <c r="D28" i="22"/>
  <c r="D45" i="22"/>
  <c r="D54" i="22"/>
  <c r="D78" i="22"/>
  <c r="D81" i="22"/>
  <c r="X4" i="20"/>
  <c r="X6" i="20" s="1"/>
  <c r="U13" i="20" s="1"/>
  <c r="V13" i="20" s="1"/>
  <c r="M37" i="19"/>
  <c r="U24" i="20"/>
  <c r="V24" i="20" s="1"/>
  <c r="U8" i="20"/>
  <c r="V8" i="20" s="1"/>
  <c r="U11" i="20"/>
  <c r="V11" i="20" s="1"/>
  <c r="U14" i="20"/>
  <c r="V14" i="20" s="1"/>
  <c r="U17" i="20"/>
  <c r="V17" i="20" s="1"/>
  <c r="M56" i="19" s="1"/>
  <c r="U4" i="20"/>
  <c r="V4" i="20" s="1"/>
  <c r="M34" i="19"/>
  <c r="M39" i="19"/>
  <c r="U16" i="20"/>
  <c r="V16" i="20" s="1"/>
  <c r="M19" i="19" s="1"/>
  <c r="U19" i="20"/>
  <c r="V19" i="20" s="1"/>
  <c r="U22" i="20"/>
  <c r="V22" i="20" s="1"/>
  <c r="U6" i="20"/>
  <c r="V6" i="20" s="1"/>
  <c r="U9" i="20"/>
  <c r="V9" i="20" s="1"/>
  <c r="M47" i="19"/>
  <c r="M32" i="19"/>
  <c r="M44" i="19"/>
  <c r="M25" i="19"/>
  <c r="M64" i="19"/>
  <c r="M36" i="19"/>
  <c r="E35" i="22"/>
  <c r="D79" i="22"/>
  <c r="D27" i="22"/>
  <c r="D41" i="22"/>
  <c r="E77" i="22"/>
  <c r="E61" i="22"/>
  <c r="D32" i="22"/>
  <c r="E74" i="22"/>
  <c r="E58" i="22"/>
  <c r="E34" i="22"/>
  <c r="E53" i="22"/>
  <c r="E21" i="22"/>
  <c r="E52" i="22"/>
  <c r="E20" i="22"/>
  <c r="D47" i="22"/>
  <c r="D31" i="22"/>
  <c r="D63" i="22"/>
  <c r="D25" i="22"/>
  <c r="E69" i="22"/>
  <c r="D48" i="22"/>
  <c r="E66" i="22"/>
  <c r="E46" i="22"/>
  <c r="E18" i="22"/>
  <c r="E37" i="22"/>
  <c r="E68" i="22"/>
  <c r="E36" i="22"/>
  <c r="E79" i="22"/>
  <c r="D50" i="22"/>
  <c r="D18" i="22"/>
  <c r="E75" i="22"/>
  <c r="E59" i="22"/>
  <c r="D43" i="22"/>
  <c r="E27" i="22"/>
  <c r="D74" i="22"/>
  <c r="E47" i="22"/>
  <c r="E39" i="22"/>
  <c r="E31" i="22"/>
  <c r="E19" i="22"/>
  <c r="D71" i="22"/>
  <c r="D55" i="22"/>
  <c r="D57" i="22"/>
  <c r="D33" i="22"/>
  <c r="E73" i="22"/>
  <c r="E65" i="22"/>
  <c r="D56" i="22"/>
  <c r="D40" i="22"/>
  <c r="D24" i="22"/>
  <c r="E70" i="22"/>
  <c r="E62" i="22"/>
  <c r="E50" i="22"/>
  <c r="E42" i="22"/>
  <c r="E26" i="22"/>
  <c r="H4" i="22"/>
  <c r="I4" i="22" s="1"/>
  <c r="E45" i="22"/>
  <c r="E29" i="22"/>
  <c r="E76" i="22"/>
  <c r="E60" i="22"/>
  <c r="E44" i="22"/>
  <c r="E28" i="22"/>
  <c r="D70" i="22"/>
  <c r="E71" i="22"/>
  <c r="E55" i="22"/>
  <c r="D39" i="22"/>
  <c r="E23" i="22"/>
  <c r="D66" i="22"/>
  <c r="D46" i="22"/>
  <c r="D38" i="22"/>
  <c r="D30" i="22"/>
  <c r="D67" i="22"/>
  <c r="D51" i="22"/>
  <c r="H5" i="22"/>
  <c r="I5" i="22" s="1"/>
  <c r="E54" i="22"/>
  <c r="E30" i="22"/>
  <c r="D72" i="22"/>
  <c r="D64" i="22"/>
  <c r="D52" i="22"/>
  <c r="D36" i="22"/>
  <c r="D20" i="22"/>
  <c r="E78" i="22"/>
  <c r="D69" i="22"/>
  <c r="D61" i="22"/>
  <c r="D49" i="22"/>
  <c r="D37" i="22"/>
  <c r="D21" i="22"/>
  <c r="E57" i="22"/>
  <c r="E41" i="22"/>
  <c r="E25" i="22"/>
  <c r="E72" i="22"/>
  <c r="E56" i="22"/>
  <c r="E40" i="22"/>
  <c r="E24" i="22"/>
  <c r="D58" i="22"/>
  <c r="E67" i="22"/>
  <c r="E51" i="22"/>
  <c r="D35" i="22"/>
  <c r="D19" i="22"/>
  <c r="D62" i="22"/>
  <c r="F140" i="16" l="1"/>
  <c r="G140" i="16" s="1"/>
  <c r="H140" i="16" s="1"/>
  <c r="I140" i="16" s="1"/>
  <c r="M58" i="19"/>
  <c r="M27" i="19"/>
  <c r="N27" i="19" s="1"/>
  <c r="M30" i="19"/>
  <c r="N30" i="19" s="1"/>
  <c r="M35" i="19"/>
  <c r="M60" i="19"/>
  <c r="M54" i="19"/>
  <c r="N54" i="19" s="1"/>
  <c r="M42" i="19"/>
  <c r="N42" i="19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U21" i="20"/>
  <c r="V21" i="20" s="1"/>
  <c r="U23" i="20"/>
  <c r="V23" i="20" s="1"/>
  <c r="U10" i="20"/>
  <c r="V10" i="20" s="1"/>
  <c r="M62" i="19" s="1"/>
  <c r="N62" i="19" s="1"/>
  <c r="M46" i="19"/>
  <c r="M13" i="19"/>
  <c r="N13" i="19" s="1"/>
  <c r="M67" i="19"/>
  <c r="N67" i="19" s="1"/>
  <c r="O67" i="19" s="1"/>
  <c r="M49" i="19"/>
  <c r="N49" i="19" s="1"/>
  <c r="M45" i="19"/>
  <c r="M65" i="19"/>
  <c r="N65" i="19" s="1"/>
  <c r="M16" i="19"/>
  <c r="N16" i="19" s="1"/>
  <c r="M12" i="19"/>
  <c r="N12" i="19" s="1"/>
  <c r="M20" i="19"/>
  <c r="M22" i="19"/>
  <c r="N22" i="19" s="1"/>
  <c r="M23" i="19"/>
  <c r="N23" i="19" s="1"/>
  <c r="M11" i="19"/>
  <c r="N11" i="19" s="1"/>
  <c r="M63" i="19"/>
  <c r="F141" i="16"/>
  <c r="G141" i="16" s="1"/>
  <c r="H141" i="16" s="1"/>
  <c r="I141" i="16" s="1"/>
  <c r="M66" i="19"/>
  <c r="N66" i="19" s="1"/>
  <c r="O66" i="19" s="1"/>
  <c r="M51" i="19"/>
  <c r="N51" i="19" s="1"/>
  <c r="M57" i="19"/>
  <c r="N57" i="19" s="1"/>
  <c r="M59" i="19"/>
  <c r="N59" i="19" s="1"/>
  <c r="M55" i="19"/>
  <c r="N55" i="19" s="1"/>
  <c r="M9" i="19"/>
  <c r="N9" i="19" s="1"/>
  <c r="M40" i="19"/>
  <c r="N40" i="19" s="1"/>
  <c r="M41" i="19"/>
  <c r="N41" i="19" s="1"/>
  <c r="M50" i="19"/>
  <c r="N50" i="19" s="1"/>
  <c r="M26" i="19"/>
  <c r="N26" i="19" s="1"/>
  <c r="M21" i="19"/>
  <c r="N21" i="19" s="1"/>
  <c r="M53" i="19"/>
  <c r="N53" i="19" s="1"/>
  <c r="M61" i="19"/>
  <c r="N61" i="19" s="1"/>
  <c r="M43" i="19"/>
  <c r="N43" i="19" s="1"/>
  <c r="M38" i="19"/>
  <c r="N38" i="19" s="1"/>
  <c r="M48" i="19"/>
  <c r="N48" i="19" s="1"/>
  <c r="N19" i="19"/>
  <c r="N20" i="19"/>
  <c r="N25" i="19"/>
  <c r="N32" i="19"/>
  <c r="N34" i="19"/>
  <c r="N35" i="19"/>
  <c r="N36" i="19"/>
  <c r="N37" i="19"/>
  <c r="N39" i="19"/>
  <c r="N44" i="19"/>
  <c r="N45" i="19"/>
  <c r="N46" i="19"/>
  <c r="N47" i="19"/>
  <c r="N56" i="19"/>
  <c r="N58" i="19"/>
  <c r="N60" i="19"/>
  <c r="N63" i="19"/>
  <c r="N64" i="19"/>
  <c r="M18" i="19" l="1"/>
  <c r="N18" i="19" s="1"/>
  <c r="M15" i="19"/>
  <c r="N15" i="19" s="1"/>
  <c r="M10" i="19"/>
  <c r="N10" i="19" s="1"/>
  <c r="M14" i="19"/>
  <c r="N14" i="19" s="1"/>
  <c r="M17" i="19"/>
  <c r="N17" i="19" s="1"/>
  <c r="M68" i="19"/>
  <c r="N68" i="19" s="1"/>
  <c r="O68" i="19" s="1"/>
  <c r="M8" i="19"/>
  <c r="N8" i="19" s="1"/>
  <c r="M33" i="19"/>
  <c r="N33" i="19" s="1"/>
  <c r="M28" i="19"/>
  <c r="N28" i="19" s="1"/>
  <c r="M24" i="19"/>
  <c r="N24" i="19" s="1"/>
  <c r="M52" i="19"/>
  <c r="N52" i="19" s="1"/>
  <c r="M29" i="19"/>
  <c r="N29" i="19" s="1"/>
  <c r="N6" i="19" l="1"/>
  <c r="Q72" i="19"/>
  <c r="J62" i="19"/>
  <c r="J63" i="19"/>
  <c r="J64" i="19"/>
  <c r="J65" i="19"/>
  <c r="O62" i="19" l="1"/>
  <c r="Q62" i="19"/>
  <c r="Q68" i="19"/>
  <c r="Q70" i="19"/>
  <c r="Q66" i="19"/>
  <c r="Q69" i="19"/>
  <c r="O65" i="19"/>
  <c r="Q65" i="19"/>
  <c r="O64" i="19"/>
  <c r="Q64" i="19"/>
  <c r="Q71" i="19"/>
  <c r="Q67" i="19"/>
  <c r="O63" i="19"/>
  <c r="O4" i="19" s="1"/>
  <c r="Q63" i="19"/>
  <c r="B39" i="17"/>
  <c r="B63" i="16" l="1"/>
  <c r="C63" i="16"/>
  <c r="D63" i="16" s="1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8" i="19"/>
  <c r="Q8" i="19" s="1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3" i="19" l="1"/>
  <c r="O2" i="19" s="1"/>
  <c r="O6" i="19"/>
  <c r="A2" i="17"/>
  <c r="B2" i="17"/>
  <c r="C93" i="16" l="1"/>
  <c r="F3" i="19" l="1"/>
  <c r="P3" i="19" l="1"/>
  <c r="T21" i="19"/>
  <c r="A66" i="18"/>
  <c r="H6" i="19" l="1"/>
  <c r="I6" i="19"/>
  <c r="F6" i="19"/>
  <c r="A58" i="18" l="1"/>
  <c r="A56" i="18"/>
  <c r="L11" i="16" l="1"/>
  <c r="L12" i="16"/>
  <c r="H12" i="16" l="1"/>
  <c r="F4" i="19" l="1"/>
  <c r="P4" i="19" l="1"/>
  <c r="W21" i="19"/>
  <c r="G34" i="16"/>
  <c r="G10" i="16"/>
  <c r="G13" i="16" s="1"/>
  <c r="L13" i="16" s="1"/>
  <c r="F2" i="19"/>
  <c r="J4" i="19"/>
  <c r="J3" i="19"/>
  <c r="E10" i="16" l="1"/>
  <c r="E13" i="16" s="1"/>
  <c r="L10" i="16"/>
  <c r="E34" i="16"/>
  <c r="J2" i="19"/>
  <c r="C95" i="16" l="1"/>
  <c r="G95" i="16" s="1"/>
  <c r="G94" i="16"/>
  <c r="G97" i="16"/>
  <c r="G93" i="16"/>
  <c r="G9" i="16" l="1"/>
  <c r="C47" i="18" l="1"/>
  <c r="B47" i="18"/>
  <c r="D47" i="18" l="1"/>
  <c r="G32" i="16"/>
  <c r="H11" i="16"/>
  <c r="H10" i="16"/>
  <c r="H34" i="16"/>
  <c r="C98" i="16" l="1"/>
  <c r="G98" i="16" s="1"/>
  <c r="B41" i="17"/>
  <c r="B40" i="17"/>
  <c r="D58" i="16"/>
  <c r="C67" i="16"/>
  <c r="D68" i="16"/>
  <c r="B37" i="17"/>
  <c r="B36" i="17"/>
  <c r="C70" i="16"/>
  <c r="D66" i="16" s="1"/>
  <c r="B35" i="17"/>
  <c r="D67" i="16" l="1"/>
  <c r="B61" i="16"/>
  <c r="C61" i="16"/>
  <c r="D61" i="16" s="1"/>
  <c r="B60" i="16"/>
  <c r="C60" i="16"/>
  <c r="D60" i="16" s="1"/>
  <c r="B59" i="16"/>
  <c r="C59" i="16"/>
  <c r="D59" i="16" s="1"/>
  <c r="C64" i="16"/>
  <c r="D64" i="16" s="1"/>
  <c r="B64" i="16"/>
  <c r="C65" i="16"/>
  <c r="D65" i="16" s="1"/>
  <c r="B65" i="16"/>
  <c r="C69" i="16"/>
  <c r="D69" i="16" s="1"/>
  <c r="C62" i="16"/>
  <c r="D62" i="16" s="1"/>
  <c r="B34" i="17"/>
  <c r="B33" i="17" s="1"/>
  <c r="D70" i="16" l="1"/>
  <c r="C92" i="16" l="1"/>
  <c r="G33" i="16"/>
</calcChain>
</file>

<file path=xl/comments1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<sst xmlns="http://schemas.openxmlformats.org/spreadsheetml/2006/main" count="2211" uniqueCount="627">
  <si>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</si>
  <si>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</si>
  <si>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</si>
  <si>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</si>
  <si>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</si>
  <si>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</si>
  <si>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</si>
  <si>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</si>
  <si>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Турция</t>
  </si>
  <si>
    <t>Трансфин</t>
  </si>
  <si>
    <t>прочие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</si>
  <si>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</si>
  <si>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</si>
  <si>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</si>
  <si>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</si>
  <si>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</si>
  <si>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Рейтинг В+</t>
  </si>
  <si>
    <t>Мечел</t>
  </si>
  <si>
    <t>Открытие Холдинг</t>
  </si>
  <si>
    <t>сверка</t>
  </si>
  <si>
    <t>Кредит Европа Банк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</si>
  <si>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</si>
  <si>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</si>
  <si>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</si>
  <si>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</si>
  <si>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Стратегический портфель долговых ц/б - это Дом.РФ портфель "обособленный". Риск - столбец кредитный риск</t>
  </si>
  <si>
    <t>Стратегический портфель долговых ц/б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</si>
  <si>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</si>
  <si>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</si>
  <si>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</si>
  <si>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</si>
  <si>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</si>
  <si>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</si>
  <si>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</si>
  <si>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</si>
  <si>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</si>
  <si>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</si>
  <si>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</si>
  <si>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</si>
  <si>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</si>
  <si>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</si>
  <si>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</si>
  <si>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</si>
  <si>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</si>
  <si>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</si>
  <si>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</si>
  <si>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снизилась волатильность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</si>
  <si>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</si>
  <si>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</si>
  <si>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</si>
  <si>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</si>
  <si>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</si>
  <si>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</si>
  <si>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</si>
  <si>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</si>
  <si>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</si>
  <si>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</si>
  <si>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</si>
  <si>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</si>
  <si>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</si>
  <si>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</si>
  <si>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</si>
  <si>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</si>
  <si>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</si>
  <si>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</si>
  <si>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</si>
  <si>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</si>
  <si>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</si>
  <si>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</si>
  <si>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</si>
  <si>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</si>
  <si>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</si>
  <si>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</si>
  <si>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</si>
  <si>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</si>
  <si>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</si>
  <si>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</si>
  <si>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</si>
  <si>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</si>
  <si>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</si>
  <si>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</si>
  <si>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</si>
  <si>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</si>
  <si>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</si>
  <si>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</si>
  <si>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</si>
  <si>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</si>
  <si>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</si>
  <si>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</si>
  <si>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</si>
  <si>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</si>
  <si>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</si>
  <si>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</si>
  <si>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</si>
  <si>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</si>
  <si>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</si>
  <si>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</si>
  <si>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</si>
  <si>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</si>
  <si>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</si>
  <si>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</si>
  <si>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</si>
  <si>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</si>
  <si>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</si>
  <si>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</si>
  <si>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Записка</t>
  </si>
  <si>
    <t>CrVar МБК</t>
  </si>
  <si>
    <t>+</t>
  </si>
  <si>
    <t>-</t>
  </si>
  <si>
    <t>Не устанавливать лимит</t>
  </si>
  <si>
    <t>Элемент Лизинг-001P-01-об</t>
  </si>
  <si>
    <t>ПИК-П06-боб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</si>
  <si>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</si>
  <si>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</si>
  <si>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</si>
  <si>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</si>
  <si>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</si>
  <si>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</si>
  <si>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</si>
  <si>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</si>
  <si>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</si>
  <si>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>Из супер листа (Столбец "Записка" наложить фильтр В+/В, нот рейтед портфеля до погашения), столбец - вложения (АББ+АБФ)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</si>
  <si>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</si>
  <si>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</si>
  <si>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</si>
  <si>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</si>
  <si>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</si>
  <si>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</si>
  <si>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</si>
  <si>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</si>
  <si>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</si>
  <si>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</si>
  <si>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</si>
  <si>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</si>
  <si>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</si>
  <si>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</si>
  <si>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</si>
  <si>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</si>
  <si>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</si>
  <si>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</si>
  <si>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</si>
  <si>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</si>
  <si>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</si>
  <si>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</si>
  <si>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</si>
  <si>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</si>
  <si>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XS1449458915</t>
  </si>
  <si>
    <t>XS1319822752</t>
  </si>
  <si>
    <t>XS1433454243</t>
  </si>
  <si>
    <t>CH0385518086</t>
  </si>
  <si>
    <t>XS1951067039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</si>
  <si>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</si>
  <si>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</si>
  <si>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</si>
  <si>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</si>
  <si>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</si>
  <si>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</si>
  <si>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</si>
  <si>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XS2099763075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</si>
  <si>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</si>
  <si>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</si>
  <si>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</si>
  <si>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</si>
  <si>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</si>
  <si>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</si>
  <si>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</si>
  <si>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</si>
  <si>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XS1038646078</t>
  </si>
  <si>
    <t>XS0743596040</t>
  </si>
  <si>
    <t>RU000A0JW1P8</t>
  </si>
  <si>
    <t>RU000A0JWBH2</t>
  </si>
  <si>
    <t>RU000A0JV508</t>
  </si>
  <si>
    <t>RU000A0JWV63</t>
  </si>
  <si>
    <t>RU000A0ZYNY4</t>
  </si>
  <si>
    <t>RU000A0JVUK8</t>
  </si>
  <si>
    <t>RU000A0ZZ0L6</t>
  </si>
  <si>
    <t>RU000A0ZZ1J8</t>
  </si>
  <si>
    <t>RU000A0ZZAW2</t>
  </si>
  <si>
    <t>RU000A0JWYQ5</t>
  </si>
  <si>
    <t>RU000A0JVA10</t>
  </si>
  <si>
    <t>RU000A0JWPA7</t>
  </si>
  <si>
    <t>RU000A0JVVA7</t>
  </si>
  <si>
    <t>RU000A0JTVJ2</t>
  </si>
  <si>
    <t>RU000A100VX2</t>
  </si>
  <si>
    <t>RU000A0JXVE5</t>
  </si>
  <si>
    <t>RU000A0JX1S1</t>
  </si>
  <si>
    <t>XS1946883342</t>
  </si>
  <si>
    <t>RU000A101MZ4</t>
  </si>
  <si>
    <t>RU000A0ZZZN8</t>
  </si>
  <si>
    <t>XS1691350455</t>
  </si>
  <si>
    <t>ГТЛК-2021-еврооб</t>
  </si>
  <si>
    <t>Евраз-2021-еврооб</t>
  </si>
  <si>
    <t>Совкомфлот-2023-еврооб</t>
  </si>
  <si>
    <t>ABH Financial-2022-еврооб</t>
  </si>
  <si>
    <t>МКБ-2024-еврооб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</si>
  <si>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</si>
  <si>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</si>
  <si>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</si>
  <si>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</si>
  <si>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</si>
  <si>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</si>
  <si>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</si>
  <si>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МКБ-2025-еврооб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</si>
  <si>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</si>
  <si>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</si>
  <si>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</si>
  <si>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</si>
  <si>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</si>
  <si>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</si>
  <si>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</si>
  <si>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</si>
  <si>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Газпром-2021-еврооб</t>
  </si>
  <si>
    <t>Сбербанк-2022-еврооб</t>
  </si>
  <si>
    <t>ГТЛК БО-07</t>
  </si>
  <si>
    <t>ЕвразХолдинг Финанс-001-об</t>
  </si>
  <si>
    <t>Ипотечный агент ТФБ-1-об</t>
  </si>
  <si>
    <t>Россельхозбанк-08Т1-об</t>
  </si>
  <si>
    <t>ГТЛК-001Р-07-боб</t>
  </si>
  <si>
    <t>СистемаАФК-001P-01-боб</t>
  </si>
  <si>
    <t>ГТЛК-001P-09-боб</t>
  </si>
  <si>
    <t>СистемаАФК-001P-04-боб</t>
  </si>
  <si>
    <t>ГТЛК-4-боб</t>
  </si>
  <si>
    <t>Совкомбанк-03-боб</t>
  </si>
  <si>
    <t>РОСНАНО-6-об</t>
  </si>
  <si>
    <t>Россельхозбанк-20-об</t>
  </si>
  <si>
    <t>МБЭС-001P-01-боб</t>
  </si>
  <si>
    <t>Синх-финанс-001P-01-боб</t>
  </si>
  <si>
    <t>РЖД-41-об</t>
  </si>
  <si>
    <t>Альфа-Банк-2022-еврооб</t>
  </si>
  <si>
    <t>МИБ-01Р4-боб</t>
  </si>
  <si>
    <t>Совкомбанк Лизинг-п01-боб</t>
  </si>
  <si>
    <t>РусГидро-2022-еврооб</t>
  </si>
  <si>
    <t>АБФ-БО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</si>
  <si>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</si>
  <si>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</si>
  <si>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</si>
  <si>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</si>
  <si>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</si>
  <si>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</si>
  <si>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</si>
  <si>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</si>
  <si>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</si>
  <si>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</si>
  <si>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</si>
  <si>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</si>
  <si>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</si>
  <si>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</si>
  <si>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</si>
  <si>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</si>
  <si>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</si>
  <si>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</si>
  <si>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</si>
  <si>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</si>
  <si>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</si>
  <si>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</si>
  <si>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</si>
  <si>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</si>
  <si>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</si>
  <si>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</si>
  <si>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РОСНАНО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</si>
  <si>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</si>
  <si>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</si>
  <si>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</si>
  <si>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</si>
  <si>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</si>
  <si>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ДОМ.РФ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</si>
  <si>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</si>
  <si>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</si>
  <si>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</si>
  <si>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</si>
  <si>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</si>
  <si>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</si>
  <si>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</si>
  <si>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</si>
  <si>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</si>
  <si>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</si>
  <si>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</si>
  <si>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</si>
  <si>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</si>
  <si>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</si>
  <si>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</si>
  <si>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</si>
  <si>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</si>
  <si>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</si>
  <si>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</si>
  <si>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</si>
  <si>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</si>
  <si>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</si>
  <si>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</si>
  <si>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cvar, %</t>
  </si>
  <si>
    <t>Стресс , млн руб</t>
  </si>
  <si>
    <t>Стресс, %</t>
  </si>
  <si>
    <t>Русал</t>
  </si>
  <si>
    <t>Ипотечный партнер</t>
  </si>
  <si>
    <t>МБК</t>
  </si>
  <si>
    <t>кредитный риск HTM</t>
  </si>
  <si>
    <t>Сверка</t>
  </si>
  <si>
    <t>NR</t>
  </si>
  <si>
    <t>B+ / B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</si>
  <si>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</si>
  <si>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</si>
  <si>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</si>
  <si>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 августе облигации Русал Братск на 644 млн руб были переведены в ЗПИФ Перспектива.</t>
  </si>
  <si>
    <t>ВЭБ-Лизинг-3-об</t>
  </si>
  <si>
    <t>ВЭБ-Лизинг</t>
  </si>
  <si>
    <t>Открытие Холдинг-5-об</t>
  </si>
  <si>
    <t>ФК Открытие</t>
  </si>
  <si>
    <t>Тинькофф-001P-03R-боб</t>
  </si>
  <si>
    <t>Тинькофф</t>
  </si>
  <si>
    <t>Росбанк-11-боб</t>
  </si>
  <si>
    <t>Росбанк</t>
  </si>
  <si>
    <t>Росбанк-26-боб</t>
  </si>
  <si>
    <t>Башнефть-7-об</t>
  </si>
  <si>
    <t>Башнефть</t>
  </si>
  <si>
    <t>Башнефть-9-об</t>
  </si>
  <si>
    <t>Роснано</t>
  </si>
  <si>
    <t>Норникель-2025-еврооб</t>
  </si>
  <si>
    <t>СистемаАФК-1Р-15</t>
  </si>
  <si>
    <t>МИБ-001Р-05</t>
  </si>
  <si>
    <t>В сентябре облигации Сегежа на 620 млн руб были переведены в ЗПИФ Перспектива.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</si>
  <si>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</si>
  <si>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</si>
  <si>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</si>
  <si>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</si>
  <si>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</si>
  <si>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</si>
  <si>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</si>
  <si>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</si>
  <si>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</si>
  <si>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</si>
  <si>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</si>
  <si>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</si>
  <si>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</si>
  <si>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</si>
  <si>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</si>
  <si>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</si>
  <si>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</si>
  <si>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</si>
  <si>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</si>
  <si>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</si>
  <si>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акции обыкновенные</t>
  </si>
  <si>
    <t>Сбербанк РФ, ао</t>
  </si>
  <si>
    <t>Топливная промышленность</t>
  </si>
  <si>
    <t>Газпром нефть, ао</t>
  </si>
  <si>
    <t>Газпром, ао</t>
  </si>
  <si>
    <t>корпоративные еврооблигации</t>
  </si>
  <si>
    <t>Телекоммуникации, связь</t>
  </si>
  <si>
    <t>Прочее</t>
  </si>
  <si>
    <t>корпоративные рублевые облигации</t>
  </si>
  <si>
    <t>Электроэнергетика</t>
  </si>
  <si>
    <t>облигации РФ</t>
  </si>
  <si>
    <t>ОФЗ-52002</t>
  </si>
  <si>
    <t>ОФЗ-26227</t>
  </si>
  <si>
    <t>ОФЗ-26229</t>
  </si>
  <si>
    <t>ОФЗ-26232</t>
  </si>
  <si>
    <t>акции привилегированные</t>
  </si>
  <si>
    <t>Татнефть, ап</t>
  </si>
  <si>
    <t>Башнефть, ап</t>
  </si>
  <si>
    <t>Металлоинвес-3-об</t>
  </si>
  <si>
    <t>ОФЗ-29007</t>
  </si>
  <si>
    <t>ГТЛК-2027-еврооб</t>
  </si>
  <si>
    <t>ГТЛК-2028-еврооб</t>
  </si>
  <si>
    <t>XS2243631095</t>
  </si>
  <si>
    <t>RU000A0JTLL9</t>
  </si>
  <si>
    <t>XS1964558339</t>
  </si>
  <si>
    <t>XS2131995958</t>
  </si>
  <si>
    <t>XS2249778247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</si>
  <si>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</si>
  <si>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</si>
  <si>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</si>
  <si>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</si>
  <si>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</si>
  <si>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</si>
  <si>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</si>
  <si>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ОФЗ-26207</t>
  </si>
  <si>
    <t>ОФЗ-26219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</si>
  <si>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</si>
  <si>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</si>
  <si>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</si>
  <si>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</si>
  <si>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</si>
  <si>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</si>
  <si>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</si>
  <si>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</si>
  <si>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</si>
  <si>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</si>
  <si>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</si>
  <si>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</si>
  <si>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</si>
  <si>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</si>
  <si>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</si>
  <si>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</si>
  <si>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</si>
  <si>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</si>
  <si>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</si>
  <si>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</si>
  <si>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</si>
  <si>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</si>
  <si>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</si>
  <si>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</si>
  <si>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</si>
  <si>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</si>
  <si>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</si>
  <si>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</si>
  <si>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</si>
  <si>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</si>
  <si>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</si>
  <si>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</si>
  <si>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</si>
  <si>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</si>
  <si>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</si>
  <si>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</si>
  <si>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</si>
  <si>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</si>
  <si>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</si>
  <si>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</si>
  <si>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</si>
  <si>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</si>
  <si>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</si>
  <si>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</si>
  <si>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</si>
  <si>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</si>
  <si>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>Портфель до погашения АББ , АБФ, Перспектива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</si>
  <si>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</si>
  <si>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</si>
  <si>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</si>
  <si>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</si>
  <si>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</si>
  <si>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</si>
  <si>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</si>
  <si>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</si>
  <si>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</si>
  <si>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</si>
  <si>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</si>
  <si>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</si>
  <si>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</si>
  <si>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</si>
  <si>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</si>
  <si>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</si>
  <si>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</si>
  <si>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</si>
  <si>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</si>
  <si>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</si>
  <si>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</si>
  <si>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</si>
  <si>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</si>
  <si>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</si>
  <si>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</si>
  <si>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</si>
  <si>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</si>
  <si>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</si>
  <si>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</si>
  <si>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</si>
  <si>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</si>
  <si>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</si>
  <si>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</si>
  <si>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</si>
  <si>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</si>
  <si>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</si>
  <si>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</si>
  <si>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</si>
  <si>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</si>
  <si>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</si>
  <si>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</si>
  <si>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</si>
  <si>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</si>
  <si>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</si>
  <si>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</si>
  <si>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</si>
  <si>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</si>
  <si>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По протоколы</t>
  </si>
  <si>
    <t>XS2134628069</t>
  </si>
  <si>
    <t>RU000A0JREW5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</si>
  <si>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</si>
  <si>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</si>
  <si>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</si>
  <si>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</si>
  <si>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</si>
  <si>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</si>
  <si>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</si>
  <si>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</si>
  <si>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</si>
  <si>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</si>
  <si>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</si>
  <si>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</si>
  <si>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</si>
  <si>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</si>
  <si>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</si>
  <si>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Беларусь-2023-еврооб</t>
  </si>
  <si>
    <t>XS1634369067</t>
  </si>
  <si>
    <t>RU000A0JV4M0</t>
  </si>
  <si>
    <t>SBER</t>
  </si>
  <si>
    <t>UPRO</t>
  </si>
  <si>
    <t>LKOH</t>
  </si>
  <si>
    <t>SIBN</t>
  </si>
  <si>
    <t>GAZP</t>
  </si>
  <si>
    <t>IRAO</t>
  </si>
  <si>
    <t>RU000A0ZYZ26</t>
  </si>
  <si>
    <t>RU000A1007F4</t>
  </si>
  <si>
    <t>RU000A100EG3</t>
  </si>
  <si>
    <t>RU000A1014N4</t>
  </si>
  <si>
    <t>RU000A0JS3W6</t>
  </si>
  <si>
    <t>RU000A0JWM07</t>
  </si>
  <si>
    <t>TATNP</t>
  </si>
  <si>
    <t>BANEP</t>
  </si>
  <si>
    <t>TRNFP</t>
  </si>
  <si>
    <t>RU000A102CL3</t>
  </si>
  <si>
    <t>госеврооблигации</t>
  </si>
  <si>
    <t>Полюс-золото, ао</t>
  </si>
  <si>
    <t>Россия-2032-еврооб</t>
  </si>
  <si>
    <t>Страны</t>
  </si>
  <si>
    <t>Полюс-золото</t>
  </si>
  <si>
    <t>Вложения (руб) на 01.01.2021</t>
  </si>
  <si>
    <t>Газпром-2025_u-еврооб</t>
  </si>
  <si>
    <t>ГТЛК-001P-08-боб</t>
  </si>
  <si>
    <t>RU000A0ZYR91</t>
  </si>
  <si>
    <t>РОСНАНО-8-об</t>
  </si>
  <si>
    <t>RU000A1008V9</t>
  </si>
  <si>
    <t>Сегежа-001P-01R-боб</t>
  </si>
  <si>
    <t>RU000A101D13</t>
  </si>
  <si>
    <t>Роснано-2р4-боб</t>
  </si>
  <si>
    <t>RU000A101KK0</t>
  </si>
  <si>
    <t>Русал Братск-002Р-01-боб</t>
  </si>
  <si>
    <t>RU000A101S81</t>
  </si>
  <si>
    <t>Металлоинвест-2-об</t>
  </si>
  <si>
    <t>RU000A0JTLJ3</t>
  </si>
  <si>
    <t>Сегежа</t>
  </si>
  <si>
    <t>SNGS</t>
  </si>
  <si>
    <t>RU000A102FS1</t>
  </si>
  <si>
    <t>RU000A102GY7</t>
  </si>
  <si>
    <t>Сургутнефтегаз, ао</t>
  </si>
  <si>
    <t>СистемаАФК-001P-16</t>
  </si>
  <si>
    <t>Хэдхантер-001Р-01R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</si>
  <si>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</si>
  <si>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</si>
  <si>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</si>
  <si>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</si>
  <si>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</si>
  <si>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</si>
  <si>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</si>
  <si>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</si>
  <si>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</si>
  <si>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</si>
  <si>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</si>
  <si>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EVRE   8.250 01/28/21</t>
  </si>
  <si>
    <t>FASPM  5.375 06/16/23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</si>
  <si>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</si>
  <si>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</si>
  <si>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</si>
  <si>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</si>
  <si>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</si>
  <si>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</si>
  <si>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</si>
  <si>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</si>
  <si>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</si>
  <si>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</si>
  <si>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</si>
  <si>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</si>
  <si>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</si>
  <si>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</si>
  <si>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</si>
  <si>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</si>
  <si>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MMCFN  3.849 04/08/22</t>
  </si>
  <si>
    <t>SGEEL  3.850 08/27/21</t>
  </si>
  <si>
    <t>GAZCA  3.600 02/26/21 MTN</t>
  </si>
  <si>
    <t>STSBC  6.125 02/07/22 MTN</t>
  </si>
  <si>
    <t>BYGV   6.875 02/28/23</t>
  </si>
  <si>
    <t>GAZFI  4.598 Perp     '25 FRN</t>
  </si>
  <si>
    <t>VNESH  7.270 04/02/21 PUT</t>
  </si>
  <si>
    <t>RUB</t>
  </si>
  <si>
    <t>FNDEO 11.000 03/26/47</t>
  </si>
  <si>
    <t>OTKRT  0.010 04/25/28 PUT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</si>
  <si>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</si>
  <si>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</si>
  <si>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</si>
  <si>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</si>
  <si>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</si>
  <si>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</si>
  <si>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</si>
  <si>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BANE   6.300 01/31/23 PUT</t>
  </si>
  <si>
    <t>IIB    6.750 05/16/23</t>
  </si>
  <si>
    <t>SVKBK 10.350 12/21/21</t>
  </si>
  <si>
    <t>AFKS   6.700 08/26/30 PUT</t>
  </si>
  <si>
    <t>IIB    5.950 03/10/23</t>
  </si>
  <si>
    <t>AFKS   6.100 11/25/30 PUT</t>
  </si>
  <si>
    <t>HEDTR  6.450 12/11/23</t>
  </si>
  <si>
    <t>GOTRL  6.890 12/16/25 PUT</t>
  </si>
  <si>
    <t>EVRE  12.600 03/23/21</t>
  </si>
  <si>
    <t>GOTRL  5.250 12/31/32 FRN PUT</t>
  </si>
  <si>
    <t>GOTRL  5.150 01/18/33 FRN PUT</t>
  </si>
  <si>
    <t>ELLEA 10.600 03/26/21</t>
  </si>
  <si>
    <t>GOTRL  7.350 03/18/33 PUT</t>
  </si>
  <si>
    <t>PIKK   5.700 06/23/21 FRN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</si>
  <si>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</si>
  <si>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</si>
  <si>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</si>
  <si>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</si>
  <si>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</si>
  <si>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</si>
  <si>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</si>
  <si>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</si>
  <si>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</si>
  <si>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</si>
  <si>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</si>
  <si>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</si>
  <si>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</si>
  <si>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</si>
  <si>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</si>
  <si>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</si>
  <si>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</si>
  <si>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</si>
  <si>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8.150 02/03/27</t>
  </si>
  <si>
    <t>RUGV   7.750 09/16/26</t>
  </si>
  <si>
    <t>RUGV   6.310 03/03/27 FRN</t>
  </si>
  <si>
    <t>RUGV   1.850 11/20/32</t>
  </si>
  <si>
    <t>Корпоративные</t>
  </si>
  <si>
    <t>Ценная бумага</t>
  </si>
  <si>
    <t>Корпоративные облигации (в т.ч. еврооблигации)</t>
  </si>
  <si>
    <t>Копируем из листа "портфель до погашения"</t>
  </si>
  <si>
    <t>Облигации федерального займа (в т.ч. еврооблигации РФ)</t>
  </si>
  <si>
    <t>Субфедеральные облигации</t>
  </si>
  <si>
    <t>Ипотечные облигации ДОМ.РФ</t>
  </si>
  <si>
    <t>Копируем из листа "1"</t>
  </si>
  <si>
    <t>торговый</t>
  </si>
  <si>
    <t>для продажи</t>
  </si>
  <si>
    <t>до погашения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</si>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</sst>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_-* #,##0_р_._-;\-* #,##0_р_._-;_-* &quot;-&quot;??_р_._-;_-@_-"/>
    <numFmt numFmtId="172" formatCode="0.000000%"/>
    <numFmt numFmtId="173" formatCode="0.0000%"/>
    <numFmt numFmtId="174" formatCode="yyyy\-mm\-dd"/>
    <numFmt numFmtId="175" formatCode="0.0000000000000"/>
    <numFmt numFmtId="176" formatCode="#,##0.00000"/>
    <numFmt numFmtId="177" formatCode="0.0000000%"/>
    <numFmt numFmtId="178" formatCode="0.00000%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6" fillId="0" borderId="0"/>
    <xf numFmtId="0" fontId="7" fillId="0" borderId="0"/>
    <xf numFmtId="0" fontId="8" fillId="0" borderId="0"/>
    <xf numFmtId="166" fontId="8" fillId="0" borderId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2" fillId="0" borderId="0"/>
    <xf numFmtId="0" fontId="18" fillId="0" borderId="0"/>
    <xf numFmtId="9" fontId="14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5" fillId="0" borderId="0"/>
    <xf numFmtId="0" fontId="36" fillId="0" borderId="0" applyNumberFormat="0" applyFill="0" applyBorder="0" applyAlignment="0" applyProtection="0"/>
    <xf numFmtId="165" fontId="6" fillId="0" borderId="0" applyFont="0" applyFill="0" applyBorder="0" applyAlignment="0" applyProtection="0"/>
  </cellStyleXfs>
  <cellXfs count="239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0" fillId="0" borderId="1" xfId="0" applyNumberFormat="1" applyFont="1" applyBorder="1"/>
    <xf numFmtId="14" fontId="10" fillId="4" borderId="1" xfId="0" applyNumberFormat="1" applyFont="1" applyFill="1" applyBorder="1"/>
    <xf numFmtId="3" fontId="10" fillId="0" borderId="1" xfId="0" applyNumberFormat="1" applyFont="1" applyBorder="1"/>
    <xf numFmtId="0" fontId="10" fillId="0" borderId="1" xfId="0" applyFont="1" applyBorder="1"/>
    <xf numFmtId="0" fontId="9" fillId="0" borderId="1" xfId="0" applyFont="1" applyBorder="1"/>
    <xf numFmtId="3" fontId="11" fillId="0" borderId="1" xfId="0" applyNumberFormat="1" applyFont="1" applyBorder="1"/>
    <xf numFmtId="0" fontId="0" fillId="0" borderId="1" xfId="0" applyBorder="1" applyAlignment="1">
      <alignment wrapText="1"/>
    </xf>
    <xf numFmtId="0" fontId="10" fillId="2" borderId="1" xfId="0" applyFont="1" applyFill="1" applyBorder="1"/>
    <xf numFmtId="3" fontId="10" fillId="2" borderId="1" xfId="0" applyNumberFormat="1" applyFont="1" applyFill="1" applyBorder="1"/>
    <xf numFmtId="3" fontId="0" fillId="0" borderId="1" xfId="0" applyNumberFormat="1" applyBorder="1"/>
    <xf numFmtId="0" fontId="0" fillId="0" borderId="0" xfId="0" applyAlignment="1">
      <alignment horizontal="center" vertical="center" wrapText="1"/>
    </xf>
    <xf numFmtId="167" fontId="0" fillId="0" borderId="1" xfId="0" applyNumberFormat="1" applyBorder="1"/>
    <xf numFmtId="167" fontId="0" fillId="2" borderId="1" xfId="0" applyNumberFormat="1" applyFill="1" applyBorder="1"/>
    <xf numFmtId="0" fontId="10" fillId="5" borderId="1" xfId="0" applyFont="1" applyFill="1" applyBorder="1"/>
    <xf numFmtId="3" fontId="10" fillId="5" borderId="1" xfId="0" applyNumberFormat="1" applyFont="1" applyFill="1" applyBorder="1"/>
    <xf numFmtId="167" fontId="10" fillId="5" borderId="1" xfId="0" applyNumberFormat="1" applyFont="1" applyFill="1" applyBorder="1"/>
    <xf numFmtId="14" fontId="11" fillId="0" borderId="4" xfId="0" applyNumberFormat="1" applyFont="1" applyBorder="1" applyAlignment="1"/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9" fillId="0" borderId="0" xfId="0" applyFont="1" applyBorder="1"/>
    <xf numFmtId="3" fontId="11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5" fillId="0" borderId="0" xfId="10" applyFont="1" applyAlignment="1">
      <alignment vertical="center"/>
    </xf>
    <xf numFmtId="0" fontId="15" fillId="0" borderId="1" xfId="10" applyFont="1" applyBorder="1" applyAlignment="1">
      <alignment vertical="center"/>
    </xf>
    <xf numFmtId="3" fontId="15" fillId="0" borderId="1" xfId="10" applyNumberFormat="1" applyFont="1" applyBorder="1" applyAlignment="1">
      <alignment vertical="center"/>
    </xf>
    <xf numFmtId="10" fontId="15" fillId="0" borderId="1" xfId="10" applyNumberFormat="1" applyFont="1" applyBorder="1" applyAlignment="1">
      <alignment vertical="center"/>
    </xf>
    <xf numFmtId="0" fontId="16" fillId="0" borderId="1" xfId="10" applyFont="1" applyBorder="1" applyAlignment="1">
      <alignment horizontal="center" vertical="center" wrapText="1"/>
    </xf>
    <xf numFmtId="0" fontId="15" fillId="0" borderId="1" xfId="10" applyFont="1" applyBorder="1" applyAlignment="1">
      <alignment horizontal="center" vertical="center" wrapText="1"/>
    </xf>
    <xf numFmtId="0" fontId="15" fillId="0" borderId="6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3" fontId="17" fillId="0" borderId="1" xfId="10" applyNumberFormat="1" applyFont="1" applyBorder="1" applyAlignment="1">
      <alignment vertical="center"/>
    </xf>
    <xf numFmtId="3" fontId="17" fillId="6" borderId="1" xfId="10" applyNumberFormat="1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19" fillId="0" borderId="0" xfId="11" applyFont="1"/>
    <xf numFmtId="167" fontId="19" fillId="0" borderId="0" xfId="12" applyNumberFormat="1" applyFont="1"/>
    <xf numFmtId="0" fontId="19" fillId="4" borderId="1" xfId="11" applyFont="1" applyFill="1" applyBorder="1" applyAlignment="1">
      <alignment horizontal="center" vertical="center" wrapText="1"/>
    </xf>
    <xf numFmtId="0" fontId="19" fillId="0" borderId="0" xfId="11" applyFont="1" applyAlignment="1">
      <alignment wrapText="1"/>
    </xf>
    <xf numFmtId="167" fontId="19" fillId="4" borderId="1" xfId="12" applyNumberFormat="1" applyFont="1" applyFill="1" applyBorder="1" applyAlignment="1">
      <alignment horizontal="center" vertical="center" wrapText="1"/>
    </xf>
    <xf numFmtId="10" fontId="19" fillId="2" borderId="1" xfId="13" applyNumberFormat="1" applyFont="1" applyFill="1" applyBorder="1" applyAlignment="1">
      <alignment vertical="center"/>
    </xf>
    <xf numFmtId="0" fontId="19" fillId="2" borderId="1" xfId="11" applyFont="1" applyFill="1" applyBorder="1" applyAlignment="1">
      <alignment vertical="center"/>
    </xf>
    <xf numFmtId="10" fontId="19" fillId="2" borderId="1" xfId="12" applyNumberFormat="1" applyFont="1" applyFill="1" applyBorder="1" applyAlignment="1">
      <alignment horizontal="right" vertical="center"/>
    </xf>
    <xf numFmtId="168" fontId="19" fillId="4" borderId="1" xfId="13" applyNumberFormat="1" applyFont="1" applyFill="1" applyBorder="1" applyAlignment="1">
      <alignment horizontal="center" vertical="center"/>
    </xf>
    <xf numFmtId="167" fontId="19" fillId="2" borderId="1" xfId="12" applyNumberFormat="1" applyFont="1" applyFill="1" applyBorder="1" applyAlignment="1">
      <alignment horizontal="right" vertical="center"/>
    </xf>
    <xf numFmtId="10" fontId="19" fillId="2" borderId="1" xfId="13" applyNumberFormat="1" applyFont="1" applyFill="1" applyBorder="1" applyAlignment="1">
      <alignment horizontal="center" vertical="center"/>
    </xf>
    <xf numFmtId="10" fontId="19" fillId="4" borderId="1" xfId="13" applyNumberFormat="1" applyFont="1" applyFill="1" applyBorder="1" applyAlignment="1">
      <alignment horizontal="center" vertical="center"/>
    </xf>
    <xf numFmtId="10" fontId="19" fillId="0" borderId="0" xfId="11" applyNumberFormat="1" applyFont="1"/>
    <xf numFmtId="10" fontId="19" fillId="2" borderId="1" xfId="12" applyNumberFormat="1" applyFont="1" applyFill="1" applyBorder="1" applyAlignment="1">
      <alignment vertical="center"/>
    </xf>
    <xf numFmtId="3" fontId="15" fillId="0" borderId="1" xfId="10" applyNumberFormat="1" applyFont="1" applyBorder="1" applyAlignment="1">
      <alignment horizontal="center" vertical="center"/>
    </xf>
    <xf numFmtId="0" fontId="21" fillId="7" borderId="0" xfId="10" applyFont="1" applyFill="1" applyAlignment="1">
      <alignment horizontal="center" vertical="center"/>
    </xf>
    <xf numFmtId="3" fontId="21" fillId="7" borderId="0" xfId="10" applyNumberFormat="1" applyFont="1" applyFill="1" applyAlignment="1">
      <alignment horizontal="center" vertical="center"/>
    </xf>
    <xf numFmtId="0" fontId="22" fillId="0" borderId="1" xfId="0" applyFont="1" applyBorder="1"/>
    <xf numFmtId="3" fontId="22" fillId="0" borderId="1" xfId="0" applyNumberFormat="1" applyFont="1" applyBorder="1"/>
    <xf numFmtId="0" fontId="22" fillId="0" borderId="0" xfId="0" applyFont="1"/>
    <xf numFmtId="0" fontId="20" fillId="0" borderId="1" xfId="0" applyFont="1" applyBorder="1"/>
    <xf numFmtId="3" fontId="20" fillId="0" borderId="1" xfId="0" applyNumberFormat="1" applyFont="1" applyBorder="1"/>
    <xf numFmtId="0" fontId="22" fillId="5" borderId="1" xfId="0" applyFont="1" applyFill="1" applyBorder="1"/>
    <xf numFmtId="3" fontId="22" fillId="5" borderId="1" xfId="0" applyNumberFormat="1" applyFont="1" applyFill="1" applyBorder="1"/>
    <xf numFmtId="3" fontId="22" fillId="0" borderId="0" xfId="0" applyNumberFormat="1" applyFont="1"/>
    <xf numFmtId="169" fontId="10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7" fillId="6" borderId="1" xfId="10" applyFont="1" applyFill="1" applyBorder="1" applyAlignment="1">
      <alignment horizontal="center" vertical="center"/>
    </xf>
    <xf numFmtId="0" fontId="17" fillId="0" borderId="1" xfId="10" applyFont="1" applyBorder="1" applyAlignment="1">
      <alignment horizontal="center" vertical="center"/>
    </xf>
    <xf numFmtId="0" fontId="15" fillId="0" borderId="8" xfId="10" applyFont="1" applyBorder="1" applyAlignment="1">
      <alignment horizontal="center" vertical="center"/>
    </xf>
    <xf numFmtId="0" fontId="15" fillId="0" borderId="1" xfId="10" applyFont="1" applyBorder="1" applyAlignment="1">
      <alignment horizontal="center" vertical="center"/>
    </xf>
    <xf numFmtId="17" fontId="25" fillId="3" borderId="0" xfId="0" applyNumberFormat="1" applyFont="1" applyFill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14" fontId="25" fillId="0" borderId="0" xfId="0" applyNumberFormat="1" applyFont="1" applyBorder="1" applyAlignment="1">
      <alignment vertical="center"/>
    </xf>
    <xf numFmtId="0" fontId="25" fillId="0" borderId="0" xfId="0" applyFont="1" applyBorder="1" applyAlignment="1">
      <alignment vertical="center" wrapText="1"/>
    </xf>
    <xf numFmtId="0" fontId="26" fillId="0" borderId="0" xfId="0" applyFont="1" applyAlignment="1">
      <alignment wrapText="1"/>
    </xf>
    <xf numFmtId="14" fontId="25" fillId="0" borderId="1" xfId="0" applyNumberFormat="1" applyFont="1" applyBorder="1" applyAlignment="1">
      <alignment vertical="center"/>
    </xf>
    <xf numFmtId="0" fontId="26" fillId="0" borderId="0" xfId="0" applyFont="1" applyBorder="1"/>
    <xf numFmtId="14" fontId="26" fillId="0" borderId="0" xfId="0" applyNumberFormat="1" applyFont="1" applyBorder="1"/>
    <xf numFmtId="0" fontId="26" fillId="0" borderId="0" xfId="0" applyFont="1" applyBorder="1" applyAlignment="1">
      <alignment wrapText="1"/>
    </xf>
    <xf numFmtId="0" fontId="26" fillId="0" borderId="1" xfId="0" applyFont="1" applyBorder="1" applyAlignment="1">
      <alignment wrapText="1"/>
    </xf>
    <xf numFmtId="169" fontId="10" fillId="2" borderId="1" xfId="0" applyNumberFormat="1" applyFont="1" applyFill="1" applyBorder="1"/>
    <xf numFmtId="170" fontId="15" fillId="0" borderId="0" xfId="15" applyNumberFormat="1" applyFont="1" applyAlignment="1">
      <alignment vertical="center"/>
    </xf>
    <xf numFmtId="170" fontId="16" fillId="0" borderId="1" xfId="15" applyNumberFormat="1" applyFont="1" applyBorder="1" applyAlignment="1">
      <alignment horizontal="center" vertical="center" wrapText="1"/>
    </xf>
    <xf numFmtId="170" fontId="15" fillId="0" borderId="1" xfId="15" applyNumberFormat="1" applyFont="1" applyBorder="1" applyAlignment="1">
      <alignment vertical="center"/>
    </xf>
    <xf numFmtId="0" fontId="30" fillId="2" borderId="1" xfId="0" applyFont="1" applyFill="1" applyBorder="1" applyAlignment="1">
      <alignment vertical="center"/>
    </xf>
    <xf numFmtId="171" fontId="30" fillId="2" borderId="1" xfId="6" applyNumberFormat="1" applyFont="1" applyFill="1" applyBorder="1" applyAlignment="1">
      <alignment vertical="center"/>
    </xf>
    <xf numFmtId="171" fontId="29" fillId="2" borderId="1" xfId="6" applyNumberFormat="1" applyFont="1" applyFill="1" applyBorder="1"/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5" fillId="0" borderId="0" xfId="0" applyFont="1"/>
    <xf numFmtId="0" fontId="25" fillId="0" borderId="1" xfId="0" applyFont="1" applyFill="1" applyBorder="1" applyAlignment="1">
      <alignment horizontal="center" vertical="center"/>
    </xf>
    <xf numFmtId="167" fontId="19" fillId="0" borderId="1" xfId="12" applyNumberFormat="1" applyFont="1" applyBorder="1"/>
    <xf numFmtId="0" fontId="19" fillId="0" borderId="1" xfId="11" applyFont="1" applyBorder="1"/>
    <xf numFmtId="0" fontId="31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14" fontId="20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32" fillId="5" borderId="1" xfId="0" applyFont="1" applyFill="1" applyBorder="1"/>
    <xf numFmtId="0" fontId="10" fillId="4" borderId="1" xfId="0" applyFont="1" applyFill="1" applyBorder="1"/>
    <xf numFmtId="0" fontId="10" fillId="0" borderId="1" xfId="0" applyFont="1" applyBorder="1" applyAlignment="1">
      <alignment wrapText="1"/>
    </xf>
    <xf numFmtId="0" fontId="32" fillId="0" borderId="1" xfId="0" applyFont="1" applyBorder="1" applyAlignment="1">
      <alignment vertical="top" wrapText="1"/>
    </xf>
    <xf numFmtId="0" fontId="10" fillId="0" borderId="0" xfId="0" applyFont="1" applyAlignment="1">
      <alignment wrapText="1"/>
    </xf>
    <xf numFmtId="0" fontId="20" fillId="0" borderId="1" xfId="0" applyFont="1" applyBorder="1" applyAlignment="1">
      <alignment vertical="center"/>
    </xf>
    <xf numFmtId="0" fontId="20" fillId="0" borderId="1" xfId="0" applyFont="1" applyBorder="1" applyAlignment="1">
      <alignment vertical="center" wrapText="1"/>
    </xf>
    <xf numFmtId="0" fontId="33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vertical="center" wrapText="1"/>
    </xf>
    <xf numFmtId="14" fontId="34" fillId="0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3" fontId="2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70" fontId="15" fillId="0" borderId="1" xfId="15" applyNumberFormat="1" applyFont="1" applyBorder="1" applyAlignment="1">
      <alignment horizontal="center" vertical="center"/>
    </xf>
    <xf numFmtId="170" fontId="15" fillId="2" borderId="1" xfId="15" applyNumberFormat="1" applyFont="1" applyFill="1" applyBorder="1" applyAlignment="1">
      <alignment horizontal="center" vertical="center"/>
    </xf>
    <xf numFmtId="0" fontId="19" fillId="8" borderId="0" xfId="11" applyFont="1" applyFill="1"/>
    <xf numFmtId="0" fontId="1" fillId="0" borderId="0" xfId="16"/>
    <xf numFmtId="174" fontId="1" fillId="0" borderId="0" xfId="16" applyNumberFormat="1"/>
    <xf numFmtId="175" fontId="1" fillId="0" borderId="0" xfId="16" applyNumberFormat="1"/>
    <xf numFmtId="0" fontId="37" fillId="3" borderId="0" xfId="19" applyFont="1" applyFill="1"/>
    <xf numFmtId="0" fontId="1" fillId="3" borderId="0" xfId="16" applyFill="1"/>
    <xf numFmtId="0" fontId="35" fillId="4" borderId="0" xfId="16" applyFont="1" applyFill="1"/>
    <xf numFmtId="0" fontId="12" fillId="4" borderId="0" xfId="16" applyFont="1" applyFill="1"/>
    <xf numFmtId="176" fontId="12" fillId="4" borderId="0" xfId="16" applyNumberFormat="1" applyFont="1" applyFill="1"/>
    <xf numFmtId="0" fontId="38" fillId="0" borderId="0" xfId="11" applyFont="1"/>
    <xf numFmtId="0" fontId="38" fillId="0" borderId="0" xfId="11" applyFont="1" applyAlignment="1">
      <alignment horizontal="right"/>
    </xf>
    <xf numFmtId="177" fontId="19" fillId="0" borderId="0" xfId="11" applyNumberFormat="1" applyFont="1"/>
    <xf numFmtId="172" fontId="19" fillId="2" borderId="1" xfId="12" applyNumberFormat="1" applyFont="1" applyFill="1" applyBorder="1" applyAlignment="1">
      <alignment horizontal="right" vertical="center"/>
    </xf>
    <xf numFmtId="10" fontId="19" fillId="0" borderId="1" xfId="11" applyNumberFormat="1" applyFont="1" applyBorder="1" applyAlignment="1">
      <alignment horizontal="center"/>
    </xf>
    <xf numFmtId="170" fontId="16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5" fillId="4" borderId="1" xfId="10" applyNumberFormat="1" applyFont="1" applyFill="1" applyBorder="1" applyAlignment="1">
      <alignment vertical="center"/>
    </xf>
    <xf numFmtId="178" fontId="15" fillId="4" borderId="1" xfId="15" applyNumberFormat="1" applyFont="1" applyFill="1" applyBorder="1" applyAlignment="1">
      <alignment horizontal="center" vertical="center"/>
    </xf>
    <xf numFmtId="170" fontId="15" fillId="4" borderId="1" xfId="15" applyNumberFormat="1" applyFont="1" applyFill="1" applyBorder="1" applyAlignment="1">
      <alignment horizontal="center" vertical="center"/>
    </xf>
    <xf numFmtId="0" fontId="39" fillId="0" borderId="0" xfId="10" applyFont="1" applyAlignment="1">
      <alignment horizontal="right" vertical="center"/>
    </xf>
    <xf numFmtId="0" fontId="39" fillId="0" borderId="0" xfId="10" applyFont="1" applyAlignment="1">
      <alignment vertical="center"/>
    </xf>
    <xf numFmtId="3" fontId="39" fillId="0" borderId="0" xfId="10" applyNumberFormat="1" applyFont="1" applyAlignment="1">
      <alignment vertical="center"/>
    </xf>
    <xf numFmtId="0" fontId="36" fillId="3" borderId="0" xfId="19" applyFill="1"/>
    <xf numFmtId="167" fontId="17" fillId="6" borderId="1" xfId="10" applyNumberFormat="1" applyFont="1" applyFill="1" applyBorder="1" applyAlignment="1">
      <alignment vertical="center"/>
    </xf>
    <xf numFmtId="167" fontId="17" fillId="0" borderId="1" xfId="10" applyNumberFormat="1" applyFont="1" applyBorder="1" applyAlignment="1">
      <alignment vertical="center"/>
    </xf>
    <xf numFmtId="3" fontId="10" fillId="4" borderId="1" xfId="0" applyNumberFormat="1" applyFont="1" applyFill="1" applyBorder="1" applyAlignment="1">
      <alignment horizontal="center" vertical="center"/>
    </xf>
    <xf numFmtId="3" fontId="10" fillId="2" borderId="1" xfId="0" applyNumberFormat="1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173" fontId="10" fillId="2" borderId="1" xfId="0" applyNumberFormat="1" applyFont="1" applyFill="1" applyBorder="1"/>
    <xf numFmtId="3" fontId="10" fillId="2" borderId="1" xfId="0" applyNumberFormat="1" applyFont="1" applyFill="1" applyBorder="1" applyAlignment="1">
      <alignment horizontal="center"/>
    </xf>
    <xf numFmtId="167" fontId="10" fillId="2" borderId="1" xfId="0" applyNumberFormat="1" applyFont="1" applyFill="1" applyBorder="1" applyAlignment="1">
      <alignment horizontal="center" vertical="center"/>
    </xf>
    <xf numFmtId="0" fontId="40" fillId="0" borderId="1" xfId="0" applyFont="1" applyBorder="1"/>
    <xf numFmtId="3" fontId="40" fillId="0" borderId="1" xfId="0" applyNumberFormat="1" applyFont="1" applyBorder="1"/>
    <xf numFmtId="9" fontId="40" fillId="0" borderId="1" xfId="0" applyNumberFormat="1" applyFont="1" applyBorder="1"/>
    <xf numFmtId="3" fontId="40" fillId="0" borderId="0" xfId="0" applyNumberFormat="1" applyFont="1"/>
    <xf numFmtId="0" fontId="40" fillId="0" borderId="0" xfId="0" applyFont="1"/>
    <xf numFmtId="0" fontId="41" fillId="0" borderId="0" xfId="0" applyFont="1" applyAlignment="1">
      <alignment horizontal="right"/>
    </xf>
    <xf numFmtId="3" fontId="41" fillId="0" borderId="0" xfId="0" applyNumberFormat="1" applyFont="1" applyAlignment="1">
      <alignment horizontal="right"/>
    </xf>
    <xf numFmtId="9" fontId="42" fillId="0" borderId="1" xfId="0" applyNumberFormat="1" applyFont="1" applyBorder="1"/>
    <xf numFmtId="0" fontId="40" fillId="0" borderId="1" xfId="0" applyFont="1" applyBorder="1" applyAlignment="1">
      <alignment horizontal="center" vertical="center"/>
    </xf>
    <xf numFmtId="0" fontId="41" fillId="0" borderId="0" xfId="0" applyFont="1" applyFill="1" applyBorder="1" applyAlignment="1">
      <alignment horizontal="right"/>
    </xf>
    <xf numFmtId="3" fontId="42" fillId="0" borderId="0" xfId="0" applyNumberFormat="1" applyFont="1"/>
    <xf numFmtId="3" fontId="41" fillId="0" borderId="0" xfId="0" applyNumberFormat="1" applyFont="1"/>
    <xf numFmtId="0" fontId="40" fillId="0" borderId="0" xfId="0" applyFont="1" applyAlignment="1">
      <alignment horizontal="center"/>
    </xf>
    <xf numFmtId="3" fontId="40" fillId="0" borderId="0" xfId="0" applyNumberFormat="1" applyFont="1" applyAlignment="1">
      <alignment horizontal="center"/>
    </xf>
    <xf numFmtId="0" fontId="40" fillId="0" borderId="1" xfId="0" applyFont="1" applyBorder="1" applyAlignment="1">
      <alignment horizontal="center"/>
    </xf>
    <xf numFmtId="9" fontId="40" fillId="0" borderId="0" xfId="0" applyNumberFormat="1" applyFont="1" applyBorder="1"/>
    <xf numFmtId="9" fontId="0" fillId="0" borderId="0" xfId="0" applyNumberFormat="1"/>
    <xf numFmtId="0" fontId="42" fillId="0" borderId="0" xfId="0" applyFont="1"/>
    <xf numFmtId="0" fontId="41" fillId="0" borderId="0" xfId="0" applyFont="1"/>
    <xf numFmtId="0" fontId="40" fillId="0" borderId="1" xfId="0" applyFont="1" applyBorder="1" applyAlignment="1">
      <alignment horizontal="left" vertical="top"/>
    </xf>
    <xf numFmtId="9" fontId="40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center" wrapText="1"/>
    </xf>
    <xf numFmtId="0" fontId="40" fillId="0" borderId="1" xfId="0" applyFont="1" applyBorder="1" applyAlignment="1">
      <alignment wrapText="1"/>
    </xf>
    <xf numFmtId="0" fontId="40" fillId="0" borderId="0" xfId="0" applyFont="1" applyBorder="1" applyAlignment="1">
      <alignment wrapText="1"/>
    </xf>
    <xf numFmtId="0" fontId="41" fillId="0" borderId="0" xfId="0" applyFont="1" applyAlignment="1">
      <alignment horizontal="right" wrapText="1"/>
    </xf>
    <xf numFmtId="0" fontId="40" fillId="0" borderId="0" xfId="0" applyFont="1" applyAlignment="1">
      <alignment wrapText="1"/>
    </xf>
    <xf numFmtId="0" fontId="40" fillId="2" borderId="1" xfId="0" applyFont="1" applyFill="1" applyBorder="1" applyAlignment="1">
      <alignment wrapText="1"/>
    </xf>
    <xf numFmtId="0" fontId="40" fillId="2" borderId="1" xfId="0" applyFont="1" applyFill="1" applyBorder="1"/>
    <xf numFmtId="3" fontId="40" fillId="2" borderId="1" xfId="0" applyNumberFormat="1" applyFont="1" applyFill="1" applyBorder="1"/>
    <xf numFmtId="0" fontId="40" fillId="2" borderId="1" xfId="0" applyFont="1" applyFill="1" applyBorder="1" applyAlignment="1">
      <alignment horizontal="center"/>
    </xf>
    <xf numFmtId="167" fontId="40" fillId="6" borderId="1" xfId="0" applyNumberFormat="1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/>
    </xf>
    <xf numFmtId="0" fontId="40" fillId="6" borderId="1" xfId="0" applyFont="1" applyFill="1" applyBorder="1"/>
    <xf numFmtId="0" fontId="40" fillId="0" borderId="1" xfId="0" applyFont="1" applyBorder="1" applyAlignment="1">
      <alignment horizontal="center" vertical="center" wrapText="1"/>
    </xf>
    <xf numFmtId="3" fontId="40" fillId="0" borderId="1" xfId="0" applyNumberFormat="1" applyFont="1" applyBorder="1" applyAlignment="1">
      <alignment horizontal="center" vertical="center"/>
    </xf>
    <xf numFmtId="3" fontId="40" fillId="6" borderId="1" xfId="0" applyNumberFormat="1" applyFont="1" applyFill="1" applyBorder="1"/>
    <xf numFmtId="167" fontId="40" fillId="6" borderId="1" xfId="0" applyNumberFormat="1" applyFont="1" applyFill="1" applyBorder="1"/>
    <xf numFmtId="0" fontId="40" fillId="3" borderId="1" xfId="0" applyFont="1" applyFill="1" applyBorder="1"/>
    <xf numFmtId="3" fontId="40" fillId="3" borderId="1" xfId="0" applyNumberFormat="1" applyFont="1" applyFill="1" applyBorder="1"/>
    <xf numFmtId="3" fontId="42" fillId="0" borderId="9" xfId="0" applyNumberFormat="1" applyFont="1" applyBorder="1"/>
    <xf numFmtId="0" fontId="40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0" fontId="16" fillId="0" borderId="0" xfId="15" applyNumberFormat="1" applyFont="1" applyBorder="1" applyAlignment="1">
      <alignment horizontal="center" vertical="center" wrapText="1"/>
    </xf>
    <xf numFmtId="170" fontId="15" fillId="0" borderId="0" xfId="15" applyNumberFormat="1" applyFont="1" applyBorder="1" applyAlignment="1">
      <alignment horizontal="center" vertical="center"/>
    </xf>
    <xf numFmtId="0" fontId="15" fillId="0" borderId="0" xfId="10" applyFont="1" applyBorder="1" applyAlignment="1">
      <alignment vertical="center"/>
    </xf>
    <xf numFmtId="0" fontId="15" fillId="0" borderId="0" xfId="10" applyFont="1" applyBorder="1" applyAlignment="1">
      <alignment horizontal="center" vertical="center" wrapText="1"/>
    </xf>
    <xf numFmtId="0" fontId="40" fillId="11" borderId="1" xfId="0" applyFont="1" applyFill="1" applyBorder="1"/>
    <xf numFmtId="167" fontId="40" fillId="0" borderId="0" xfId="0" applyNumberFormat="1" applyFont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3" borderId="0" xfId="0" applyFont="1" applyFill="1" applyAlignment="1">
      <alignment horizontal="center" wrapText="1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42" fillId="0" borderId="0" xfId="0" applyFont="1" applyAlignment="1">
      <alignment horizontal="center"/>
    </xf>
    <xf numFmtId="0" fontId="17" fillId="6" borderId="1" xfId="10" applyFont="1" applyFill="1" applyBorder="1" applyAlignment="1">
      <alignment horizontal="center" vertical="center"/>
    </xf>
    <xf numFmtId="0" fontId="17" fillId="0" borderId="1" xfId="10" applyFont="1" applyBorder="1" applyAlignment="1">
      <alignment horizontal="center" vertical="center"/>
    </xf>
    <xf numFmtId="0" fontId="15" fillId="0" borderId="5" xfId="10" applyFont="1" applyBorder="1" applyAlignment="1">
      <alignment horizontal="center" vertical="center"/>
    </xf>
    <xf numFmtId="0" fontId="15" fillId="0" borderId="7" xfId="10" applyFont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19" fillId="0" borderId="5" xfId="11" applyFont="1" applyBorder="1" applyAlignment="1">
      <alignment horizontal="center"/>
    </xf>
    <xf numFmtId="0" fontId="19" fillId="8" borderId="0" xfId="11" applyFont="1" applyFill="1" applyAlignment="1">
      <alignment horizontal="center"/>
    </xf>
    <xf numFmtId="0" fontId="19" fillId="0" borderId="2" xfId="11" applyFont="1" applyBorder="1" applyAlignment="1">
      <alignment horizontal="center"/>
    </xf>
    <xf numFmtId="0" fontId="19" fillId="0" borderId="3" xfId="11" applyFont="1" applyBorder="1" applyAlignment="1">
      <alignment horizontal="center"/>
    </xf>
    <xf numFmtId="0" fontId="19" fillId="0" borderId="4" xfId="11" applyFont="1" applyBorder="1" applyAlignment="1">
      <alignment horizontal="center"/>
    </xf>
    <xf numFmtId="0" fontId="40" fillId="0" borderId="0" xfId="0" applyFont="1" applyAlignment="1">
      <alignment horizontal="center" wrapText="1"/>
    </xf>
    <xf numFmtId="0" fontId="40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9" borderId="5" xfId="1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/>
    </xf>
    <xf numFmtId="0" fontId="0" fillId="10" borderId="0" xfId="0" applyFill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</cellXfs>
  <cellStyles count="21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BFDFDB"/>
      <color rgb="FFFFFF99"/>
      <color rgb="FFC8EFCF"/>
      <color rgb="FFFFCC4E"/>
      <color rgb="FFF05B72"/>
      <color rgb="FF749DD2"/>
      <color rgb="FF00B2A9"/>
      <color rgb="FF9395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9" Type="http://schemas.openxmlformats.org/officeDocument/2006/relationships/styles" Target="styles.xml"/><Relationship Id="rId21" Type="http://schemas.openxmlformats.org/officeDocument/2006/relationships/externalLink" Target="externalLinks/externalLink10.xml"/><Relationship Id="rId34" Type="http://schemas.openxmlformats.org/officeDocument/2006/relationships/externalLink" Target="externalLinks/externalLink2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externalLink" Target="externalLinks/externalLink2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externalLink" Target="externalLinks/externalLink25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externalLink" Target="externalLinks/externalLink2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externalLink" Target="externalLinks/externalLink22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11/1/2020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5.5555555555555558E-3"/>
                  <c:y val="-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'1'!$C$10:$C$13</c:f>
              <c:numCache>
                <c:formatCode>#,##0</c:formatCode>
                <c:ptCount val="4"/>
                <c:pt idx="0">
                  <c:v>1260.8122185891355</c:v>
                </c:pt>
                <c:pt idx="1">
                  <c:v>127.3493260022413</c:v>
                </c:pt>
                <c:pt idx="2">
                  <c:v>2454</c:v>
                </c:pt>
                <c:pt idx="3">
                  <c:v>3842.1615445913767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12/1/2020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-1.6147425050080533E-3"/>
                  <c:y val="-8.0190697744234171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'1'!$D$10:$D$13</c:f>
              <c:numCache>
                <c:formatCode>#,##0</c:formatCode>
                <c:ptCount val="4"/>
                <c:pt idx="0">
                  <c:v>1250.3001177967367</c:v>
                </c:pt>
                <c:pt idx="1">
                  <c:v>124</c:v>
                </c:pt>
                <c:pt idx="2">
                  <c:v>2789</c:v>
                </c:pt>
                <c:pt idx="3">
                  <c:v>4163.3001177967362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1/1/2021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8.3333333333333332E-3"/>
                  <c:y val="9.259259259259258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4.2328604359726683E-3"/>
                  <c:y val="-4.365028939892569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'1'!$B$10:$B$13</c:f>
              <c:strCache>
                <c:ptCount val="4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Итого CrVar</c:v>
                </c:pt>
              </c:strCache>
            </c:strRef>
          </c:cat>
          <c:val>
            <c:numRef>
              <c:f>'1'!$E$10:$E$13</c:f>
              <c:numCache>
                <c:formatCode>#,##0</c:formatCode>
                <c:ptCount val="4"/>
                <c:pt idx="0">
                  <c:v>1265.5337629945204</c:v>
                </c:pt>
                <c:pt idx="1">
                  <c:v>398.51551174570358</c:v>
                </c:pt>
                <c:pt idx="2">
                  <c:v>1834</c:v>
                </c:pt>
                <c:pt idx="3">
                  <c:v>3498.0492747402241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86552448"/>
        <c:axId val="2142965856"/>
      </c:barChart>
      <c:catAx>
        <c:axId val="198655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965856"/>
        <c:crosses val="autoZero"/>
        <c:auto val="1"/>
        <c:lblAlgn val="ctr"/>
        <c:lblOffset val="100"/>
        <c:noMultiLvlLbl val="0"/>
      </c:catAx>
      <c:valAx>
        <c:axId val="21429658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8655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'1'!$C$33</c:f>
              <c:strCache>
                <c:ptCount val="1"/>
                <c:pt idx="0">
                  <c:v>11/1/2020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'1'!$C$34</c:f>
              <c:numCache>
                <c:formatCode>#,##0.0</c:formatCode>
                <c:ptCount val="1"/>
                <c:pt idx="0">
                  <c:v>131.17021984516768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'1'!$D$33</c:f>
              <c:strCache>
                <c:ptCount val="1"/>
                <c:pt idx="0">
                  <c:v>12/1/2020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'1'!$D$34</c:f>
              <c:numCache>
                <c:formatCode>#,##0.0</c:formatCode>
                <c:ptCount val="1"/>
                <c:pt idx="0">
                  <c:v>132.66700174532653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'1'!$E$33</c:f>
              <c:strCache>
                <c:ptCount val="1"/>
                <c:pt idx="0">
                  <c:v>1/1/2021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'1'!$B$34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'1'!$E$34</c:f>
              <c:numCache>
                <c:formatCode>#,##0.0</c:formatCode>
                <c:ptCount val="1"/>
                <c:pt idx="0">
                  <c:v>132.2657470214574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42979456"/>
        <c:axId val="2142974560"/>
      </c:barChart>
      <c:catAx>
        <c:axId val="214297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974560"/>
        <c:crosses val="autoZero"/>
        <c:auto val="1"/>
        <c:lblAlgn val="ctr"/>
        <c:lblOffset val="100"/>
        <c:noMultiLvlLbl val="0"/>
      </c:catAx>
      <c:valAx>
        <c:axId val="2142974560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214297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600" b="0">
                <a:solidFill>
                  <a:sysClr val="windowText" lastClr="000000"/>
                </a:solidFill>
              </a:rPr>
              <a:t>Облигации с рейтингом В+ и ниже портфеля</a:t>
            </a:r>
            <a:r>
              <a:rPr lang="ru-RU" sz="1600" b="0" baseline="0">
                <a:solidFill>
                  <a:sysClr val="windowText" lastClr="000000"/>
                </a:solidFill>
              </a:rPr>
              <a:t> </a:t>
            </a:r>
            <a:r>
              <a:rPr lang="en-US" sz="1600" b="0" baseline="0">
                <a:solidFill>
                  <a:sysClr val="windowText" lastClr="000000"/>
                </a:solidFill>
              </a:rPr>
              <a:t>HTM</a:t>
            </a:r>
            <a:r>
              <a:rPr lang="ru-RU" sz="1600" b="0">
                <a:solidFill>
                  <a:sysClr val="windowText" lastClr="000000"/>
                </a:solidFill>
              </a:rPr>
              <a:t>,</a:t>
            </a:r>
            <a:r>
              <a:rPr lang="en-US" sz="1600" b="0">
                <a:solidFill>
                  <a:sysClr val="windowText" lastClr="000000"/>
                </a:solidFill>
              </a:rPr>
              <a:t> </a:t>
            </a:r>
            <a:r>
              <a:rPr lang="ru-RU" sz="1600" b="0">
                <a:solidFill>
                  <a:sysClr val="windowText" lastClr="000000"/>
                </a:solidFill>
              </a:rPr>
              <a:t> млн руб</a:t>
            </a:r>
          </a:p>
        </c:rich>
      </c:tx>
      <c:layout>
        <c:manualLayout>
          <c:xMode val="edge"/>
          <c:yMode val="edge"/>
          <c:x val="0.1251109816930788"/>
          <c:y val="4.50681506092727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25007002062137"/>
          <c:y val="0.21482819938574566"/>
          <c:w val="0.5450298053783772"/>
          <c:h val="0.7439110630758634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9051-4ECE-9444-5B21E7AE1EFB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pct70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pattFill prst="horzBrick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rgbClr val="D3E9E6">
                    <a:alpha val="85000"/>
                  </a:srgb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B4EFC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6019151135841639E-2"/>
                  <c:y val="7.603414461401175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ysClr val="windowText" lastClr="000000"/>
                        </a:solidFill>
                        <a:latin typeface="Calibri Light" panose="020F0302020204030204" pitchFamily="34" charset="0"/>
                        <a:ea typeface="+mn-ea"/>
                        <a:cs typeface="Calibri Light" panose="020F0302020204030204" pitchFamily="34" charset="0"/>
                      </a:defRPr>
                    </a:pPr>
                    <a:fld id="{514F0548-2562-43B2-9A38-3F863CF28EE5}" type="CATEGORYNAME">
                      <a:rPr lang="ru-RU">
                        <a:solidFill>
                          <a:sysClr val="windowText" lastClr="000000"/>
                        </a:solidFill>
                        <a:latin typeface="Calibri Light" panose="020F0302020204030204" pitchFamily="34" charset="0"/>
                        <a:cs typeface="Calibri Light" panose="020F0302020204030204" pitchFamily="34" charset="0"/>
                      </a:rPr>
                      <a:pPr>
                        <a:defRPr sz="1100">
                          <a:solidFill>
                            <a:sysClr val="windowText" lastClr="000000"/>
                          </a:solidFill>
                          <a:latin typeface="Calibri Light" panose="020F0302020204030204" pitchFamily="34" charset="0"/>
                          <a:cs typeface="Calibri Light" panose="020F0302020204030204" pitchFamily="34" charset="0"/>
                        </a:defRPr>
                      </a:pPr>
                      <a:t>[ИМЯ КАТЕГОРИИ]</a:t>
                    </a:fld>
                    <a:r>
                      <a:rPr lang="ru-RU" baseline="0">
                        <a:solidFill>
                          <a:sysClr val="windowText" lastClr="000000"/>
                        </a:solidFill>
                        <a:latin typeface="Calibri Light" panose="020F0302020204030204" pitchFamily="34" charset="0"/>
                        <a:cs typeface="Calibri Light" panose="020F0302020204030204" pitchFamily="34" charset="0"/>
                      </a:rPr>
                      <a:t>; </a:t>
                    </a:r>
                  </a:p>
                  <a:p>
                    <a:pPr>
                      <a:defRPr sz="1100">
                        <a:solidFill>
                          <a:sysClr val="windowText" lastClr="000000"/>
                        </a:solidFill>
                        <a:latin typeface="Calibri Light" panose="020F0302020204030204" pitchFamily="34" charset="0"/>
                        <a:cs typeface="Calibri Light" panose="020F0302020204030204" pitchFamily="34" charset="0"/>
                      </a:defRPr>
                    </a:pPr>
                    <a:fld id="{365DEC99-DFD5-4E01-ADD1-E4F430D5C30C}" type="VALUE">
                      <a:rPr lang="ru-RU" baseline="0">
                        <a:solidFill>
                          <a:sysClr val="windowText" lastClr="000000"/>
                        </a:solidFill>
                        <a:latin typeface="Calibri Light" panose="020F0302020204030204" pitchFamily="34" charset="0"/>
                        <a:cs typeface="Calibri Light" panose="020F0302020204030204" pitchFamily="34" charset="0"/>
                      </a:rPr>
                      <a:pPr>
                        <a:defRPr sz="1100">
                          <a:solidFill>
                            <a:sysClr val="windowText" lastClr="000000"/>
                          </a:solidFill>
                          <a:latin typeface="Calibri Light" panose="020F0302020204030204" pitchFamily="34" charset="0"/>
                          <a:cs typeface="Calibri Light" panose="020F0302020204030204" pitchFamily="34" charset="0"/>
                        </a:defRPr>
                      </a:pPr>
                      <a:t>[ЗНАЧЕНИЕ]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Calibri Light" panose="020F0302020204030204" pitchFamily="34" charset="0"/>
                      <a:ea typeface="+mn-ea"/>
                      <a:cs typeface="Calibri Light" panose="020F0302020204030204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121C-4405-8CF1-08B071A83F22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8185499030600938"/>
                      <c:h val="0.19145134783306891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121C-4405-8CF1-08B071A83F2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7.7858963790015889E-2"/>
                  <c:y val="-0.114482437654050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Calibri Light" panose="020F0302020204030204" pitchFamily="34" charset="0"/>
                      <a:ea typeface="+mn-ea"/>
                      <a:cs typeface="Calibri Light" panose="020F0302020204030204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9051-4ECE-9444-5B21E7AE1EFB}"/>
                </c:ext>
                <c:ext xmlns:c15="http://schemas.microsoft.com/office/drawing/2012/chart" uri="{CE6537A1-D6FC-4f65-9D91-7224C49458BB}">
                  <c15:layout>
                    <c:manualLayout>
                      <c:w val="0.12832547753210591"/>
                      <c:h val="0.17707613215358314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0.10832368648851935"/>
                  <c:y val="6.532950110245225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4FB3-44E7-90F5-41AAF9A321BF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18C8-400D-8D68-B11E3F35B07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'1'!$B$59:$B$69</c15:sqref>
                  </c15:fullRef>
                </c:ext>
              </c:extLst>
              <c:f>('1'!$B$60:$B$61,'1'!$B$66:$B$67,'1'!$B$69)</c:f>
              <c:strCache>
                <c:ptCount val="5"/>
                <c:pt idx="0">
                  <c:v>Элемент Лизинг</c:v>
                </c:pt>
                <c:pt idx="2">
                  <c:v>Русал</c:v>
                </c:pt>
                <c:pt idx="3">
                  <c:v>Беларусь</c:v>
                </c:pt>
                <c:pt idx="4">
                  <c:v>прочие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'1'!$C$59:$C$69</c15:sqref>
                  </c15:fullRef>
                </c:ext>
              </c:extLst>
              <c:f>('1'!$C$60:$C$61,'1'!$C$66:$C$67,'1'!$C$69)</c:f>
              <c:numCache>
                <c:formatCode>#,##0</c:formatCode>
                <c:ptCount val="5"/>
                <c:pt idx="0">
                  <c:v>44.305378879999992</c:v>
                </c:pt>
                <c:pt idx="1">
                  <c:v>0</c:v>
                </c:pt>
                <c:pt idx="2">
                  <c:v>705.04695108999999</c:v>
                </c:pt>
                <c:pt idx="3">
                  <c:v>423.41001421999999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21C-4405-8CF1-08B071A83F22}"/>
            </c:ext>
            <c:ext xmlns:c15="http://schemas.microsoft.com/office/drawing/2012/chart" uri="{02D57815-91ED-43cb-92C2-25804820EDAC}">
              <c15:categoryFilterExceptions>
                <c15:categoryFilterException>
                  <c15:sqref>'1'!$C$59</c15:sqref>
                  <c15:spPr xmlns:c15="http://schemas.microsoft.com/office/drawing/2012/chart">
                    <a:pattFill prst="openDmnd">
                      <a:fgClr>
                        <a:srgbClr val="BFDFDB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-1"/>
                    <c:layout>
                      <c:manualLayout>
                        <c:x val="-1.2632824313732517E-4"/>
                        <c:y val="0.1896373623495084"/>
                      </c:manualLayout>
                    </c:layout>
                    <c:tx>
                      <c:rich>
                        <a:bodyPr/>
                        <a:lstStyle/>
                        <a:p>
                          <a:fld id="{9D6C5BFA-29C9-43F1-B584-C99A69E4CC5E}" type="CATEGORYNAME">
                            <a:rPr lang="en-US"/>
                            <a:pPr/>
                            <a:t>[ИМЯ КАТЕГОРИИ]</a:t>
                          </a:fld>
                          <a:r>
                            <a:rPr lang="en-US" baseline="0"/>
                            <a:t>; </a:t>
                          </a:r>
                        </a:p>
                        <a:p>
                          <a:fld id="{6A319EA6-7465-46B3-9889-707FE6C3226A}" type="VALUE">
                            <a:rPr lang="en-US" baseline="0"/>
                            <a:pPr/>
                            <a:t>[ЗНАЧЕНИЕ]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6="http://schemas.microsoft.com/office/drawing/2014/chart" xmlns:c16r2="http://schemas.microsoft.com/office/drawing/2015/06/chart">
                      <c:ext xmlns:c16="http://schemas.microsoft.com/office/drawing/2014/chart" uri="{C3380CC4-5D6E-409C-BE32-E72D297353CC}">
                        <c16:uniqueId val="{0000000B-70F3-47DA-978C-C3E7804BFBCB}"/>
                      </c:ext>
                      <c:ext uri="{CE6537A1-D6FC-4f65-9D91-7224C49458BB}">
                        <c15:layout>
                          <c:manualLayout>
                            <c:w val="0.26104161796977654"/>
                            <c:h val="0.15603663390806102"/>
                          </c:manualLayout>
                        </c15:layout>
                        <c15:dlblFieldTable/>
                        <c15:showDataLabelsRange val="0"/>
                      </c:ext>
                    </c:extLst>
                  </c15:dLbl>
                </c15:categoryFilterException>
                <c15:categoryFilterException>
                  <c15:sqref>'1'!$C$62</c15:sqref>
                  <c15:spPr xmlns:c15="http://schemas.microsoft.com/office/drawing/2012/chart">
                    <a:solidFill>
                      <a:srgbClr val="BFDFDB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1"/>
                    <c:delete val="1"/>
                    <c:extLst xmlns:c16="http://schemas.microsoft.com/office/drawing/2014/chart" xmlns:c16r2="http://schemas.microsoft.com/office/drawing/2015/06/chart">
                      <c:ext xmlns:c16="http://schemas.microsoft.com/office/drawing/2014/chart" uri="{C3380CC4-5D6E-409C-BE32-E72D297353CC}">
                        <c16:uniqueId val="{0000000D-70F3-47DA-978C-C3E7804BFBCB}"/>
                      </c:ext>
                      <c:ext uri="{CE6537A1-D6FC-4f65-9D91-7224C49458BB}"/>
                    </c:extLst>
                  </c15:dLbl>
                </c15:categoryFilterException>
                <c15:categoryFilterException>
                  <c15:sqref>'1'!$C$63</c15:sqref>
                  <c15:spPr xmlns:c15="http://schemas.microsoft.com/office/drawing/2012/chart">
                    <a:pattFill prst="pct70">
                      <a:fgClr>
                        <a:srgbClr val="BFDFDB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1"/>
                    <c:layout>
                      <c:manualLayout>
                        <c:x val="-1.6666595373547824E-2"/>
                        <c:y val="-8.363696341236036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6="http://schemas.microsoft.com/office/drawing/2014/chart" xmlns:c16r2="http://schemas.microsoft.com/office/drawing/2015/06/chart">
                      <c:ext xmlns:c16="http://schemas.microsoft.com/office/drawing/2014/chart" uri="{C3380CC4-5D6E-409C-BE32-E72D297353CC}">
                        <c16:uniqueId val="{0000000F-70F3-47DA-978C-C3E7804BFBCB}"/>
                      </c:ext>
                      <c:ext uri="{CE6537A1-D6FC-4f65-9D91-7224C49458BB}"/>
                    </c:extLst>
                  </c15:dLbl>
                </c15:categoryFilterException>
                <c15:categoryFilterException>
                  <c15:sqref>'1'!$C$65</c15:sqref>
                  <c15:spPr xmlns:c15="http://schemas.microsoft.com/office/drawing/2012/chart">
                    <a:pattFill prst="sphere">
                      <a:fgClr>
                        <a:srgbClr val="BFDFDB"/>
                      </a:fgClr>
                      <a:bgClr>
                        <a:schemeClr val="bg1"/>
                      </a:bgClr>
                    </a:patt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1"/>
                    <c:delete val="1"/>
                    <c:extLst xmlns:c16="http://schemas.microsoft.com/office/drawing/2014/chart" xmlns:c16r2="http://schemas.microsoft.com/office/drawing/2015/06/chart">
                      <c:ext xmlns:c16="http://schemas.microsoft.com/office/drawing/2014/chart" uri="{C3380CC4-5D6E-409C-BE32-E72D297353CC}">
                        <c16:uniqueId val="{00000011-70F3-47DA-978C-C3E7804BFBCB}"/>
                      </c:ex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0422029339974845"/>
          <c:y val="2.7066214189658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71803269351255"/>
          <c:y val="0.23763408941948089"/>
          <c:w val="0.47038313303335799"/>
          <c:h val="0.7372803366268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Lbls>
            <c:dLbl>
              <c:idx val="0"/>
              <c:layout>
                <c:manualLayout>
                  <c:x val="3.7081600880939625E-3"/>
                  <c:y val="0.1415353391972229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4103242296519908"/>
                  <c:y val="-4.806983400029311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2213535064302362"/>
                  <c:y val="-3.0016147376602689E-3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0.16270884357616144"/>
                  <c:y val="-2.66452852675911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22646261699986714"/>
                      <c:h val="0.25297007273693067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'1'!$B$93:$B$97</c:f>
              <c:strCache>
                <c:ptCount val="5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МБК</c:v>
                </c:pt>
                <c:pt idx="4">
                  <c:v>остаточный риск</c:v>
                </c:pt>
              </c:strCache>
            </c:strRef>
          </c:cat>
          <c:val>
            <c:numRef>
              <c:f>'1'!$C$93:$C$97</c:f>
              <c:numCache>
                <c:formatCode>#,##0</c:formatCode>
                <c:ptCount val="5"/>
                <c:pt idx="0">
                  <c:v>398.51551174570358</c:v>
                </c:pt>
                <c:pt idx="1">
                  <c:v>1198</c:v>
                </c:pt>
                <c:pt idx="2">
                  <c:v>1397.7995100159778</c:v>
                </c:pt>
                <c:pt idx="3">
                  <c:v>1834</c:v>
                </c:pt>
                <c:pt idx="4">
                  <c:v>16.2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9102196752626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9.2981624251427045E-2"/>
                  <c:y val="-3.82043935052531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2795E-3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политика'!$A$2:$A$14</c:f>
              <c:strCache>
                <c:ptCount val="13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</c:strCache>
            </c:strRef>
          </c:cat>
          <c:val>
            <c:numRef>
              <c:f>'Инвест политика'!$C$2:$C$14</c:f>
              <c:numCache>
                <c:formatCode>0%</c:formatCode>
                <c:ptCount val="13"/>
                <c:pt idx="0">
                  <c:v>0.28911605481032177</c:v>
                </c:pt>
                <c:pt idx="1">
                  <c:v>6.0598803732337999E-3</c:v>
                </c:pt>
                <c:pt idx="2">
                  <c:v>1.5668821367725683E-2</c:v>
                </c:pt>
                <c:pt idx="3">
                  <c:v>0.21269435127377578</c:v>
                </c:pt>
                <c:pt idx="4">
                  <c:v>3.3301806212192954E-2</c:v>
                </c:pt>
                <c:pt idx="5">
                  <c:v>3.3356618512016367E-3</c:v>
                </c:pt>
                <c:pt idx="6">
                  <c:v>2.271140991101658E-2</c:v>
                </c:pt>
                <c:pt idx="7">
                  <c:v>4.9426265941313725E-2</c:v>
                </c:pt>
                <c:pt idx="8">
                  <c:v>2.546934212432574E-2</c:v>
                </c:pt>
                <c:pt idx="9">
                  <c:v>0</c:v>
                </c:pt>
                <c:pt idx="10">
                  <c:v>0.1321017637593655</c:v>
                </c:pt>
                <c:pt idx="11">
                  <c:v>1.3515730193261631E-2</c:v>
                </c:pt>
                <c:pt idx="12">
                  <c:v>0.18690935311573781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политика'!$A$2:$A$14</c15:sqref>
                        </c15:formulaRef>
                      </c:ext>
                    </c:extLst>
                    <c:strCache>
                      <c:ptCount val="13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20200833240.729996</c:v>
                      </c:pt>
                      <c:pt idx="1">
                        <c:v>423410014.21999997</c:v>
                      </c:pt>
                      <c:pt idx="2">
                        <c:v>1094796509.0900002</c:v>
                      </c:pt>
                      <c:pt idx="3">
                        <c:v>14861170972.140003</c:v>
                      </c:pt>
                      <c:pt idx="4">
                        <c:v>2326831120.98</c:v>
                      </c:pt>
                      <c:pt idx="5">
                        <c:v>233066091.22</c:v>
                      </c:pt>
                      <c:pt idx="6">
                        <c:v>1586869344.1299999</c:v>
                      </c:pt>
                      <c:pt idx="7">
                        <c:v>3453463546.4900002</c:v>
                      </c:pt>
                      <c:pt idx="8">
                        <c:v>1779568877.0800002</c:v>
                      </c:pt>
                      <c:pt idx="9">
                        <c:v>0</c:v>
                      </c:pt>
                      <c:pt idx="10">
                        <c:v>9230084791.5900002</c:v>
                      </c:pt>
                      <c:pt idx="11">
                        <c:v>944357835.61000001</c:v>
                      </c:pt>
                      <c:pt idx="12">
                        <c:v>13059546886.460001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42970208"/>
        <c:axId val="2142977824"/>
      </c:barChart>
      <c:catAx>
        <c:axId val="21429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977824"/>
        <c:crosses val="autoZero"/>
        <c:auto val="1"/>
        <c:lblAlgn val="ctr"/>
        <c:lblOffset val="100"/>
        <c:noMultiLvlLbl val="0"/>
      </c:catAx>
      <c:valAx>
        <c:axId val="21429778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429702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1235529</xdr:colOff>
      <xdr:row>13</xdr:row>
      <xdr:rowOff>177799</xdr:rowOff>
    </xdr:from>
    <xdr:to>
      <xdr:col>4</xdr:col>
      <xdr:colOff>1066044</xdr:colOff>
      <xdr:row>29</xdr:row>
      <xdr:rowOff>169333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34</xdr:row>
      <xdr:rowOff>153762</xdr:rowOff>
    </xdr:from>
    <xdr:to>
      <xdr:col>4</xdr:col>
      <xdr:colOff>335642</xdr:colOff>
      <xdr:row>47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472545</xdr:colOff>
      <xdr:row>70</xdr:row>
      <xdr:rowOff>179917</xdr:rowOff>
    </xdr:from>
    <xdr:to>
      <xdr:col>3</xdr:col>
      <xdr:colOff>381000</xdr:colOff>
      <xdr:row>90</xdr:row>
      <xdr:rowOff>63501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68034</xdr:colOff>
      <xdr:row>98</xdr:row>
      <xdr:rowOff>152552</xdr:rowOff>
    </xdr:from>
    <xdr:to>
      <xdr:col>3</xdr:col>
      <xdr:colOff>217714</xdr:colOff>
      <xdr:row>113</xdr:row>
      <xdr:rowOff>110370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1619250</xdr:colOff>
      <xdr:row>106</xdr:row>
      <xdr:rowOff>146653</xdr:rowOff>
    </xdr:from>
    <xdr:to>
      <xdr:col>2</xdr:col>
      <xdr:colOff>444500</xdr:colOff>
      <xdr:row>108</xdr:row>
      <xdr:rowOff>158748</xdr:rowOff>
    </xdr:to>
    <xdr:sp macro="" textlink="">
      <xdr:nvSpPr>
        <xdr:cNvPr id="6" name="TextBox 5"/>
        <xdr:cNvSpPr txBox="1"/>
      </xdr:nvSpPr>
      <xdr:spPr>
        <a:xfrm>
          <a:off x="2878667" y="19937486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4 845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116</xdr:row>
      <xdr:rowOff>23131</xdr:rowOff>
    </xdr:from>
    <xdr:to>
      <xdr:col>5</xdr:col>
      <xdr:colOff>340179</xdr:colOff>
      <xdr:row>133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31749</xdr:rowOff>
    </xdr:from>
    <xdr:to>
      <xdr:col>0</xdr:col>
      <xdr:colOff>1079500</xdr:colOff>
      <xdr:row>9</xdr:row>
      <xdr:rowOff>158597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9687"/>
          <a:ext cx="1079500" cy="30941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  <sheetName val="Список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NAEXKP01RUQ661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41"/>
  <sheetViews>
    <sheetView topLeftCell="A5" zoomScale="90" zoomScaleNormal="90" workbookViewId="0">
      <selection activeCell="E11" sqref="E11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13" t="s">
        <v>13</v>
      </c>
      <c r="C6" s="213"/>
      <c r="D6" s="213"/>
      <c r="E6" s="213"/>
    </row>
    <row r="8" spans="2:19" x14ac:dyDescent="0.25">
      <c r="B8" s="46" t="s">
        <v>51</v>
      </c>
      <c r="G8" s="218" t="s">
        <v>24</v>
      </c>
      <c r="H8" s="218"/>
    </row>
    <row r="9" spans="2:19" x14ac:dyDescent="0.25">
      <c r="B9" s="5" t="s">
        <v>14</v>
      </c>
      <c r="C9" s="7">
        <v>44136</v>
      </c>
      <c r="D9" s="7">
        <v>44166</v>
      </c>
      <c r="E9" s="8">
        <v>44197</v>
      </c>
      <c r="F9" s="1"/>
      <c r="G9" s="27">
        <f>E9</f>
        <v>44197</v>
      </c>
      <c r="H9" s="32" t="s">
        <v>23</v>
      </c>
      <c r="J9" s="27">
        <v>44166</v>
      </c>
      <c r="K9" s="32" t="s">
        <v>23</v>
      </c>
      <c r="L9" t="s">
        <v>48</v>
      </c>
    </row>
    <row r="10" spans="2:19" x14ac:dyDescent="0.25">
      <c r="B10" s="5" t="s">
        <v>3</v>
      </c>
      <c r="C10" s="15">
        <v>1260.8122185891355</v>
      </c>
      <c r="D10" s="15">
        <v>1250.3001177967367</v>
      </c>
      <c r="E10" s="15">
        <f ca="1">'портефль до погашения'!J3/1000000</f>
        <v>1265.5337629945204</v>
      </c>
      <c r="G10" s="34">
        <f ca="1">'портефль до погашения'!F3/1000000</f>
        <v>53500.844381670016</v>
      </c>
      <c r="H10" s="33">
        <f ca="1">E10/G10</f>
        <v>2.3654463356995285E-2</v>
      </c>
      <c r="J10" s="34">
        <v>53864.531181369988</v>
      </c>
      <c r="K10" s="33">
        <v>2.3211937250261921E-2</v>
      </c>
      <c r="L10" s="2">
        <f ca="1">G10-J10</f>
        <v>-363.68679969997174</v>
      </c>
      <c r="M10" t="s">
        <v>49</v>
      </c>
    </row>
    <row r="11" spans="2:19" x14ac:dyDescent="0.25">
      <c r="B11" s="5" t="s">
        <v>4</v>
      </c>
      <c r="C11" s="15">
        <v>127.3493260022413</v>
      </c>
      <c r="D11" s="15">
        <v>124</v>
      </c>
      <c r="E11" s="9">
        <v>398.51551174570358</v>
      </c>
      <c r="G11" s="34">
        <v>2958.3744999999999</v>
      </c>
      <c r="H11" s="33">
        <f>E11/G11</f>
        <v>0.13470759423653211</v>
      </c>
      <c r="J11" s="34">
        <v>2958</v>
      </c>
      <c r="K11" s="33">
        <v>4.1920216362407031E-2</v>
      </c>
      <c r="L11" s="2">
        <f>G11-J11</f>
        <v>0.37449999999989814</v>
      </c>
    </row>
    <row r="12" spans="2:19" x14ac:dyDescent="0.25">
      <c r="B12" s="5" t="s">
        <v>106</v>
      </c>
      <c r="C12" s="9">
        <v>2454</v>
      </c>
      <c r="D12" s="9">
        <v>2789</v>
      </c>
      <c r="E12" s="9">
        <v>1834</v>
      </c>
      <c r="G12" s="73">
        <v>62993</v>
      </c>
      <c r="H12" s="33">
        <f>E12/G12</f>
        <v>2.9114346038448716E-2</v>
      </c>
      <c r="J12" s="34">
        <v>70654</v>
      </c>
      <c r="K12" s="33">
        <v>3.9474056670535287E-2</v>
      </c>
      <c r="L12" s="2">
        <f>G12-J12</f>
        <v>-7661</v>
      </c>
    </row>
    <row r="13" spans="2:19" x14ac:dyDescent="0.25">
      <c r="B13" s="11" t="s">
        <v>5</v>
      </c>
      <c r="C13" s="12">
        <v>3842.1615445913767</v>
      </c>
      <c r="D13" s="12">
        <v>4163.3001177967362</v>
      </c>
      <c r="E13" s="12">
        <f ca="1">E10+E11+E12</f>
        <v>3498.0492747402241</v>
      </c>
      <c r="G13" s="16">
        <f ca="1">SUM(G10:G12)</f>
        <v>119452.21888167001</v>
      </c>
      <c r="H13" s="3"/>
      <c r="J13" s="16">
        <v>127476.53118137</v>
      </c>
      <c r="K13" s="3"/>
      <c r="L13" s="2">
        <f ca="1">G13-J13</f>
        <v>-8024.3122996999882</v>
      </c>
    </row>
    <row r="14" spans="2:19" x14ac:dyDescent="0.25">
      <c r="B14" s="28"/>
      <c r="C14" s="29"/>
      <c r="D14" s="29"/>
      <c r="E14" s="29"/>
      <c r="G14" s="3"/>
      <c r="H14" s="3"/>
      <c r="I14" s="25"/>
      <c r="J14" s="25"/>
      <c r="K14" s="25"/>
      <c r="L14" s="25"/>
      <c r="M14" s="25"/>
      <c r="N14" s="25"/>
      <c r="O14" s="25"/>
      <c r="P14" s="25"/>
      <c r="Q14" s="25"/>
      <c r="S14" s="2"/>
    </row>
    <row r="15" spans="2:19" x14ac:dyDescent="0.25">
      <c r="B15" s="28"/>
      <c r="C15" s="29"/>
      <c r="D15" s="29"/>
      <c r="E15" s="29"/>
      <c r="G15" s="3"/>
      <c r="H15" s="3"/>
      <c r="I15" s="25"/>
      <c r="J15" s="25"/>
      <c r="K15" s="25"/>
      <c r="L15" s="25"/>
      <c r="M15" s="25"/>
      <c r="N15" s="25"/>
      <c r="O15" s="25"/>
      <c r="P15" s="25"/>
      <c r="Q15" s="25"/>
    </row>
    <row r="16" spans="2:19" x14ac:dyDescent="0.25">
      <c r="I16" s="6"/>
      <c r="J16" s="6"/>
      <c r="K16" s="6"/>
      <c r="L16" s="6"/>
      <c r="M16" s="6"/>
      <c r="N16" s="6"/>
      <c r="O16" s="6"/>
      <c r="P16" s="6"/>
    </row>
    <row r="17" spans="2:16" x14ac:dyDescent="0.25">
      <c r="I17" s="6"/>
      <c r="J17" s="6"/>
      <c r="K17" s="6"/>
      <c r="L17" s="6"/>
      <c r="M17" s="6"/>
      <c r="N17" s="6"/>
      <c r="O17" s="6"/>
      <c r="P17" s="6"/>
    </row>
    <row r="18" spans="2:16" x14ac:dyDescent="0.25">
      <c r="G18" s="2"/>
      <c r="I18" s="6"/>
      <c r="J18" s="6"/>
      <c r="K18" s="6"/>
      <c r="L18" s="6"/>
      <c r="M18" s="6"/>
      <c r="N18" s="6"/>
      <c r="O18" s="6"/>
      <c r="P18" s="6"/>
    </row>
    <row r="19" spans="2:16" ht="15" customHeight="1" x14ac:dyDescent="0.25">
      <c r="G19" s="2"/>
      <c r="I19" s="212" t="s">
        <v>44</v>
      </c>
      <c r="J19" s="212"/>
      <c r="K19" s="212"/>
      <c r="L19" s="212"/>
      <c r="M19" s="212"/>
      <c r="N19" s="212"/>
      <c r="O19" s="212"/>
      <c r="P19" s="6"/>
    </row>
    <row r="20" spans="2:16" x14ac:dyDescent="0.25">
      <c r="G20" s="2"/>
      <c r="I20" s="212"/>
      <c r="J20" s="212"/>
      <c r="K20" s="212"/>
      <c r="L20" s="212"/>
      <c r="M20" s="212"/>
      <c r="N20" s="212"/>
      <c r="O20" s="212"/>
      <c r="P20" s="6"/>
    </row>
    <row r="21" spans="2:16" x14ac:dyDescent="0.25">
      <c r="G21" s="2"/>
      <c r="I21" s="212"/>
      <c r="J21" s="212"/>
      <c r="K21" s="212"/>
      <c r="L21" s="212"/>
      <c r="M21" s="212"/>
      <c r="N21" s="212"/>
      <c r="O21" s="212"/>
      <c r="P21" s="6"/>
    </row>
    <row r="22" spans="2:16" x14ac:dyDescent="0.25">
      <c r="I22" s="212"/>
      <c r="J22" s="212"/>
      <c r="K22" s="212"/>
      <c r="L22" s="212"/>
      <c r="M22" s="212"/>
      <c r="N22" s="212"/>
      <c r="O22" s="212"/>
      <c r="P22" s="6"/>
    </row>
    <row r="23" spans="2:16" x14ac:dyDescent="0.25">
      <c r="I23" s="212"/>
      <c r="J23" s="212"/>
      <c r="K23" s="212"/>
      <c r="L23" s="212"/>
      <c r="M23" s="212"/>
      <c r="N23" s="212"/>
      <c r="O23" s="212"/>
      <c r="P23" s="6"/>
    </row>
    <row r="32" spans="2:16" x14ac:dyDescent="0.25">
      <c r="B32" s="46" t="s">
        <v>58</v>
      </c>
      <c r="G32" s="218" t="str">
        <f>G8</f>
        <v>Всего портфель (до погашения)</v>
      </c>
      <c r="H32" s="218"/>
    </row>
    <row r="33" spans="2:8" ht="24.75" customHeight="1" x14ac:dyDescent="0.25">
      <c r="B33" s="13" t="s">
        <v>21</v>
      </c>
      <c r="C33" s="26">
        <v>44136</v>
      </c>
      <c r="D33" s="26">
        <v>44166</v>
      </c>
      <c r="E33" s="26">
        <f>E9</f>
        <v>44197</v>
      </c>
      <c r="G33" s="31">
        <f>E33</f>
        <v>44197</v>
      </c>
      <c r="H33" s="32" t="s">
        <v>23</v>
      </c>
    </row>
    <row r="34" spans="2:8" x14ac:dyDescent="0.25">
      <c r="B34" s="5" t="s">
        <v>3</v>
      </c>
      <c r="C34" s="72">
        <v>131.17021984516768</v>
      </c>
      <c r="D34" s="72">
        <v>132.66700174532653</v>
      </c>
      <c r="E34" s="94">
        <f ca="1">'портефль до погашения'!J4/1000000</f>
        <v>132.2657470214574</v>
      </c>
      <c r="G34" s="34">
        <f ca="1">'портефль до погашения'!F4/1000000</f>
        <v>3197.3186843835001</v>
      </c>
      <c r="H34" s="33">
        <f ca="1">E34/G34</f>
        <v>4.1367708407509148E-2</v>
      </c>
    </row>
    <row r="35" spans="2:8" x14ac:dyDescent="0.25">
      <c r="G35" s="30"/>
    </row>
    <row r="49" spans="2:9" x14ac:dyDescent="0.25">
      <c r="B49" s="46" t="s">
        <v>320</v>
      </c>
      <c r="G49" s="218"/>
      <c r="H49" s="218"/>
    </row>
    <row r="50" spans="2:9" ht="30" x14ac:dyDescent="0.25">
      <c r="B50" s="13" t="s">
        <v>321</v>
      </c>
      <c r="C50" s="26">
        <v>44136</v>
      </c>
      <c r="D50" s="26">
        <v>44166</v>
      </c>
      <c r="E50" s="26">
        <f>E33</f>
        <v>44197</v>
      </c>
      <c r="G50" s="31">
        <f>E50</f>
        <v>44197</v>
      </c>
      <c r="H50" s="32" t="s">
        <v>23</v>
      </c>
    </row>
    <row r="51" spans="2:9" x14ac:dyDescent="0.25">
      <c r="B51" s="5" t="s">
        <v>3</v>
      </c>
      <c r="C51" s="72">
        <v>0</v>
      </c>
      <c r="D51" s="72">
        <v>0</v>
      </c>
      <c r="E51" s="94"/>
      <c r="G51" s="34">
        <v>0</v>
      </c>
      <c r="H51" s="33" t="e">
        <f>E51/G51</f>
        <v>#DIV/0!</v>
      </c>
    </row>
    <row r="58" spans="2:9" x14ac:dyDescent="0.25">
      <c r="B58" s="214" t="s">
        <v>16</v>
      </c>
      <c r="C58" s="215"/>
      <c r="D58" s="23">
        <f>E9</f>
        <v>44197</v>
      </c>
    </row>
    <row r="59" spans="2:9" x14ac:dyDescent="0.25">
      <c r="B59" s="10" t="str">
        <f>IF('рейтинг В'!B35&gt;10,'рейтинг В'!A35,"")</f>
        <v/>
      </c>
      <c r="C59" s="9" t="str">
        <f>IF('рейтинг В'!B35&gt;10,'рейтинг В'!B35,"")</f>
        <v/>
      </c>
      <c r="D59" s="18">
        <f>IF(C59="",0,C59/$C$70)</f>
        <v>0</v>
      </c>
      <c r="E59" s="212" t="s">
        <v>121</v>
      </c>
      <c r="F59" s="212"/>
      <c r="G59" s="212"/>
      <c r="H59" s="212"/>
      <c r="I59" s="212"/>
    </row>
    <row r="60" spans="2:9" x14ac:dyDescent="0.25">
      <c r="B60" s="10" t="str">
        <f>IF('рейтинг В'!B36&gt;10,'рейтинг В'!A36,"")</f>
        <v>Элемент Лизинг</v>
      </c>
      <c r="C60" s="9">
        <f>IF('рейтинг В'!B36&gt;10,'рейтинг В'!B36,"")</f>
        <v>44.305378879999992</v>
      </c>
      <c r="D60" s="18">
        <f>IF(C60="",0,C60/$C$70)</f>
        <v>3.7778650635820595E-2</v>
      </c>
      <c r="E60" s="212"/>
      <c r="F60" s="212"/>
      <c r="G60" s="212"/>
      <c r="H60" s="212"/>
      <c r="I60" s="212"/>
    </row>
    <row r="61" spans="2:9" x14ac:dyDescent="0.25">
      <c r="B61" s="10" t="str">
        <f>IF('рейтинг В'!B37&gt;10,'рейтинг В'!A37,"")</f>
        <v/>
      </c>
      <c r="C61" s="9" t="str">
        <f>IF('рейтинг В'!B37&gt;10,'рейтинг В'!B37,"")</f>
        <v/>
      </c>
      <c r="D61" s="18">
        <f>IF(C61="",0,C61/$C$70)</f>
        <v>0</v>
      </c>
      <c r="E61" s="212"/>
      <c r="F61" s="212"/>
      <c r="G61" s="212"/>
      <c r="H61" s="212"/>
      <c r="I61" s="212"/>
    </row>
    <row r="62" spans="2:9" x14ac:dyDescent="0.25">
      <c r="B62" s="10" t="str">
        <f>IF('рейтинг В'!B38&gt;10,'рейтинг В'!A38,"")</f>
        <v/>
      </c>
      <c r="C62" s="9" t="str">
        <f>IF('рейтинг В'!B38&gt;10,'рейтинг В'!B38,"")</f>
        <v/>
      </c>
      <c r="D62" s="18">
        <f>IF(C62="",0,C62/$C$70)</f>
        <v>0</v>
      </c>
      <c r="E62" s="212"/>
      <c r="F62" s="212"/>
      <c r="G62" s="212"/>
      <c r="H62" s="212"/>
      <c r="I62" s="212"/>
    </row>
    <row r="63" spans="2:9" x14ac:dyDescent="0.25">
      <c r="B63" s="10" t="str">
        <f>IF('рейтинг В'!B39&gt;10,'рейтинг В'!A39,"")</f>
        <v/>
      </c>
      <c r="C63" s="9" t="str">
        <f>IF('рейтинг В'!B39&gt;10,'рейтинг В'!B39,"")</f>
        <v/>
      </c>
      <c r="D63" s="18">
        <f t="shared" ref="D63" si="0">IF(C63="",0,C63/$C$70)</f>
        <v>0</v>
      </c>
      <c r="E63" s="212"/>
      <c r="F63" s="212"/>
      <c r="G63" s="212"/>
      <c r="H63" s="212"/>
      <c r="I63" s="212"/>
    </row>
    <row r="64" spans="2:9" x14ac:dyDescent="0.25">
      <c r="B64" s="10" t="str">
        <f>IF('рейтинг В'!B40&gt;10,'рейтинг В'!A40,"")</f>
        <v/>
      </c>
      <c r="C64" s="9" t="str">
        <f>IF('рейтинг В'!B40&gt;10,'рейтинг В'!B40,"")</f>
        <v/>
      </c>
      <c r="D64" s="18">
        <f>IF(C64="",0,C64/$C$70)</f>
        <v>0</v>
      </c>
      <c r="E64" s="17"/>
      <c r="F64" s="17"/>
      <c r="G64" s="17"/>
      <c r="H64" s="24"/>
      <c r="I64" s="17"/>
    </row>
    <row r="65" spans="2:9" x14ac:dyDescent="0.25">
      <c r="B65" s="10" t="str">
        <f>IF('рейтинг В'!B41&gt;10,'рейтинг В'!A41,"")</f>
        <v/>
      </c>
      <c r="C65" s="9" t="str">
        <f>IF('рейтинг В'!B41&gt;10,'рейтинг В'!B41,"")</f>
        <v/>
      </c>
      <c r="D65" s="18">
        <f>IF(C65="",0,C65/$C$70)</f>
        <v>0</v>
      </c>
      <c r="E65" s="17"/>
      <c r="F65" s="17"/>
      <c r="G65" s="17"/>
      <c r="H65" s="24"/>
      <c r="I65" s="17"/>
    </row>
    <row r="66" spans="2:9" x14ac:dyDescent="0.25">
      <c r="B66" s="10" t="str">
        <f>IF('рейтинг В'!B42&gt;10,'рейтинг В'!A42,"")</f>
        <v>Русал</v>
      </c>
      <c r="C66" s="9">
        <f>IF('рейтинг В'!B42&gt;10,'рейтинг В'!B42,"")</f>
        <v>705.04695108999999</v>
      </c>
      <c r="D66" s="18">
        <f>IF(C66="",0,C66/$C$70)</f>
        <v>0.60118484753785273</v>
      </c>
      <c r="E66" s="17"/>
      <c r="F66" s="17"/>
      <c r="G66" s="17"/>
      <c r="H66" s="24"/>
      <c r="I66" s="17"/>
    </row>
    <row r="67" spans="2:9" x14ac:dyDescent="0.25">
      <c r="B67" s="10" t="str">
        <f>IF('рейтинг В'!B43&gt;10,'рейтинг В'!A43,"")</f>
        <v>Беларусь</v>
      </c>
      <c r="C67" s="9">
        <f>IF('рейтинг В'!B43&gt;100,'рейтинг В'!B43,"")</f>
        <v>423.41001421999999</v>
      </c>
      <c r="D67" s="18">
        <f>IF(C67="",0,C67/$C$70)</f>
        <v>0.36103650182632657</v>
      </c>
      <c r="E67" s="17"/>
      <c r="F67" s="17"/>
      <c r="G67" s="17"/>
      <c r="H67" s="24"/>
      <c r="I67" s="17"/>
    </row>
    <row r="68" spans="2:9" x14ac:dyDescent="0.25">
      <c r="B68" s="10" t="str">
        <f>IF('рейтинг В'!B44&gt;10,'рейтинг В'!A44,"")</f>
        <v/>
      </c>
      <c r="C68" s="9" t="str">
        <f>IF('рейтинг В'!B44&gt;10,'рейтинг В'!B44,"")</f>
        <v/>
      </c>
      <c r="D68" s="18">
        <f>IF(C68="",0,C68/$C$70)</f>
        <v>0</v>
      </c>
      <c r="E68" s="17"/>
      <c r="F68" s="17"/>
      <c r="G68" s="17"/>
      <c r="H68" s="24"/>
      <c r="I68" s="17"/>
    </row>
    <row r="69" spans="2:9" x14ac:dyDescent="0.25">
      <c r="B69" s="20" t="s">
        <v>10</v>
      </c>
      <c r="C69" s="21">
        <f>SUMIF('рейтинг В'!B35:B51,"&lt;10",'рейтинг В'!B35:B51)</f>
        <v>0</v>
      </c>
      <c r="D69" s="22">
        <f>C69/$C$70</f>
        <v>0</v>
      </c>
      <c r="E69" s="17"/>
      <c r="F69" s="17"/>
      <c r="G69" s="17"/>
      <c r="H69" s="24"/>
      <c r="I69" s="17"/>
    </row>
    <row r="70" spans="2:9" x14ac:dyDescent="0.25">
      <c r="B70" s="14" t="s">
        <v>15</v>
      </c>
      <c r="C70" s="15">
        <f>'рейтинг В'!B26/1000000</f>
        <v>1172.76234419</v>
      </c>
      <c r="D70" s="19">
        <f>SUM(D59:D69)</f>
        <v>1</v>
      </c>
    </row>
    <row r="71" spans="2:9" x14ac:dyDescent="0.25">
      <c r="B71" s="4"/>
      <c r="C71" s="4"/>
      <c r="D71" s="4"/>
    </row>
    <row r="92" spans="2:19" x14ac:dyDescent="0.25">
      <c r="C92" s="1">
        <f>E9</f>
        <v>44197</v>
      </c>
      <c r="D92" s="127" t="s">
        <v>27</v>
      </c>
      <c r="E92" s="1">
        <v>44166</v>
      </c>
      <c r="G92" s="35" t="s">
        <v>47</v>
      </c>
      <c r="S92">
        <v>1</v>
      </c>
    </row>
    <row r="93" spans="2:19" x14ac:dyDescent="0.25">
      <c r="B93" s="5" t="s">
        <v>11</v>
      </c>
      <c r="C93" s="15">
        <f>E11</f>
        <v>398.51551174570358</v>
      </c>
      <c r="E93" s="9">
        <v>124</v>
      </c>
      <c r="G93" s="16">
        <f>E93-C93</f>
        <v>-274.51551174570358</v>
      </c>
    </row>
    <row r="94" spans="2:19" x14ac:dyDescent="0.25">
      <c r="B94" s="5" t="s">
        <v>12</v>
      </c>
      <c r="C94" s="15">
        <v>1198</v>
      </c>
      <c r="D94" t="s">
        <v>45</v>
      </c>
      <c r="E94" s="9">
        <v>1601</v>
      </c>
      <c r="G94" s="16">
        <f t="shared" ref="G94:G97" si="1">E94-C94</f>
        <v>403</v>
      </c>
      <c r="H94" t="s">
        <v>46</v>
      </c>
    </row>
    <row r="95" spans="2:19" x14ac:dyDescent="0.25">
      <c r="B95" s="5" t="s">
        <v>295</v>
      </c>
      <c r="C95" s="15">
        <f ca="1">E10+E34</f>
        <v>1397.7995100159778</v>
      </c>
      <c r="E95" s="9">
        <v>1382.9671195420633</v>
      </c>
      <c r="G95" s="16">
        <f t="shared" ca="1" si="1"/>
        <v>-14.832390473914529</v>
      </c>
    </row>
    <row r="96" spans="2:19" x14ac:dyDescent="0.25">
      <c r="B96" s="5" t="s">
        <v>294</v>
      </c>
      <c r="C96" s="15">
        <f>E12</f>
        <v>1834</v>
      </c>
      <c r="E96" s="9">
        <v>2789</v>
      </c>
      <c r="G96" s="16"/>
    </row>
    <row r="97" spans="2:13" x14ac:dyDescent="0.25">
      <c r="B97" s="5" t="s">
        <v>38</v>
      </c>
      <c r="C97" s="15">
        <v>16.2</v>
      </c>
      <c r="D97" t="s">
        <v>37</v>
      </c>
      <c r="E97" s="9">
        <v>15.6</v>
      </c>
      <c r="G97" s="16">
        <f t="shared" si="1"/>
        <v>-0.59999999999999964</v>
      </c>
    </row>
    <row r="98" spans="2:13" x14ac:dyDescent="0.25">
      <c r="C98" s="2">
        <f ca="1">SUM(C93:C97)</f>
        <v>4844.5150217616811</v>
      </c>
      <c r="E98" s="2">
        <v>5912.5671195420637</v>
      </c>
      <c r="G98" s="2">
        <f ca="1">E98-C98</f>
        <v>1068.0520977803826</v>
      </c>
    </row>
    <row r="99" spans="2:13" ht="15" customHeight="1" x14ac:dyDescent="0.25">
      <c r="E99" s="217" t="s">
        <v>22</v>
      </c>
      <c r="F99" s="212"/>
      <c r="G99" s="212"/>
      <c r="H99" s="212"/>
      <c r="I99" s="212"/>
    </row>
    <row r="100" spans="2:13" x14ac:dyDescent="0.25">
      <c r="E100" s="212"/>
      <c r="F100" s="212"/>
      <c r="G100" s="212"/>
      <c r="H100" s="212"/>
      <c r="I100" s="212"/>
    </row>
    <row r="101" spans="2:13" x14ac:dyDescent="0.25">
      <c r="E101" s="212"/>
      <c r="F101" s="212"/>
      <c r="G101" s="212"/>
      <c r="H101" s="212"/>
      <c r="I101" s="212"/>
    </row>
    <row r="102" spans="2:13" x14ac:dyDescent="0.25">
      <c r="E102" s="212"/>
      <c r="F102" s="212"/>
      <c r="G102" s="212"/>
      <c r="H102" s="212"/>
      <c r="I102" s="212"/>
      <c r="J102" s="4"/>
      <c r="K102" s="4"/>
      <c r="L102" s="4"/>
      <c r="M102" s="4"/>
    </row>
    <row r="103" spans="2:13" x14ac:dyDescent="0.25">
      <c r="E103" s="212"/>
      <c r="F103" s="212"/>
      <c r="G103" s="212"/>
      <c r="H103" s="212"/>
      <c r="I103" s="212"/>
      <c r="J103" s="4"/>
      <c r="K103" s="4"/>
      <c r="L103" s="4"/>
      <c r="M103" s="4"/>
    </row>
    <row r="104" spans="2:13" x14ac:dyDescent="0.25">
      <c r="E104" s="212"/>
      <c r="F104" s="212"/>
      <c r="G104" s="212"/>
      <c r="H104" s="212"/>
      <c r="I104" s="212"/>
      <c r="J104" s="4"/>
      <c r="K104" s="4"/>
      <c r="L104" s="4"/>
      <c r="M104" s="4"/>
    </row>
    <row r="105" spans="2:13" x14ac:dyDescent="0.25">
      <c r="E105" s="212"/>
      <c r="F105" s="212"/>
      <c r="G105" s="212"/>
      <c r="H105" s="212"/>
      <c r="I105" s="212"/>
      <c r="J105" s="4"/>
      <c r="K105" s="4"/>
      <c r="L105" s="4"/>
      <c r="M105" s="4"/>
    </row>
    <row r="106" spans="2:13" x14ac:dyDescent="0.25">
      <c r="E106" s="212"/>
      <c r="F106" s="212"/>
      <c r="G106" s="212"/>
      <c r="H106" s="212"/>
      <c r="I106" s="212"/>
      <c r="J106" s="4"/>
      <c r="K106" s="4"/>
    </row>
    <row r="107" spans="2:13" x14ac:dyDescent="0.25">
      <c r="E107" s="212"/>
      <c r="F107" s="212"/>
      <c r="G107" s="212"/>
      <c r="H107" s="212"/>
      <c r="I107" s="212"/>
      <c r="J107" s="4"/>
      <c r="K107" s="4"/>
    </row>
    <row r="108" spans="2:13" x14ac:dyDescent="0.25">
      <c r="E108" s="212"/>
      <c r="F108" s="212"/>
      <c r="G108" s="212"/>
      <c r="H108" s="212"/>
      <c r="I108" s="212"/>
      <c r="J108" s="4"/>
      <c r="K108" s="4"/>
    </row>
    <row r="109" spans="2:13" x14ac:dyDescent="0.25">
      <c r="E109" s="212"/>
      <c r="F109" s="212"/>
      <c r="G109" s="212"/>
      <c r="H109" s="212"/>
      <c r="I109" s="212"/>
      <c r="J109" s="4"/>
      <c r="K109" s="4"/>
    </row>
    <row r="110" spans="2:13" x14ac:dyDescent="0.25">
      <c r="G110" s="4"/>
      <c r="H110" s="4"/>
      <c r="I110" s="4"/>
      <c r="J110" s="4"/>
      <c r="K110" s="4"/>
    </row>
    <row r="111" spans="2:13" x14ac:dyDescent="0.25">
      <c r="J111" s="4"/>
      <c r="K111" s="4"/>
    </row>
    <row r="112" spans="2:13" x14ac:dyDescent="0.25">
      <c r="J112" s="4"/>
      <c r="K112" s="4"/>
    </row>
    <row r="113" spans="2:11" x14ac:dyDescent="0.25">
      <c r="G113" s="4"/>
      <c r="H113" s="4"/>
      <c r="I113" s="4"/>
      <c r="J113" s="4"/>
      <c r="K113" s="4"/>
    </row>
    <row r="114" spans="2:11" x14ac:dyDescent="0.25">
      <c r="B114" s="4"/>
      <c r="C114" s="4"/>
      <c r="D114" s="4"/>
      <c r="G114" s="4"/>
      <c r="H114" s="4"/>
      <c r="I114" s="4"/>
      <c r="J114" s="4"/>
      <c r="K114" s="4"/>
    </row>
    <row r="115" spans="2:11" x14ac:dyDescent="0.25">
      <c r="B115" s="4"/>
      <c r="C115" s="4"/>
      <c r="D115" s="4"/>
      <c r="G115" s="4"/>
      <c r="H115" s="4"/>
      <c r="I115" s="4"/>
      <c r="J115" s="4"/>
      <c r="K115" s="4"/>
    </row>
    <row r="116" spans="2:11" x14ac:dyDescent="0.25">
      <c r="B116" s="4"/>
      <c r="C116" s="4"/>
      <c r="D116" s="4"/>
      <c r="G116" s="4"/>
      <c r="H116" s="4"/>
      <c r="I116" s="4"/>
      <c r="J116" s="4"/>
      <c r="K116" s="4"/>
    </row>
    <row r="117" spans="2:11" x14ac:dyDescent="0.25">
      <c r="B117" s="4"/>
      <c r="C117" s="4"/>
      <c r="D117" s="4"/>
      <c r="G117" s="4"/>
      <c r="H117" s="4"/>
      <c r="I117" s="4"/>
      <c r="J117" s="4"/>
      <c r="K117" s="4"/>
    </row>
    <row r="118" spans="2:11" x14ac:dyDescent="0.25">
      <c r="B118" s="4"/>
      <c r="C118" s="4"/>
      <c r="D118" s="4"/>
      <c r="G118" s="4"/>
      <c r="H118" s="4"/>
      <c r="I118" s="4"/>
      <c r="J118" s="4"/>
      <c r="K118" s="4"/>
    </row>
    <row r="119" spans="2:11" x14ac:dyDescent="0.25">
      <c r="B119" s="4"/>
      <c r="C119" s="4"/>
      <c r="D119" s="4"/>
      <c r="G119" s="4"/>
      <c r="H119" s="4"/>
      <c r="I119" s="4"/>
      <c r="J119" s="4"/>
      <c r="K119" s="4"/>
    </row>
    <row r="120" spans="2:11" x14ac:dyDescent="0.25">
      <c r="B120" s="4"/>
      <c r="C120" s="4"/>
      <c r="D120" s="4"/>
      <c r="G120" s="4"/>
      <c r="H120" s="4"/>
      <c r="I120" s="4"/>
      <c r="J120" s="4"/>
      <c r="K120" s="4"/>
    </row>
    <row r="121" spans="2:11" x14ac:dyDescent="0.25">
      <c r="B121" s="4"/>
      <c r="C121" s="4"/>
      <c r="D121" s="4"/>
      <c r="G121" s="4"/>
      <c r="H121" s="4"/>
      <c r="I121" s="4"/>
      <c r="J121" s="4"/>
      <c r="K121" s="4"/>
    </row>
    <row r="122" spans="2:11" x14ac:dyDescent="0.25">
      <c r="B122" s="4"/>
      <c r="C122" s="4"/>
      <c r="D122" s="4"/>
      <c r="G122" s="4"/>
      <c r="H122" s="4"/>
      <c r="I122" s="4"/>
      <c r="J122" s="4"/>
      <c r="K122" s="4"/>
    </row>
    <row r="123" spans="2:11" x14ac:dyDescent="0.25">
      <c r="B123" s="4"/>
      <c r="C123" s="4"/>
      <c r="D123" s="4"/>
      <c r="G123" s="4"/>
      <c r="H123" s="4"/>
      <c r="I123" s="4"/>
      <c r="J123" s="4"/>
      <c r="K123" s="4"/>
    </row>
    <row r="124" spans="2:11" x14ac:dyDescent="0.25">
      <c r="B124" s="4"/>
      <c r="C124" s="4"/>
      <c r="D124" s="4"/>
      <c r="G124" s="4"/>
      <c r="H124" s="4"/>
      <c r="I124" s="4"/>
      <c r="J124" s="4"/>
      <c r="K124" s="4"/>
    </row>
    <row r="125" spans="2:11" x14ac:dyDescent="0.25">
      <c r="B125" s="4"/>
      <c r="C125" s="4"/>
      <c r="D125" s="4"/>
      <c r="G125" s="4"/>
      <c r="H125" s="4"/>
      <c r="I125" s="4"/>
      <c r="J125" s="4"/>
      <c r="K125" s="4"/>
    </row>
    <row r="126" spans="2:11" x14ac:dyDescent="0.25">
      <c r="B126" s="4"/>
      <c r="C126" s="4"/>
      <c r="D126" s="4"/>
      <c r="G126" s="4"/>
      <c r="H126" s="4"/>
      <c r="I126" s="4"/>
      <c r="J126" s="4"/>
      <c r="K126" s="4"/>
    </row>
    <row r="127" spans="2:11" x14ac:dyDescent="0.25">
      <c r="B127" s="4"/>
      <c r="C127" s="4"/>
      <c r="D127" s="4"/>
      <c r="G127" s="4"/>
      <c r="H127" s="4"/>
      <c r="I127" s="4"/>
      <c r="J127" s="4"/>
      <c r="K127" s="4"/>
    </row>
    <row r="128" spans="2:11" x14ac:dyDescent="0.25">
      <c r="B128" s="4"/>
      <c r="C128" s="4"/>
      <c r="D128" s="4"/>
      <c r="G128" s="4"/>
      <c r="H128" s="4"/>
      <c r="I128" s="4"/>
      <c r="J128" s="4"/>
      <c r="K128" s="4"/>
    </row>
    <row r="129" spans="1:15" x14ac:dyDescent="0.25">
      <c r="B129" s="4"/>
      <c r="C129" s="4"/>
      <c r="D129" s="4"/>
      <c r="G129" s="4"/>
      <c r="H129" s="4"/>
      <c r="I129" s="4"/>
      <c r="J129" s="4"/>
      <c r="K129" s="4"/>
    </row>
    <row r="130" spans="1:15" x14ac:dyDescent="0.25">
      <c r="B130" s="4"/>
      <c r="C130" s="4"/>
      <c r="D130" s="4"/>
      <c r="G130" s="4"/>
      <c r="H130" s="4"/>
      <c r="I130" s="4"/>
      <c r="J130" s="4"/>
      <c r="K130" s="4"/>
    </row>
    <row r="131" spans="1:15" x14ac:dyDescent="0.25">
      <c r="B131" s="4"/>
      <c r="C131" s="4"/>
      <c r="D131" s="4"/>
      <c r="G131" s="4"/>
      <c r="H131" s="4"/>
      <c r="I131" s="4"/>
      <c r="J131" s="4"/>
      <c r="K131" s="4"/>
    </row>
    <row r="132" spans="1:15" x14ac:dyDescent="0.25">
      <c r="B132" s="4"/>
      <c r="C132" s="4"/>
      <c r="D132" s="4"/>
      <c r="G132" s="4"/>
      <c r="H132" s="4"/>
      <c r="I132" s="4"/>
      <c r="J132" s="4"/>
      <c r="K132" s="4"/>
    </row>
    <row r="133" spans="1:15" x14ac:dyDescent="0.25">
      <c r="B133" s="4"/>
      <c r="C133" s="4"/>
      <c r="D133" s="4"/>
      <c r="G133" s="4"/>
      <c r="H133" s="4"/>
      <c r="I133" s="4"/>
      <c r="J133" s="4"/>
      <c r="K133" s="4"/>
    </row>
    <row r="134" spans="1:15" x14ac:dyDescent="0.25">
      <c r="B134" s="4"/>
      <c r="C134" s="4"/>
      <c r="D134" s="4"/>
      <c r="G134" s="4"/>
      <c r="H134" s="4"/>
      <c r="I134" s="4"/>
      <c r="J134" s="4"/>
      <c r="K134" s="4"/>
    </row>
    <row r="135" spans="1:15" x14ac:dyDescent="0.25">
      <c r="B135" s="4"/>
      <c r="C135" s="4"/>
      <c r="D135" s="4"/>
      <c r="G135" s="4"/>
      <c r="H135" s="4"/>
      <c r="I135" s="4"/>
      <c r="J135" s="4"/>
      <c r="K135" s="4"/>
    </row>
    <row r="136" spans="1:15" x14ac:dyDescent="0.25">
      <c r="B136" s="4"/>
      <c r="C136" s="4"/>
      <c r="D136" s="4"/>
      <c r="G136" s="4"/>
      <c r="H136" s="4"/>
      <c r="I136" s="4"/>
      <c r="J136" s="4"/>
      <c r="K136" s="4"/>
    </row>
    <row r="137" spans="1:15" x14ac:dyDescent="0.25">
      <c r="B137" s="4"/>
      <c r="C137" s="4"/>
      <c r="D137" s="4"/>
      <c r="G137" s="4"/>
      <c r="H137" s="4"/>
      <c r="I137" s="4"/>
      <c r="J137" s="4"/>
      <c r="K137" s="4"/>
    </row>
    <row r="138" spans="1:15" ht="14.45" customHeight="1" x14ac:dyDescent="0.25">
      <c r="B138" s="216" t="s">
        <v>26</v>
      </c>
      <c r="C138" s="216"/>
      <c r="D138" s="216"/>
      <c r="K138" s="6"/>
      <c r="L138" s="6"/>
      <c r="M138" s="6"/>
      <c r="N138" s="6"/>
    </row>
    <row r="139" spans="1:15" ht="75" customHeight="1" x14ac:dyDescent="0.25">
      <c r="A139" s="5"/>
      <c r="B139" s="145"/>
      <c r="C139" s="32" t="s">
        <v>288</v>
      </c>
      <c r="D139" s="32" t="s">
        <v>289</v>
      </c>
      <c r="E139" s="32" t="s">
        <v>266</v>
      </c>
      <c r="F139" s="96" t="s">
        <v>267</v>
      </c>
      <c r="G139" s="96" t="s">
        <v>268</v>
      </c>
      <c r="H139" s="96" t="s">
        <v>290</v>
      </c>
      <c r="I139" s="32" t="s">
        <v>291</v>
      </c>
      <c r="J139" s="211" t="s">
        <v>25</v>
      </c>
      <c r="K139" s="212"/>
      <c r="L139" s="212"/>
      <c r="M139" s="212"/>
      <c r="N139" s="212"/>
      <c r="O139" s="6"/>
    </row>
    <row r="140" spans="1:15" x14ac:dyDescent="0.25">
      <c r="A140" s="10" t="s">
        <v>265</v>
      </c>
      <c r="B140" s="155">
        <v>50993.83437438</v>
      </c>
      <c r="C140" s="156">
        <f>D140*B140</f>
        <v>573.76984768027251</v>
      </c>
      <c r="D140" s="157">
        <f>РейтPD!K12</f>
        <v>1.1251749446175052E-2</v>
      </c>
      <c r="E140" s="158" t="s">
        <v>86</v>
      </c>
      <c r="F140" s="159">
        <f>VLOOKUP(E140,РейтPD!$R$4:$V$26,5,0)</f>
        <v>3.1477246932169281E-3</v>
      </c>
      <c r="G140" s="160">
        <f>F140*B140</f>
        <v>160.51455166205014</v>
      </c>
      <c r="H140" s="160">
        <f>G140+C140</f>
        <v>734.28439934232267</v>
      </c>
      <c r="I140" s="161">
        <f>H140/B140</f>
        <v>1.4399474139391981E-2</v>
      </c>
      <c r="J140" s="211"/>
      <c r="K140" s="212"/>
      <c r="L140" s="212"/>
      <c r="M140" s="212"/>
      <c r="N140" s="212"/>
      <c r="O140" s="6"/>
    </row>
    <row r="141" spans="1:15" x14ac:dyDescent="0.25">
      <c r="A141" s="10" t="s">
        <v>293</v>
      </c>
      <c r="B141" s="155"/>
      <c r="C141" s="156">
        <f>D141*B141</f>
        <v>0</v>
      </c>
      <c r="D141" s="157">
        <f>VLOOKUP(E141,РейтPD!B4:$K$26,9,0)</f>
        <v>2.2936734592060654E-2</v>
      </c>
      <c r="E141" s="158" t="s">
        <v>88</v>
      </c>
      <c r="F141" s="159">
        <f>VLOOKUP(E141,РейтPD!$R$4:$V$26,5,0)</f>
        <v>4.4909962639405644E-3</v>
      </c>
      <c r="G141" s="160">
        <f>F141*B141</f>
        <v>0</v>
      </c>
      <c r="H141" s="160">
        <f>G141+C141</f>
        <v>0</v>
      </c>
      <c r="I141" s="161" t="e">
        <f>H141/B141</f>
        <v>#DIV/0!</v>
      </c>
    </row>
  </sheetData>
  <mergeCells count="10">
    <mergeCell ref="J139:N140"/>
    <mergeCell ref="B6:E6"/>
    <mergeCell ref="B58:C58"/>
    <mergeCell ref="E59:I63"/>
    <mergeCell ref="I19:O23"/>
    <mergeCell ref="B138:D138"/>
    <mergeCell ref="E99:I109"/>
    <mergeCell ref="G8:H8"/>
    <mergeCell ref="G32:H32"/>
    <mergeCell ref="G49:H4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W100"/>
  <sheetViews>
    <sheetView zoomScale="90" zoomScaleNormal="90" workbookViewId="0">
      <selection activeCell="B7" sqref="B7:B68"/>
    </sheetView>
  </sheetViews>
  <sheetFormatPr defaultColWidth="12.85546875" defaultRowHeight="12.75" x14ac:dyDescent="0.25"/>
  <cols>
    <col min="1" max="1" width="7.5703125" style="36" customWidth="1"/>
    <col min="2" max="2" width="19.28515625" style="36" customWidth="1"/>
    <col min="3" max="3" width="24.7109375" style="36" customWidth="1"/>
    <col min="4" max="4" width="25.42578125" style="36" customWidth="1"/>
    <col min="5" max="5" width="11.85546875" style="36" customWidth="1"/>
    <col min="6" max="6" width="22.7109375" style="36" customWidth="1"/>
    <col min="7" max="7" width="12.85546875" style="36"/>
    <col min="8" max="8" width="15.5703125" style="36" customWidth="1"/>
    <col min="9" max="9" width="14.5703125" style="36" customWidth="1"/>
    <col min="10" max="10" width="12.85546875" style="36"/>
    <col min="11" max="11" width="14.7109375" style="36" customWidth="1"/>
    <col min="12" max="15" width="14.7109375" style="95" bestFit="1" customWidth="1"/>
    <col min="16" max="16" width="12.85546875" style="36"/>
    <col min="17" max="17" width="12.85546875" style="150"/>
    <col min="18" max="18" width="29.5703125" style="36" customWidth="1"/>
    <col min="19" max="16384" width="12.85546875" style="36"/>
  </cols>
  <sheetData>
    <row r="1" spans="1:23" x14ac:dyDescent="0.25">
      <c r="A1" s="222"/>
      <c r="B1" s="222"/>
      <c r="C1" s="222"/>
      <c r="D1" s="223"/>
      <c r="E1" s="76"/>
      <c r="F1" s="42" t="s">
        <v>119</v>
      </c>
      <c r="J1" s="43" t="s">
        <v>120</v>
      </c>
      <c r="K1" s="43"/>
      <c r="L1" s="43"/>
      <c r="M1" s="43"/>
      <c r="N1" s="43"/>
      <c r="O1" s="144" t="str">
        <f>O7</f>
        <v>Стрессс итог</v>
      </c>
      <c r="P1" s="144" t="s">
        <v>301</v>
      </c>
    </row>
    <row r="2" spans="1:23" x14ac:dyDescent="0.25">
      <c r="A2" s="221" t="s">
        <v>15</v>
      </c>
      <c r="B2" s="221"/>
      <c r="C2" s="221"/>
      <c r="D2" s="221"/>
      <c r="E2" s="75"/>
      <c r="F2" s="44">
        <f ca="1">F3+F4</f>
        <v>56698163066.053513</v>
      </c>
      <c r="G2" s="44"/>
      <c r="H2" s="44"/>
      <c r="I2" s="44"/>
      <c r="J2" s="44">
        <f t="shared" ref="J2" ca="1" si="0">J3+J4</f>
        <v>1397799510.0159779</v>
      </c>
      <c r="K2" s="44"/>
      <c r="L2" s="44"/>
      <c r="M2" s="44"/>
      <c r="N2" s="44"/>
      <c r="O2" s="44">
        <f ca="1">O3+O4</f>
        <v>1713788839.1616156</v>
      </c>
      <c r="P2" s="44"/>
    </row>
    <row r="3" spans="1:23" x14ac:dyDescent="0.25">
      <c r="A3" s="220" t="s">
        <v>55</v>
      </c>
      <c r="B3" s="220"/>
      <c r="C3" s="220"/>
      <c r="D3" s="220"/>
      <c r="E3" s="74"/>
      <c r="F3" s="45">
        <f ca="1">SUMIF(A$8:A$1048576,"АББ",(F8:F108))</f>
        <v>53500844381.670013</v>
      </c>
      <c r="G3" s="45"/>
      <c r="H3" s="45"/>
      <c r="I3" s="45"/>
      <c r="J3" s="45">
        <f ca="1">SUMIF(A$8:A$1048576,"АББ",(J8:J108))</f>
        <v>1265533762.9945204</v>
      </c>
      <c r="K3" s="45"/>
      <c r="L3" s="45"/>
      <c r="M3" s="45"/>
      <c r="N3" s="45"/>
      <c r="O3" s="45">
        <f ca="1">SUMIF(A$8:A$1048576,"АББ",(O8:O108))</f>
        <v>1547303762.673914</v>
      </c>
      <c r="P3" s="153">
        <f ca="1">O3/F3</f>
        <v>2.8921109200363154E-2</v>
      </c>
    </row>
    <row r="4" spans="1:23" x14ac:dyDescent="0.25">
      <c r="A4" s="221" t="s">
        <v>56</v>
      </c>
      <c r="B4" s="221"/>
      <c r="C4" s="221"/>
      <c r="D4" s="221"/>
      <c r="E4" s="75"/>
      <c r="F4" s="44">
        <f ca="1">SUMIF(A$8:A$1048576,"АБФ-БО",(F8:F108))</f>
        <v>3197318684.3835001</v>
      </c>
      <c r="G4" s="44"/>
      <c r="H4" s="44"/>
      <c r="I4" s="44"/>
      <c r="J4" s="44">
        <f ca="1">SUMIF(A$8:A$1048576,"АБФ-БО",(J8:J108))</f>
        <v>132265747.0214574</v>
      </c>
      <c r="K4" s="44"/>
      <c r="L4" s="44"/>
      <c r="M4" s="44"/>
      <c r="N4" s="44"/>
      <c r="O4" s="44">
        <f ca="1">SUMIF(A$8:A$1048576,"АБФ-БО",(O8:O108))</f>
        <v>166485076.48770174</v>
      </c>
      <c r="P4" s="154">
        <f ca="1">O4/F4</f>
        <v>5.2070216616459372E-2</v>
      </c>
    </row>
    <row r="6" spans="1:23" x14ac:dyDescent="0.25">
      <c r="D6" s="62" t="s">
        <v>15</v>
      </c>
      <c r="E6" s="62"/>
      <c r="F6" s="63">
        <f>SUM(F8:F100)</f>
        <v>56698163066.053513</v>
      </c>
      <c r="G6" s="63"/>
      <c r="H6" s="63">
        <f t="shared" ref="H6:I6" si="1">SUM(H8:H100)</f>
        <v>149898243.76692802</v>
      </c>
      <c r="I6" s="63">
        <f t="shared" si="1"/>
        <v>1247901266.2490497</v>
      </c>
      <c r="J6" s="63">
        <f>SUM(J8:J100)</f>
        <v>1397799510.0159779</v>
      </c>
      <c r="K6" s="63"/>
      <c r="L6" s="63"/>
      <c r="M6" s="63"/>
      <c r="N6" s="63">
        <f t="shared" ref="N6" si="2">SUM(N8:N100)</f>
        <v>315989329.14563793</v>
      </c>
      <c r="O6" s="63">
        <f>SUM(O8:O100)</f>
        <v>1713788839.1616158</v>
      </c>
    </row>
    <row r="7" spans="1:23" ht="30.75" customHeight="1" x14ac:dyDescent="0.2">
      <c r="A7" s="37" t="s">
        <v>53</v>
      </c>
      <c r="B7" s="37" t="s">
        <v>616</v>
      </c>
      <c r="C7" s="37" t="s">
        <v>114</v>
      </c>
      <c r="D7" s="37" t="s">
        <v>52</v>
      </c>
      <c r="E7" s="77" t="s">
        <v>118</v>
      </c>
      <c r="F7" s="41" t="s">
        <v>512</v>
      </c>
      <c r="G7" s="41" t="s">
        <v>57</v>
      </c>
      <c r="H7" s="41" t="s">
        <v>65</v>
      </c>
      <c r="I7" s="41" t="s">
        <v>66</v>
      </c>
      <c r="J7" s="40" t="s">
        <v>120</v>
      </c>
      <c r="K7" s="40" t="s">
        <v>115</v>
      </c>
      <c r="L7" s="96" t="s">
        <v>266</v>
      </c>
      <c r="M7" s="96" t="s">
        <v>267</v>
      </c>
      <c r="N7" s="96" t="s">
        <v>268</v>
      </c>
      <c r="O7" s="96" t="s">
        <v>269</v>
      </c>
      <c r="Q7" s="149" t="s">
        <v>296</v>
      </c>
      <c r="S7" s="219" t="s">
        <v>481</v>
      </c>
      <c r="T7" s="219"/>
      <c r="V7" s="219" t="s">
        <v>481</v>
      </c>
      <c r="W7" s="219"/>
    </row>
    <row r="8" spans="1:23" x14ac:dyDescent="0.2">
      <c r="A8" s="37" t="s">
        <v>51</v>
      </c>
      <c r="B8" s="37" t="s">
        <v>345</v>
      </c>
      <c r="C8" s="37" t="s">
        <v>233</v>
      </c>
      <c r="D8" s="37" t="s">
        <v>190</v>
      </c>
      <c r="E8" s="37" t="s">
        <v>146</v>
      </c>
      <c r="F8" s="38">
        <v>76001062.579999998</v>
      </c>
      <c r="G8" s="39">
        <v>2.5501379562474856E-2</v>
      </c>
      <c r="H8" s="38">
        <v>194915.74289193194</v>
      </c>
      <c r="I8" s="38">
        <v>1743216.2011120524</v>
      </c>
      <c r="J8" s="146">
        <f t="shared" ref="J8:J39" si="3">F8*G8</f>
        <v>1938131.9440039846</v>
      </c>
      <c r="K8" s="61" t="s">
        <v>88</v>
      </c>
      <c r="L8" s="128" t="s">
        <v>90</v>
      </c>
      <c r="M8" s="147">
        <f>VLOOKUP(L8,РейтPD!$R$4:$V$26,5,0)</f>
        <v>7.8438247863801356E-3</v>
      </c>
      <c r="N8" s="148">
        <f>M8*F8</f>
        <v>596139.0184562318</v>
      </c>
      <c r="O8" s="148">
        <f>N8+J8</f>
        <v>2534270.9624602161</v>
      </c>
      <c r="Q8" s="151">
        <f>J8-I8-H8</f>
        <v>0</v>
      </c>
      <c r="S8" s="166" t="s">
        <v>51</v>
      </c>
      <c r="T8" s="175" t="s">
        <v>615</v>
      </c>
      <c r="V8" s="166" t="s">
        <v>58</v>
      </c>
      <c r="W8" s="175"/>
    </row>
    <row r="9" spans="1:23" x14ac:dyDescent="0.2">
      <c r="A9" s="37" t="s">
        <v>51</v>
      </c>
      <c r="B9" s="37" t="s">
        <v>345</v>
      </c>
      <c r="C9" s="37" t="s">
        <v>234</v>
      </c>
      <c r="D9" s="37" t="s">
        <v>191</v>
      </c>
      <c r="E9" s="37" t="s">
        <v>147</v>
      </c>
      <c r="F9" s="38">
        <v>133779389.06</v>
      </c>
      <c r="G9" s="39">
        <v>2.5501379562474856E-2</v>
      </c>
      <c r="H9" s="38">
        <v>343096.63729781355</v>
      </c>
      <c r="I9" s="38">
        <v>3068462.3407572429</v>
      </c>
      <c r="J9" s="146">
        <f t="shared" si="3"/>
        <v>3411558.9780550562</v>
      </c>
      <c r="K9" s="61" t="s">
        <v>88</v>
      </c>
      <c r="L9" s="128" t="s">
        <v>88</v>
      </c>
      <c r="M9" s="147">
        <f>VLOOKUP(L9,РейтPD!$R$4:$V$26,5,0)</f>
        <v>4.4909962639405644E-3</v>
      </c>
      <c r="N9" s="148">
        <f t="shared" ref="N9:N65" si="4">M9*F9</f>
        <v>600802.73646071122</v>
      </c>
      <c r="O9" s="148">
        <f t="shared" ref="O9:O65" si="5">N9+J9</f>
        <v>4012361.7145157675</v>
      </c>
      <c r="Q9" s="151">
        <f t="shared" ref="Q9:Q72" si="6">J9-I9-H9</f>
        <v>0</v>
      </c>
      <c r="S9" s="181" t="s">
        <v>80</v>
      </c>
      <c r="T9" s="163">
        <f>SUMIF($L$8:$L$61,S9,$F$8:$F$61)</f>
        <v>1310582000</v>
      </c>
      <c r="V9" s="181" t="s">
        <v>80</v>
      </c>
      <c r="W9" s="163">
        <f>SUMIF($L$62:$L$68,V9,$F$62:$F$68)</f>
        <v>0</v>
      </c>
    </row>
    <row r="10" spans="1:23" x14ac:dyDescent="0.2">
      <c r="A10" s="37" t="s">
        <v>51</v>
      </c>
      <c r="B10" s="37" t="s">
        <v>345</v>
      </c>
      <c r="C10" s="37" t="s">
        <v>236</v>
      </c>
      <c r="D10" s="37" t="s">
        <v>192</v>
      </c>
      <c r="E10" s="37" t="s">
        <v>148</v>
      </c>
      <c r="F10" s="38">
        <v>337404318.69</v>
      </c>
      <c r="G10" s="39">
        <v>2.5501379562474856E-2</v>
      </c>
      <c r="H10" s="38">
        <v>865322.28892433865</v>
      </c>
      <c r="I10" s="38">
        <v>7738953.3080075802</v>
      </c>
      <c r="J10" s="146">
        <f t="shared" si="3"/>
        <v>8604275.5969319195</v>
      </c>
      <c r="K10" s="61" t="s">
        <v>88</v>
      </c>
      <c r="L10" s="128" t="s">
        <v>90</v>
      </c>
      <c r="M10" s="147">
        <f>VLOOKUP(L10,РейтPD!$R$4:$V$26,5,0)</f>
        <v>7.8438247863801356E-3</v>
      </c>
      <c r="N10" s="148">
        <f t="shared" si="4"/>
        <v>2646540.3579723244</v>
      </c>
      <c r="O10" s="148">
        <f t="shared" si="5"/>
        <v>11250815.954904243</v>
      </c>
      <c r="Q10" s="151">
        <f t="shared" si="6"/>
        <v>0</v>
      </c>
      <c r="S10" s="162" t="s">
        <v>82</v>
      </c>
      <c r="T10" s="163">
        <f t="shared" ref="T10:T19" si="7">SUMIF($L$8:$L$61,S10,$F$8:$F$61)</f>
        <v>0</v>
      </c>
      <c r="V10" s="162" t="s">
        <v>82</v>
      </c>
      <c r="W10" s="163">
        <f t="shared" ref="W10:W19" si="8">SUMIF($L$62:$L$68,V10,$F$62:$F$68)</f>
        <v>0</v>
      </c>
    </row>
    <row r="11" spans="1:23" x14ac:dyDescent="0.2">
      <c r="A11" s="37" t="s">
        <v>51</v>
      </c>
      <c r="B11" s="37" t="s">
        <v>345</v>
      </c>
      <c r="C11" s="37" t="s">
        <v>237</v>
      </c>
      <c r="D11" s="37" t="s">
        <v>193</v>
      </c>
      <c r="E11" s="37" t="s">
        <v>149</v>
      </c>
      <c r="F11" s="38">
        <v>1949888390.8800001</v>
      </c>
      <c r="G11" s="39">
        <v>5.1385680228367002E-2</v>
      </c>
      <c r="H11" s="38">
        <v>11612750.488004558</v>
      </c>
      <c r="I11" s="38">
        <v>88583590.846760213</v>
      </c>
      <c r="J11" s="146">
        <f t="shared" si="3"/>
        <v>100196341.33476476</v>
      </c>
      <c r="K11" s="61" t="s">
        <v>90</v>
      </c>
      <c r="L11" s="128" t="s">
        <v>92</v>
      </c>
      <c r="M11" s="147">
        <f>VLOOKUP(L11,РейтPD!$R$4:$V$26,5,0)</f>
        <v>1.3904757877784075E-2</v>
      </c>
      <c r="N11" s="148">
        <f t="shared" si="4"/>
        <v>27112725.963888396</v>
      </c>
      <c r="O11" s="148">
        <f t="shared" si="5"/>
        <v>127309067.29865316</v>
      </c>
      <c r="Q11" s="151">
        <f t="shared" si="6"/>
        <v>0</v>
      </c>
      <c r="S11" s="162" t="s">
        <v>84</v>
      </c>
      <c r="T11" s="163">
        <f t="shared" si="7"/>
        <v>12137831012.210001</v>
      </c>
      <c r="V11" s="162" t="s">
        <v>84</v>
      </c>
      <c r="W11" s="163">
        <f t="shared" si="8"/>
        <v>0</v>
      </c>
    </row>
    <row r="12" spans="1:23" x14ac:dyDescent="0.2">
      <c r="A12" s="37" t="s">
        <v>51</v>
      </c>
      <c r="B12" s="37" t="s">
        <v>345</v>
      </c>
      <c r="C12" s="37" t="s">
        <v>238</v>
      </c>
      <c r="D12" s="37" t="s">
        <v>194</v>
      </c>
      <c r="E12" s="37" t="s">
        <v>150</v>
      </c>
      <c r="F12" s="38">
        <v>1565059560.9600005</v>
      </c>
      <c r="G12" s="39">
        <v>5.1385680228367002E-2</v>
      </c>
      <c r="H12" s="38">
        <v>9320864.8583686799</v>
      </c>
      <c r="I12" s="38">
        <v>71100785.279470354</v>
      </c>
      <c r="J12" s="146">
        <f t="shared" si="3"/>
        <v>80421650.137839034</v>
      </c>
      <c r="K12" s="61" t="s">
        <v>90</v>
      </c>
      <c r="L12" s="128" t="s">
        <v>92</v>
      </c>
      <c r="M12" s="147">
        <f>VLOOKUP(L12,РейтPD!$R$4:$V$26,5,0)</f>
        <v>1.3904757877784075E-2</v>
      </c>
      <c r="N12" s="148">
        <f t="shared" si="4"/>
        <v>21761774.259459853</v>
      </c>
      <c r="O12" s="148">
        <f t="shared" si="5"/>
        <v>102183424.39729889</v>
      </c>
      <c r="Q12" s="151">
        <f t="shared" si="6"/>
        <v>0</v>
      </c>
      <c r="S12" s="162" t="s">
        <v>86</v>
      </c>
      <c r="T12" s="163">
        <f t="shared" si="7"/>
        <v>18208989551.93</v>
      </c>
      <c r="V12" s="162" t="s">
        <v>86</v>
      </c>
      <c r="W12" s="163">
        <f t="shared" si="8"/>
        <v>0</v>
      </c>
    </row>
    <row r="13" spans="1:23" x14ac:dyDescent="0.2">
      <c r="A13" s="37" t="s">
        <v>51</v>
      </c>
      <c r="B13" s="37" t="s">
        <v>345</v>
      </c>
      <c r="C13" s="37" t="s">
        <v>239</v>
      </c>
      <c r="D13" s="37" t="s">
        <v>195</v>
      </c>
      <c r="E13" s="37" t="s">
        <v>151</v>
      </c>
      <c r="F13" s="38">
        <v>66237312.219999999</v>
      </c>
      <c r="G13" s="39">
        <v>5.8446855751816136E-2</v>
      </c>
      <c r="H13" s="38">
        <v>547439.74886034569</v>
      </c>
      <c r="I13" s="38">
        <v>3323922.8838500027</v>
      </c>
      <c r="J13" s="146">
        <f t="shared" si="3"/>
        <v>3871362.6327103483</v>
      </c>
      <c r="K13" s="61" t="s">
        <v>92</v>
      </c>
      <c r="L13" s="128" t="s">
        <v>94</v>
      </c>
      <c r="M13" s="147">
        <f>VLOOKUP(L13,РейтPD!$R$4:$V$26,5,0)</f>
        <v>2.0105986515895881E-2</v>
      </c>
      <c r="N13" s="148">
        <f t="shared" si="4"/>
        <v>1331766.5063445054</v>
      </c>
      <c r="O13" s="148">
        <f t="shared" si="5"/>
        <v>5203129.1390548535</v>
      </c>
      <c r="Q13" s="151">
        <f>J13-I13-H13</f>
        <v>0</v>
      </c>
      <c r="S13" s="181" t="s">
        <v>88</v>
      </c>
      <c r="T13" s="163">
        <f t="shared" si="7"/>
        <v>10398522379.940001</v>
      </c>
      <c r="V13" s="181" t="s">
        <v>88</v>
      </c>
      <c r="W13" s="163">
        <f t="shared" si="8"/>
        <v>787592966.83200002</v>
      </c>
    </row>
    <row r="14" spans="1:23" x14ac:dyDescent="0.2">
      <c r="A14" s="37" t="s">
        <v>51</v>
      </c>
      <c r="B14" s="37" t="s">
        <v>345</v>
      </c>
      <c r="C14" s="37" t="s">
        <v>113</v>
      </c>
      <c r="D14" s="37" t="s">
        <v>196</v>
      </c>
      <c r="E14" s="37" t="s">
        <v>152</v>
      </c>
      <c r="F14" s="38">
        <v>233066091.22</v>
      </c>
      <c r="G14" s="39">
        <v>2.5501379562474856E-2</v>
      </c>
      <c r="H14" s="38">
        <v>597731.77862147032</v>
      </c>
      <c r="I14" s="38">
        <v>5345775.0767221376</v>
      </c>
      <c r="J14" s="146">
        <f t="shared" si="3"/>
        <v>5943506.8553436082</v>
      </c>
      <c r="K14" s="61" t="s">
        <v>88</v>
      </c>
      <c r="L14" s="128" t="s">
        <v>90</v>
      </c>
      <c r="M14" s="147">
        <f>VLOOKUP(L14,РейтPD!$R$4:$V$26,5,0)</f>
        <v>7.8438247863801356E-3</v>
      </c>
      <c r="N14" s="148">
        <f t="shared" si="4"/>
        <v>1828129.5831761698</v>
      </c>
      <c r="O14" s="148">
        <f t="shared" si="5"/>
        <v>7771636.4385197777</v>
      </c>
      <c r="Q14" s="151">
        <f t="shared" si="6"/>
        <v>0</v>
      </c>
      <c r="S14" s="182" t="s">
        <v>90</v>
      </c>
      <c r="T14" s="163">
        <f t="shared" si="7"/>
        <v>1974250373.6500001</v>
      </c>
      <c r="V14" s="182" t="s">
        <v>90</v>
      </c>
      <c r="W14" s="163">
        <f t="shared" si="8"/>
        <v>466000897.40849996</v>
      </c>
    </row>
    <row r="15" spans="1:23" x14ac:dyDescent="0.2">
      <c r="A15" s="37" t="s">
        <v>51</v>
      </c>
      <c r="B15" s="37" t="s">
        <v>345</v>
      </c>
      <c r="C15" s="37" t="s">
        <v>240</v>
      </c>
      <c r="D15" s="37" t="s">
        <v>197</v>
      </c>
      <c r="E15" s="37" t="s">
        <v>153</v>
      </c>
      <c r="F15" s="38">
        <v>571069696.25999999</v>
      </c>
      <c r="G15" s="39">
        <v>2.5501379562474856E-2</v>
      </c>
      <c r="H15" s="38">
        <v>1464591.0242691743</v>
      </c>
      <c r="I15" s="38">
        <v>13098474.056684313</v>
      </c>
      <c r="J15" s="146">
        <f t="shared" si="3"/>
        <v>14563065.080953488</v>
      </c>
      <c r="K15" s="61" t="s">
        <v>88</v>
      </c>
      <c r="L15" s="128" t="s">
        <v>90</v>
      </c>
      <c r="M15" s="147">
        <f>VLOOKUP(L15,РейтPD!$R$4:$V$26,5,0)</f>
        <v>7.8438247863801356E-3</v>
      </c>
      <c r="N15" s="148">
        <f t="shared" si="4"/>
        <v>4479370.6382747637</v>
      </c>
      <c r="O15" s="148">
        <f t="shared" si="5"/>
        <v>19042435.719228253</v>
      </c>
      <c r="Q15" s="151">
        <f t="shared" si="6"/>
        <v>0</v>
      </c>
      <c r="S15" s="182" t="s">
        <v>92</v>
      </c>
      <c r="T15" s="163">
        <f t="shared" si="7"/>
        <v>8297906719.750001</v>
      </c>
      <c r="V15" s="182" t="s">
        <v>92</v>
      </c>
      <c r="W15" s="163">
        <f t="shared" si="8"/>
        <v>1943724820.1430001</v>
      </c>
    </row>
    <row r="16" spans="1:23" x14ac:dyDescent="0.2">
      <c r="A16" s="37" t="s">
        <v>51</v>
      </c>
      <c r="B16" s="37" t="s">
        <v>345</v>
      </c>
      <c r="C16" s="37" t="s">
        <v>241</v>
      </c>
      <c r="D16" s="37" t="s">
        <v>198</v>
      </c>
      <c r="E16" s="37" t="s">
        <v>154</v>
      </c>
      <c r="F16" s="38">
        <v>298040358.56999999</v>
      </c>
      <c r="G16" s="39">
        <v>5.8446855751816136E-2</v>
      </c>
      <c r="H16" s="38">
        <v>2463251.2035496384</v>
      </c>
      <c r="I16" s="38">
        <v>14956270.642010709</v>
      </c>
      <c r="J16" s="146">
        <f t="shared" si="3"/>
        <v>17419521.84556035</v>
      </c>
      <c r="K16" s="61" t="s">
        <v>92</v>
      </c>
      <c r="L16" s="128" t="s">
        <v>92</v>
      </c>
      <c r="M16" s="147">
        <f>VLOOKUP(L16,РейтPD!$R$4:$V$26,5,0)</f>
        <v>1.3904757877784075E-2</v>
      </c>
      <c r="N16" s="148">
        <f t="shared" si="4"/>
        <v>4144179.0237237979</v>
      </c>
      <c r="O16" s="148">
        <f t="shared" si="5"/>
        <v>21563700.869284146</v>
      </c>
      <c r="Q16" s="151">
        <f t="shared" si="6"/>
        <v>0</v>
      </c>
      <c r="S16" s="181" t="s">
        <v>94</v>
      </c>
      <c r="T16" s="163">
        <f t="shared" si="7"/>
        <v>749352329.97000003</v>
      </c>
      <c r="V16" s="181" t="s">
        <v>94</v>
      </c>
      <c r="W16" s="163">
        <f t="shared" si="8"/>
        <v>0</v>
      </c>
    </row>
    <row r="17" spans="1:23" x14ac:dyDescent="0.2">
      <c r="A17" s="37" t="s">
        <v>51</v>
      </c>
      <c r="B17" s="37" t="s">
        <v>345</v>
      </c>
      <c r="C17" s="37" t="s">
        <v>233</v>
      </c>
      <c r="D17" s="37" t="s">
        <v>199</v>
      </c>
      <c r="E17" s="37" t="s">
        <v>155</v>
      </c>
      <c r="F17" s="38">
        <v>756709204.89999998</v>
      </c>
      <c r="G17" s="39">
        <v>2.5501379562474856E-2</v>
      </c>
      <c r="H17" s="38">
        <v>1940690.456412914</v>
      </c>
      <c r="I17" s="38">
        <v>17356438.196160544</v>
      </c>
      <c r="J17" s="146">
        <f t="shared" si="3"/>
        <v>19297128.652573459</v>
      </c>
      <c r="K17" s="61" t="s">
        <v>88</v>
      </c>
      <c r="L17" s="128" t="s">
        <v>90</v>
      </c>
      <c r="M17" s="147">
        <f>VLOOKUP(L17,РейтPD!$R$4:$V$26,5,0)</f>
        <v>7.8438247863801356E-3</v>
      </c>
      <c r="N17" s="148">
        <f t="shared" si="4"/>
        <v>5935494.4174766243</v>
      </c>
      <c r="O17" s="148">
        <f t="shared" si="5"/>
        <v>25232623.070050083</v>
      </c>
      <c r="Q17" s="151">
        <f t="shared" si="6"/>
        <v>0</v>
      </c>
      <c r="S17" s="181" t="s">
        <v>96</v>
      </c>
      <c r="T17" s="163">
        <f t="shared" si="7"/>
        <v>423410014.21999997</v>
      </c>
      <c r="V17" s="181" t="s">
        <v>96</v>
      </c>
      <c r="W17" s="163">
        <f t="shared" si="8"/>
        <v>0</v>
      </c>
    </row>
    <row r="18" spans="1:23" x14ac:dyDescent="0.2">
      <c r="A18" s="37" t="s">
        <v>51</v>
      </c>
      <c r="B18" s="37" t="s">
        <v>345</v>
      </c>
      <c r="C18" s="37" t="s">
        <v>245</v>
      </c>
      <c r="D18" s="37" t="s">
        <v>200</v>
      </c>
      <c r="E18" s="37" t="s">
        <v>156</v>
      </c>
      <c r="F18" s="38">
        <v>1431443274.5700002</v>
      </c>
      <c r="G18" s="39">
        <v>2.6031795691180044E-2</v>
      </c>
      <c r="H18" s="38">
        <v>3487801.4657830028</v>
      </c>
      <c r="I18" s="38">
        <v>33775237.401336983</v>
      </c>
      <c r="J18" s="146">
        <f t="shared" si="3"/>
        <v>37263038.867119983</v>
      </c>
      <c r="K18" s="61" t="s">
        <v>86</v>
      </c>
      <c r="L18" s="128" t="s">
        <v>88</v>
      </c>
      <c r="M18" s="147">
        <f>VLOOKUP(L18,РейтPD!$R$4:$V$26,5,0)</f>
        <v>4.4909962639405644E-3</v>
      </c>
      <c r="N18" s="148">
        <f t="shared" si="4"/>
        <v>6428606.3981367182</v>
      </c>
      <c r="O18" s="148">
        <f t="shared" si="5"/>
        <v>43691645.265256703</v>
      </c>
      <c r="Q18" s="151">
        <f t="shared" si="6"/>
        <v>0</v>
      </c>
      <c r="S18" s="181" t="s">
        <v>98</v>
      </c>
      <c r="T18" s="163">
        <f t="shared" si="7"/>
        <v>0</v>
      </c>
      <c r="V18" s="181" t="s">
        <v>98</v>
      </c>
      <c r="W18" s="163">
        <f t="shared" si="8"/>
        <v>0</v>
      </c>
    </row>
    <row r="19" spans="1:23" x14ac:dyDescent="0.2">
      <c r="A19" s="37" t="s">
        <v>51</v>
      </c>
      <c r="B19" s="37" t="s">
        <v>345</v>
      </c>
      <c r="C19" s="37" t="s">
        <v>246</v>
      </c>
      <c r="D19" s="37" t="s">
        <v>201</v>
      </c>
      <c r="E19" s="37" t="s">
        <v>157</v>
      </c>
      <c r="F19" s="38">
        <v>873078510.00999999</v>
      </c>
      <c r="G19" s="39">
        <v>3.4001839416633144E-2</v>
      </c>
      <c r="H19" s="38">
        <v>2985515.2126318277</v>
      </c>
      <c r="I19" s="38">
        <v>26700760.082841523</v>
      </c>
      <c r="J19" s="146">
        <f t="shared" si="3"/>
        <v>29686275.295473352</v>
      </c>
      <c r="K19" s="61" t="s">
        <v>88</v>
      </c>
      <c r="L19" s="128" t="s">
        <v>92</v>
      </c>
      <c r="M19" s="147">
        <f>VLOOKUP(L19,РейтPD!$R$4:$V$26,5,0)</f>
        <v>1.3904757877784075E-2</v>
      </c>
      <c r="N19" s="148">
        <f t="shared" si="4"/>
        <v>12139945.28998553</v>
      </c>
      <c r="O19" s="148">
        <f t="shared" si="5"/>
        <v>41826220.585458882</v>
      </c>
      <c r="Q19" s="151">
        <f t="shared" si="6"/>
        <v>0</v>
      </c>
      <c r="S19" s="181" t="s">
        <v>129</v>
      </c>
      <c r="T19" s="163">
        <f t="shared" si="7"/>
        <v>0</v>
      </c>
      <c r="V19" s="181" t="s">
        <v>129</v>
      </c>
      <c r="W19" s="163">
        <f t="shared" si="8"/>
        <v>0</v>
      </c>
    </row>
    <row r="20" spans="1:23" x14ac:dyDescent="0.2">
      <c r="A20" s="37" t="s">
        <v>51</v>
      </c>
      <c r="B20" s="37" t="s">
        <v>345</v>
      </c>
      <c r="C20" s="37" t="s">
        <v>238</v>
      </c>
      <c r="D20" s="37" t="s">
        <v>202</v>
      </c>
      <c r="E20" s="37" t="s">
        <v>158</v>
      </c>
      <c r="F20" s="38">
        <v>1130074033.3</v>
      </c>
      <c r="G20" s="39">
        <v>5.1385680228367002E-2</v>
      </c>
      <c r="H20" s="38">
        <v>6730266.1234693639</v>
      </c>
      <c r="I20" s="38">
        <v>51339356.7860654</v>
      </c>
      <c r="J20" s="146">
        <f t="shared" si="3"/>
        <v>58069622.90953476</v>
      </c>
      <c r="K20" s="61" t="s">
        <v>90</v>
      </c>
      <c r="L20" s="128" t="s">
        <v>92</v>
      </c>
      <c r="M20" s="147">
        <f>VLOOKUP(L20,РейтPD!$R$4:$V$26,5,0)</f>
        <v>1.3904757877784075E-2</v>
      </c>
      <c r="N20" s="148">
        <f t="shared" si="4"/>
        <v>15713405.817007396</v>
      </c>
      <c r="O20" s="148">
        <f t="shared" si="5"/>
        <v>73783028.72654216</v>
      </c>
      <c r="Q20" s="151">
        <f t="shared" si="6"/>
        <v>0</v>
      </c>
      <c r="S20" s="181"/>
      <c r="T20" s="163">
        <f>SUM(T9:T19)</f>
        <v>53500844381.670006</v>
      </c>
      <c r="V20" s="181"/>
      <c r="W20" s="163">
        <f>SUM(W9:W19)</f>
        <v>3197318684.3835001</v>
      </c>
    </row>
    <row r="21" spans="1:23" x14ac:dyDescent="0.2">
      <c r="A21" s="37" t="s">
        <v>51</v>
      </c>
      <c r="B21" s="37" t="s">
        <v>345</v>
      </c>
      <c r="C21" s="37" t="s">
        <v>116</v>
      </c>
      <c r="D21" s="37" t="s">
        <v>203</v>
      </c>
      <c r="E21" s="37" t="s">
        <v>159</v>
      </c>
      <c r="F21" s="38">
        <v>146033396.30000001</v>
      </c>
      <c r="G21" s="39">
        <v>1.1251749446175052E-2</v>
      </c>
      <c r="H21" s="38">
        <v>137022.1805028682</v>
      </c>
      <c r="I21" s="38">
        <v>1506109.0054387187</v>
      </c>
      <c r="J21" s="146">
        <f t="shared" si="3"/>
        <v>1643131.185941587</v>
      </c>
      <c r="K21" s="61" t="s">
        <v>84</v>
      </c>
      <c r="L21" s="128" t="s">
        <v>84</v>
      </c>
      <c r="M21" s="147">
        <f>VLOOKUP(L21,РейтPD!$R$4:$V$26,5,0)</f>
        <v>1.5278638954797431E-3</v>
      </c>
      <c r="N21" s="148">
        <f t="shared" si="4"/>
        <v>223119.15374105511</v>
      </c>
      <c r="O21" s="148">
        <f t="shared" si="5"/>
        <v>1866250.3396826421</v>
      </c>
      <c r="Q21" s="151">
        <f t="shared" si="6"/>
        <v>0</v>
      </c>
      <c r="S21" s="167" t="s">
        <v>19</v>
      </c>
      <c r="T21" s="163">
        <f ca="1">T20-F3</f>
        <v>0</v>
      </c>
      <c r="V21" s="167" t="s">
        <v>19</v>
      </c>
      <c r="W21" s="163">
        <f ca="1">W20-F4</f>
        <v>0</v>
      </c>
    </row>
    <row r="22" spans="1:23" x14ac:dyDescent="0.25">
      <c r="A22" s="37" t="s">
        <v>51</v>
      </c>
      <c r="B22" s="37" t="s">
        <v>345</v>
      </c>
      <c r="C22" s="37" t="s">
        <v>112</v>
      </c>
      <c r="D22" s="37" t="s">
        <v>204</v>
      </c>
      <c r="E22" s="37" t="s">
        <v>160</v>
      </c>
      <c r="F22" s="38">
        <v>229229926.66999999</v>
      </c>
      <c r="G22" s="39">
        <v>1.1251749446175052E-2</v>
      </c>
      <c r="H22" s="38">
        <v>215084.94073718929</v>
      </c>
      <c r="I22" s="38">
        <v>2364152.759718731</v>
      </c>
      <c r="J22" s="146">
        <f t="shared" si="3"/>
        <v>2579237.7004559203</v>
      </c>
      <c r="K22" s="61" t="s">
        <v>84</v>
      </c>
      <c r="L22" s="128" t="s">
        <v>84</v>
      </c>
      <c r="M22" s="147">
        <f>VLOOKUP(L22,РейтPD!$R$4:$V$26,5,0)</f>
        <v>1.5278638954797431E-3</v>
      </c>
      <c r="N22" s="148">
        <f t="shared" si="4"/>
        <v>350232.12872256205</v>
      </c>
      <c r="O22" s="148">
        <f t="shared" si="5"/>
        <v>2929469.8291784823</v>
      </c>
      <c r="Q22" s="151">
        <f t="shared" si="6"/>
        <v>0</v>
      </c>
    </row>
    <row r="23" spans="1:23" x14ac:dyDescent="0.25">
      <c r="A23" s="37" t="s">
        <v>51</v>
      </c>
      <c r="B23" s="37" t="s">
        <v>345</v>
      </c>
      <c r="C23" s="37" t="s">
        <v>249</v>
      </c>
      <c r="D23" s="37" t="s">
        <v>205</v>
      </c>
      <c r="E23" s="37" t="s">
        <v>161</v>
      </c>
      <c r="F23" s="38">
        <v>6111680934.4599991</v>
      </c>
      <c r="G23" s="39">
        <v>1.5002332594900069E-2</v>
      </c>
      <c r="H23" s="38">
        <v>7646066.9901118707</v>
      </c>
      <c r="I23" s="38">
        <v>84043403.102566689</v>
      </c>
      <c r="J23" s="146">
        <f t="shared" si="3"/>
        <v>91689470.092678547</v>
      </c>
      <c r="K23" s="61" t="s">
        <v>84</v>
      </c>
      <c r="L23" s="128" t="s">
        <v>86</v>
      </c>
      <c r="M23" s="147">
        <f>VLOOKUP(L23,РейтPD!$R$4:$V$26,5,0)</f>
        <v>3.1477246932169281E-3</v>
      </c>
      <c r="N23" s="148">
        <f t="shared" si="4"/>
        <v>19237888.994462848</v>
      </c>
      <c r="O23" s="148">
        <f t="shared" si="5"/>
        <v>110927359.08714139</v>
      </c>
      <c r="Q23" s="151">
        <f t="shared" si="6"/>
        <v>-1.3038516044616699E-8</v>
      </c>
    </row>
    <row r="24" spans="1:23" x14ac:dyDescent="0.25">
      <c r="A24" s="37" t="s">
        <v>51</v>
      </c>
      <c r="B24" s="37" t="s">
        <v>345</v>
      </c>
      <c r="C24" s="37" t="s">
        <v>250</v>
      </c>
      <c r="D24" s="37" t="s">
        <v>206</v>
      </c>
      <c r="E24" s="37" t="s">
        <v>162</v>
      </c>
      <c r="F24" s="38">
        <v>4854291962.750001</v>
      </c>
      <c r="G24" s="39">
        <v>1.1251749446175052E-2</v>
      </c>
      <c r="H24" s="38">
        <v>4554750.3953624954</v>
      </c>
      <c r="I24" s="38">
        <v>50064526.508081831</v>
      </c>
      <c r="J24" s="146">
        <f t="shared" si="3"/>
        <v>54619276.903444327</v>
      </c>
      <c r="K24" s="61" t="s">
        <v>84</v>
      </c>
      <c r="L24" s="128" t="s">
        <v>84</v>
      </c>
      <c r="M24" s="147">
        <f>VLOOKUP(L24,РейтPD!$R$4:$V$26,5,0)</f>
        <v>1.5278638954797431E-3</v>
      </c>
      <c r="N24" s="148">
        <f t="shared" si="4"/>
        <v>7416697.4280032245</v>
      </c>
      <c r="O24" s="148">
        <f t="shared" si="5"/>
        <v>62035974.331447549</v>
      </c>
      <c r="Q24" s="151">
        <f t="shared" si="6"/>
        <v>0</v>
      </c>
      <c r="T24" s="36" t="e">
        <f>SUMIFS($L$8:$L$61,S9,$F$8:$F$61)</f>
        <v>#VALUE!</v>
      </c>
    </row>
    <row r="25" spans="1:23" x14ac:dyDescent="0.25">
      <c r="A25" s="37" t="s">
        <v>51</v>
      </c>
      <c r="B25" s="37" t="s">
        <v>345</v>
      </c>
      <c r="C25" s="37" t="s">
        <v>237</v>
      </c>
      <c r="D25" s="37" t="s">
        <v>207</v>
      </c>
      <c r="E25" s="37" t="s">
        <v>163</v>
      </c>
      <c r="F25" s="38">
        <v>185566318.49000001</v>
      </c>
      <c r="G25" s="39">
        <v>5.1385680228367002E-2</v>
      </c>
      <c r="H25" s="38">
        <v>1105158.3083837007</v>
      </c>
      <c r="I25" s="38">
        <v>8430293.1946987472</v>
      </c>
      <c r="J25" s="146">
        <f t="shared" si="3"/>
        <v>9535451.5030824468</v>
      </c>
      <c r="K25" s="61" t="s">
        <v>90</v>
      </c>
      <c r="L25" s="128" t="s">
        <v>92</v>
      </c>
      <c r="M25" s="147">
        <f>VLOOKUP(L25,РейтPD!$R$4:$V$26,5,0)</f>
        <v>1.3904757877784075E-2</v>
      </c>
      <c r="N25" s="148">
        <f t="shared" si="4"/>
        <v>2580254.7288752161</v>
      </c>
      <c r="O25" s="148">
        <f t="shared" si="5"/>
        <v>12115706.231957663</v>
      </c>
      <c r="Q25" s="151">
        <f t="shared" si="6"/>
        <v>0</v>
      </c>
    </row>
    <row r="26" spans="1:23" x14ac:dyDescent="0.25">
      <c r="A26" s="37" t="s">
        <v>51</v>
      </c>
      <c r="B26" s="37" t="s">
        <v>345</v>
      </c>
      <c r="C26" s="37" t="s">
        <v>251</v>
      </c>
      <c r="D26" s="37" t="s">
        <v>208</v>
      </c>
      <c r="E26" s="37" t="s">
        <v>164</v>
      </c>
      <c r="F26" s="38">
        <v>8146259125.6000023</v>
      </c>
      <c r="G26" s="39">
        <v>1.9523846768385034E-2</v>
      </c>
      <c r="H26" s="38">
        <v>14886654.097828742</v>
      </c>
      <c r="I26" s="38">
        <v>144159660.80594397</v>
      </c>
      <c r="J26" s="146">
        <f t="shared" si="3"/>
        <v>159046314.90377268</v>
      </c>
      <c r="K26" s="61" t="s">
        <v>86</v>
      </c>
      <c r="L26" s="128" t="s">
        <v>86</v>
      </c>
      <c r="M26" s="147">
        <f>VLOOKUP(L26,РейтPD!$R$4:$V$26,5,0)</f>
        <v>3.1477246932169281E-3</v>
      </c>
      <c r="N26" s="148">
        <f t="shared" si="4"/>
        <v>25642181.00699487</v>
      </c>
      <c r="O26" s="148">
        <f t="shared" si="5"/>
        <v>184688495.91076756</v>
      </c>
      <c r="Q26" s="151">
        <f t="shared" si="6"/>
        <v>-2.6077032089233398E-8</v>
      </c>
    </row>
    <row r="27" spans="1:23" x14ac:dyDescent="0.25">
      <c r="A27" s="37" t="s">
        <v>51</v>
      </c>
      <c r="B27" s="37" t="s">
        <v>345</v>
      </c>
      <c r="C27" s="37" t="s">
        <v>235</v>
      </c>
      <c r="D27" s="37" t="s">
        <v>209</v>
      </c>
      <c r="E27" s="37" t="s">
        <v>165</v>
      </c>
      <c r="F27" s="38">
        <v>684618208.75999999</v>
      </c>
      <c r="G27" s="39">
        <v>1.1251749446175052E-2</v>
      </c>
      <c r="H27" s="38">
        <v>642372.78699970234</v>
      </c>
      <c r="I27" s="38">
        <v>7060779.764256984</v>
      </c>
      <c r="J27" s="146">
        <f t="shared" si="3"/>
        <v>7703152.5512566855</v>
      </c>
      <c r="K27" s="61" t="s">
        <v>84</v>
      </c>
      <c r="L27" s="128" t="s">
        <v>86</v>
      </c>
      <c r="M27" s="147">
        <f>VLOOKUP(L27,РейтPD!$R$4:$V$26,5,0)</f>
        <v>3.1477246932169281E-3</v>
      </c>
      <c r="N27" s="148">
        <f t="shared" si="4"/>
        <v>2154989.6411397937</v>
      </c>
      <c r="O27" s="148">
        <f t="shared" si="5"/>
        <v>9858142.1923964787</v>
      </c>
      <c r="Q27" s="151">
        <f t="shared" si="6"/>
        <v>0</v>
      </c>
    </row>
    <row r="28" spans="1:23" x14ac:dyDescent="0.25">
      <c r="A28" s="37" t="s">
        <v>51</v>
      </c>
      <c r="B28" s="37" t="s">
        <v>345</v>
      </c>
      <c r="C28" s="37" t="s">
        <v>112</v>
      </c>
      <c r="D28" s="37" t="s">
        <v>210</v>
      </c>
      <c r="E28" s="37" t="s">
        <v>166</v>
      </c>
      <c r="F28" s="38">
        <v>520744183.31999999</v>
      </c>
      <c r="G28" s="39">
        <v>1.1251749446175052E-2</v>
      </c>
      <c r="H28" s="38">
        <v>488610.86087533337</v>
      </c>
      <c r="I28" s="38">
        <v>5370672.2153943563</v>
      </c>
      <c r="J28" s="146">
        <f t="shared" si="3"/>
        <v>5859283.0762696899</v>
      </c>
      <c r="K28" s="61" t="s">
        <v>84</v>
      </c>
      <c r="L28" s="128" t="s">
        <v>84</v>
      </c>
      <c r="M28" s="147">
        <f>VLOOKUP(L28,РейтPD!$R$4:$V$26,5,0)</f>
        <v>1.5278638954797431E-3</v>
      </c>
      <c r="N28" s="148">
        <f t="shared" si="4"/>
        <v>795626.23647571262</v>
      </c>
      <c r="O28" s="148">
        <f t="shared" si="5"/>
        <v>6654909.3127454026</v>
      </c>
      <c r="Q28" s="151">
        <f t="shared" si="6"/>
        <v>0</v>
      </c>
    </row>
    <row r="29" spans="1:23" x14ac:dyDescent="0.25">
      <c r="A29" s="37" t="s">
        <v>51</v>
      </c>
      <c r="B29" s="37" t="s">
        <v>345</v>
      </c>
      <c r="C29" s="37" t="s">
        <v>116</v>
      </c>
      <c r="D29" s="37" t="s">
        <v>211</v>
      </c>
      <c r="E29" s="37" t="s">
        <v>167</v>
      </c>
      <c r="F29" s="38">
        <v>57262533.060000002</v>
      </c>
      <c r="G29" s="39">
        <v>1.1251749446175052E-2</v>
      </c>
      <c r="H29" s="38">
        <v>53729.060199901534</v>
      </c>
      <c r="I29" s="38">
        <v>590574.61444453406</v>
      </c>
      <c r="J29" s="146">
        <f t="shared" si="3"/>
        <v>644303.67464443564</v>
      </c>
      <c r="K29" s="61" t="s">
        <v>84</v>
      </c>
      <c r="L29" s="128" t="s">
        <v>84</v>
      </c>
      <c r="M29" s="147">
        <f>VLOOKUP(L29,РейтPD!$R$4:$V$26,5,0)</f>
        <v>1.5278638954797431E-3</v>
      </c>
      <c r="N29" s="148">
        <f t="shared" si="4"/>
        <v>87489.356826089177</v>
      </c>
      <c r="O29" s="148">
        <f t="shared" si="5"/>
        <v>731793.03147052485</v>
      </c>
      <c r="Q29" s="151">
        <f t="shared" si="6"/>
        <v>0</v>
      </c>
    </row>
    <row r="30" spans="1:23" ht="27.75" customHeight="1" x14ac:dyDescent="0.25">
      <c r="A30" s="37" t="s">
        <v>51</v>
      </c>
      <c r="B30" s="37" t="s">
        <v>345</v>
      </c>
      <c r="C30" s="37" t="s">
        <v>253</v>
      </c>
      <c r="D30" s="37" t="s">
        <v>212</v>
      </c>
      <c r="E30" s="37" t="s">
        <v>168</v>
      </c>
      <c r="F30" s="38">
        <v>807835299.35000002</v>
      </c>
      <c r="G30" s="39">
        <v>1.5002332594900069E-2</v>
      </c>
      <c r="H30" s="38">
        <v>1010648.7694703139</v>
      </c>
      <c r="I30" s="38">
        <v>11108765.073279046</v>
      </c>
      <c r="J30" s="146">
        <f t="shared" si="3"/>
        <v>12119413.842749359</v>
      </c>
      <c r="K30" s="61" t="s">
        <v>84</v>
      </c>
      <c r="L30" s="128" t="s">
        <v>86</v>
      </c>
      <c r="M30" s="147">
        <f>VLOOKUP(L30,РейтPD!$R$4:$V$26,5,0)</f>
        <v>3.1477246932169281E-3</v>
      </c>
      <c r="N30" s="148">
        <f t="shared" si="4"/>
        <v>2542843.1198162842</v>
      </c>
      <c r="O30" s="148">
        <f t="shared" si="5"/>
        <v>14662256.962565644</v>
      </c>
      <c r="Q30" s="151">
        <f t="shared" si="6"/>
        <v>0</v>
      </c>
    </row>
    <row r="31" spans="1:23" x14ac:dyDescent="0.25">
      <c r="A31" s="37" t="s">
        <v>51</v>
      </c>
      <c r="B31" s="37" t="s">
        <v>345</v>
      </c>
      <c r="C31" s="37" t="s">
        <v>487</v>
      </c>
      <c r="D31" s="37" t="s">
        <v>488</v>
      </c>
      <c r="E31" s="37" t="s">
        <v>489</v>
      </c>
      <c r="F31" s="38">
        <v>423410014.21999997</v>
      </c>
      <c r="G31" s="39">
        <v>0.10113539888193271</v>
      </c>
      <c r="H31" s="38">
        <v>8718322.9607942104</v>
      </c>
      <c r="I31" s="38">
        <v>34103417.717950284</v>
      </c>
      <c r="J31" s="146">
        <f t="shared" si="3"/>
        <v>42821740.678744495</v>
      </c>
      <c r="K31" s="61" t="s">
        <v>96</v>
      </c>
      <c r="L31" s="128" t="s">
        <v>96</v>
      </c>
      <c r="M31" s="147">
        <f>VLOOKUP(L31,РейтPD!$R$4:$V$26,5,0)</f>
        <v>2.9248511122072808E-2</v>
      </c>
      <c r="N31" s="148">
        <f t="shared" si="4"/>
        <v>12384112.510110674</v>
      </c>
      <c r="O31" s="148">
        <f t="shared" si="5"/>
        <v>55205853.188855171</v>
      </c>
      <c r="Q31" s="151">
        <f t="shared" si="6"/>
        <v>0</v>
      </c>
    </row>
    <row r="32" spans="1:23" x14ac:dyDescent="0.25">
      <c r="A32" s="37" t="s">
        <v>51</v>
      </c>
      <c r="B32" s="37" t="s">
        <v>345</v>
      </c>
      <c r="C32" s="37" t="s">
        <v>116</v>
      </c>
      <c r="D32" s="37" t="s">
        <v>513</v>
      </c>
      <c r="E32" s="37" t="s">
        <v>362</v>
      </c>
      <c r="F32" s="38">
        <v>635423404.43000007</v>
      </c>
      <c r="G32" s="39">
        <v>1.1251749446175052E-2</v>
      </c>
      <c r="H32" s="38">
        <v>596213.6238938825</v>
      </c>
      <c r="I32" s="38">
        <v>6553411.3149880366</v>
      </c>
      <c r="J32" s="146">
        <f t="shared" si="3"/>
        <v>7149624.9388819197</v>
      </c>
      <c r="K32" s="61" t="s">
        <v>84</v>
      </c>
      <c r="L32" s="128" t="s">
        <v>88</v>
      </c>
      <c r="M32" s="147">
        <f>VLOOKUP(L32,РейтPD!$R$4:$V$26,5,0)</f>
        <v>4.4909962639405644E-3</v>
      </c>
      <c r="N32" s="148">
        <f t="shared" si="4"/>
        <v>2853684.1353155244</v>
      </c>
      <c r="O32" s="148">
        <f t="shared" si="5"/>
        <v>10003309.074197445</v>
      </c>
      <c r="Q32" s="151">
        <f t="shared" si="6"/>
        <v>0</v>
      </c>
    </row>
    <row r="33" spans="1:17" x14ac:dyDescent="0.25">
      <c r="A33" s="37" t="s">
        <v>51</v>
      </c>
      <c r="B33" s="37" t="s">
        <v>348</v>
      </c>
      <c r="C33" s="37" t="s">
        <v>233</v>
      </c>
      <c r="D33" s="37" t="s">
        <v>213</v>
      </c>
      <c r="E33" s="37" t="s">
        <v>169</v>
      </c>
      <c r="F33" s="38">
        <v>218528804.15000001</v>
      </c>
      <c r="G33" s="39">
        <v>2.5501379562474856E-2</v>
      </c>
      <c r="H33" s="38">
        <v>560448.79845392751</v>
      </c>
      <c r="I33" s="38">
        <v>5012337.1815089528</v>
      </c>
      <c r="J33" s="146">
        <f t="shared" si="3"/>
        <v>5572785.9799628807</v>
      </c>
      <c r="K33" s="61" t="s">
        <v>88</v>
      </c>
      <c r="L33" s="128" t="s">
        <v>88</v>
      </c>
      <c r="M33" s="147">
        <f>VLOOKUP(L33,РейтPD!$R$4:$V$26,5,0)</f>
        <v>4.4909962639405644E-3</v>
      </c>
      <c r="N33" s="148">
        <f t="shared" si="4"/>
        <v>981412.04300104931</v>
      </c>
      <c r="O33" s="148">
        <f t="shared" si="5"/>
        <v>6554198.0229639299</v>
      </c>
      <c r="Q33" s="151">
        <f t="shared" si="6"/>
        <v>0</v>
      </c>
    </row>
    <row r="34" spans="1:17" ht="24.75" customHeight="1" x14ac:dyDescent="0.25">
      <c r="A34" s="37" t="s">
        <v>51</v>
      </c>
      <c r="B34" s="37" t="s">
        <v>348</v>
      </c>
      <c r="C34" s="37" t="s">
        <v>234</v>
      </c>
      <c r="D34" s="37" t="s">
        <v>214</v>
      </c>
      <c r="E34" s="37" t="s">
        <v>170</v>
      </c>
      <c r="F34" s="38">
        <v>106991234.53</v>
      </c>
      <c r="G34" s="39">
        <v>2.5501379562474856E-2</v>
      </c>
      <c r="H34" s="38">
        <v>274394.53151577065</v>
      </c>
      <c r="I34" s="38">
        <v>2454029.5500915255</v>
      </c>
      <c r="J34" s="146">
        <f t="shared" si="3"/>
        <v>2728424.0816072961</v>
      </c>
      <c r="K34" s="61" t="s">
        <v>88</v>
      </c>
      <c r="L34" s="128" t="s">
        <v>88</v>
      </c>
      <c r="M34" s="147">
        <f>VLOOKUP(L34,РейтPD!$R$4:$V$26,5,0)</f>
        <v>4.4909962639405644E-3</v>
      </c>
      <c r="N34" s="148">
        <f t="shared" si="4"/>
        <v>480497.23454861873</v>
      </c>
      <c r="O34" s="148">
        <f t="shared" si="5"/>
        <v>3208921.3161559147</v>
      </c>
      <c r="Q34" s="151">
        <f t="shared" si="6"/>
        <v>0</v>
      </c>
    </row>
    <row r="35" spans="1:17" x14ac:dyDescent="0.25">
      <c r="A35" s="37" t="s">
        <v>51</v>
      </c>
      <c r="B35" s="37" t="s">
        <v>348</v>
      </c>
      <c r="C35" s="37" t="s">
        <v>255</v>
      </c>
      <c r="D35" s="37" t="s">
        <v>215</v>
      </c>
      <c r="E35" s="37" t="s">
        <v>171</v>
      </c>
      <c r="F35" s="38">
        <v>105761074.80999999</v>
      </c>
      <c r="G35" s="39">
        <v>1.1251749446175052E-2</v>
      </c>
      <c r="H35" s="38">
        <v>99234.924681356366</v>
      </c>
      <c r="I35" s="38">
        <v>1090762.1902389391</v>
      </c>
      <c r="J35" s="146">
        <f t="shared" si="3"/>
        <v>1189997.1149202955</v>
      </c>
      <c r="K35" s="61" t="s">
        <v>84</v>
      </c>
      <c r="L35" s="128" t="s">
        <v>86</v>
      </c>
      <c r="M35" s="147">
        <f>VLOOKUP(L35,РейтPD!$R$4:$V$26,5,0)</f>
        <v>3.1477246932169281E-3</v>
      </c>
      <c r="N35" s="148">
        <f t="shared" si="4"/>
        <v>332906.74676059978</v>
      </c>
      <c r="O35" s="148">
        <f t="shared" si="5"/>
        <v>1522903.8616808953</v>
      </c>
      <c r="Q35" s="151">
        <f t="shared" si="6"/>
        <v>0</v>
      </c>
    </row>
    <row r="36" spans="1:17" x14ac:dyDescent="0.25">
      <c r="A36" s="37" t="s">
        <v>51</v>
      </c>
      <c r="B36" s="37" t="s">
        <v>348</v>
      </c>
      <c r="C36" s="37" t="s">
        <v>245</v>
      </c>
      <c r="D36" s="37" t="s">
        <v>216</v>
      </c>
      <c r="E36" s="37" t="s">
        <v>172</v>
      </c>
      <c r="F36" s="38">
        <v>52418171.059999995</v>
      </c>
      <c r="G36" s="39">
        <v>2.6031795691180044E-2</v>
      </c>
      <c r="H36" s="38">
        <v>127720.16684464971</v>
      </c>
      <c r="I36" s="38">
        <v>1236818.9526945967</v>
      </c>
      <c r="J36" s="146">
        <f t="shared" si="3"/>
        <v>1364539.1195392464</v>
      </c>
      <c r="K36" s="61" t="s">
        <v>86</v>
      </c>
      <c r="L36" s="128" t="s">
        <v>88</v>
      </c>
      <c r="M36" s="147">
        <f>VLOOKUP(L36,РейтPD!$R$4:$V$26,5,0)</f>
        <v>4.4909962639405644E-3</v>
      </c>
      <c r="N36" s="148">
        <f t="shared" si="4"/>
        <v>235409.81039305739</v>
      </c>
      <c r="O36" s="148">
        <f t="shared" si="5"/>
        <v>1599948.9299323037</v>
      </c>
      <c r="Q36" s="151">
        <f t="shared" si="6"/>
        <v>0</v>
      </c>
    </row>
    <row r="37" spans="1:17" x14ac:dyDescent="0.25">
      <c r="A37" s="37" t="s">
        <v>51</v>
      </c>
      <c r="B37" s="37" t="s">
        <v>348</v>
      </c>
      <c r="C37" s="37" t="s">
        <v>233</v>
      </c>
      <c r="D37" s="37" t="s">
        <v>217</v>
      </c>
      <c r="E37" s="37" t="s">
        <v>173</v>
      </c>
      <c r="F37" s="38">
        <v>486362328.94999999</v>
      </c>
      <c r="G37" s="39">
        <v>2.5501379562474856E-2</v>
      </c>
      <c r="H37" s="38">
        <v>1247346.7007405546</v>
      </c>
      <c r="I37" s="38">
        <v>11155563.654702649</v>
      </c>
      <c r="J37" s="146">
        <f t="shared" si="3"/>
        <v>12402910.355443202</v>
      </c>
      <c r="K37" s="61" t="s">
        <v>88</v>
      </c>
      <c r="L37" s="128" t="s">
        <v>88</v>
      </c>
      <c r="M37" s="147">
        <f>VLOOKUP(L37,РейтPD!$R$4:$V$26,5,0)</f>
        <v>4.4909962639405644E-3</v>
      </c>
      <c r="N37" s="148">
        <f t="shared" si="4"/>
        <v>2184251.4022358819</v>
      </c>
      <c r="O37" s="148">
        <f t="shared" si="5"/>
        <v>14587161.757679084</v>
      </c>
      <c r="Q37" s="151">
        <f t="shared" si="6"/>
        <v>0</v>
      </c>
    </row>
    <row r="38" spans="1:17" x14ac:dyDescent="0.25">
      <c r="A38" s="37" t="s">
        <v>51</v>
      </c>
      <c r="B38" s="37" t="s">
        <v>348</v>
      </c>
      <c r="C38" s="37" t="s">
        <v>233</v>
      </c>
      <c r="D38" s="37" t="s">
        <v>514</v>
      </c>
      <c r="E38" s="37" t="s">
        <v>515</v>
      </c>
      <c r="F38" s="38">
        <v>576446691.16999996</v>
      </c>
      <c r="G38" s="39">
        <v>2.5501379562474856E-2</v>
      </c>
      <c r="H38" s="38">
        <v>1478381.1072210486</v>
      </c>
      <c r="I38" s="38">
        <v>13221804.761837844</v>
      </c>
      <c r="J38" s="146">
        <f t="shared" si="3"/>
        <v>14700185.869058892</v>
      </c>
      <c r="K38" s="61" t="s">
        <v>88</v>
      </c>
      <c r="L38" s="128" t="s">
        <v>88</v>
      </c>
      <c r="M38" s="147">
        <f>VLOOKUP(L38,РейтPD!$R$4:$V$26,5,0)</f>
        <v>4.4909962639405644E-3</v>
      </c>
      <c r="N38" s="148">
        <f t="shared" si="4"/>
        <v>2588819.93640537</v>
      </c>
      <c r="O38" s="148">
        <f t="shared" si="5"/>
        <v>17289005.80546426</v>
      </c>
      <c r="Q38" s="151">
        <f t="shared" si="6"/>
        <v>0</v>
      </c>
    </row>
    <row r="39" spans="1:17" x14ac:dyDescent="0.25">
      <c r="A39" s="37" t="s">
        <v>51</v>
      </c>
      <c r="B39" s="37" t="s">
        <v>348</v>
      </c>
      <c r="C39" s="37" t="s">
        <v>257</v>
      </c>
      <c r="D39" s="37" t="s">
        <v>218</v>
      </c>
      <c r="E39" s="37" t="s">
        <v>174</v>
      </c>
      <c r="F39" s="38">
        <v>574833879.84000003</v>
      </c>
      <c r="G39" s="39">
        <v>3.853926017127525E-2</v>
      </c>
      <c r="H39" s="38">
        <v>2567609.4269762994</v>
      </c>
      <c r="I39" s="38">
        <v>19586063.023441035</v>
      </c>
      <c r="J39" s="146">
        <f t="shared" si="3"/>
        <v>22153672.450417336</v>
      </c>
      <c r="K39" s="61" t="s">
        <v>90</v>
      </c>
      <c r="L39" s="128" t="s">
        <v>92</v>
      </c>
      <c r="M39" s="147">
        <f>VLOOKUP(L39,РейтPD!$R$4:$V$26,5,0)</f>
        <v>1.3904757877784075E-2</v>
      </c>
      <c r="N39" s="148">
        <f t="shared" si="4"/>
        <v>7992925.9191224249</v>
      </c>
      <c r="O39" s="148">
        <f t="shared" si="5"/>
        <v>30146598.36953976</v>
      </c>
      <c r="Q39" s="151">
        <f t="shared" si="6"/>
        <v>0</v>
      </c>
    </row>
    <row r="40" spans="1:17" x14ac:dyDescent="0.25">
      <c r="A40" s="37" t="s">
        <v>51</v>
      </c>
      <c r="B40" s="37" t="s">
        <v>348</v>
      </c>
      <c r="C40" s="37" t="s">
        <v>6</v>
      </c>
      <c r="D40" s="37" t="s">
        <v>110</v>
      </c>
      <c r="E40" s="37" t="s">
        <v>175</v>
      </c>
      <c r="F40" s="38">
        <v>44305378.879999995</v>
      </c>
      <c r="G40" s="39">
        <v>5.8446855751816136E-2</v>
      </c>
      <c r="H40" s="38">
        <v>366176.17282946059</v>
      </c>
      <c r="I40" s="38">
        <v>2223333.9155994602</v>
      </c>
      <c r="J40" s="146">
        <f t="shared" ref="J40:J68" si="9">F40*G40</f>
        <v>2589510.0884289211</v>
      </c>
      <c r="K40" s="61" t="s">
        <v>92</v>
      </c>
      <c r="L40" s="128" t="s">
        <v>94</v>
      </c>
      <c r="M40" s="147">
        <f>VLOOKUP(L40,РейтPD!$R$4:$V$26,5,0)</f>
        <v>2.0105986515895881E-2</v>
      </c>
      <c r="N40" s="148">
        <f t="shared" si="4"/>
        <v>890803.35034293809</v>
      </c>
      <c r="O40" s="148">
        <f t="shared" si="5"/>
        <v>3480313.4387718593</v>
      </c>
      <c r="Q40" s="151">
        <f t="shared" si="6"/>
        <v>0</v>
      </c>
    </row>
    <row r="41" spans="1:17" x14ac:dyDescent="0.25">
      <c r="A41" s="37" t="s">
        <v>51</v>
      </c>
      <c r="B41" s="37" t="s">
        <v>348</v>
      </c>
      <c r="C41" s="37" t="s">
        <v>233</v>
      </c>
      <c r="D41" s="37" t="s">
        <v>219</v>
      </c>
      <c r="E41" s="37" t="s">
        <v>176</v>
      </c>
      <c r="F41" s="38">
        <v>603123445.32000005</v>
      </c>
      <c r="G41" s="39">
        <v>2.5501379562474856E-2</v>
      </c>
      <c r="H41" s="38">
        <v>1546797.5105788223</v>
      </c>
      <c r="I41" s="38">
        <v>13833682.391554048</v>
      </c>
      <c r="J41" s="146">
        <f t="shared" si="9"/>
        <v>15380479.902132871</v>
      </c>
      <c r="K41" s="61" t="s">
        <v>88</v>
      </c>
      <c r="L41" s="128" t="s">
        <v>88</v>
      </c>
      <c r="M41" s="147">
        <f>VLOOKUP(L41,РейтPD!$R$4:$V$26,5,0)</f>
        <v>4.4909962639405644E-3</v>
      </c>
      <c r="N41" s="148">
        <f t="shared" si="4"/>
        <v>2708625.1396270813</v>
      </c>
      <c r="O41" s="148">
        <f t="shared" si="5"/>
        <v>18089105.041759953</v>
      </c>
      <c r="Q41" s="151">
        <f t="shared" si="6"/>
        <v>0</v>
      </c>
    </row>
    <row r="42" spans="1:17" x14ac:dyDescent="0.25">
      <c r="A42" s="37" t="s">
        <v>51</v>
      </c>
      <c r="B42" s="37" t="s">
        <v>348</v>
      </c>
      <c r="C42" s="37" t="s">
        <v>7</v>
      </c>
      <c r="D42" s="37" t="s">
        <v>111</v>
      </c>
      <c r="E42" s="37" t="s">
        <v>177</v>
      </c>
      <c r="F42" s="38">
        <v>944357835.61000001</v>
      </c>
      <c r="G42" s="39">
        <v>5.8446855751816136E-2</v>
      </c>
      <c r="H42" s="38">
        <v>7804951.6055776644</v>
      </c>
      <c r="I42" s="38">
        <v>47389794.590417303</v>
      </c>
      <c r="J42" s="146">
        <f t="shared" si="9"/>
        <v>55194746.195994966</v>
      </c>
      <c r="K42" s="61" t="s">
        <v>92</v>
      </c>
      <c r="L42" s="128" t="s">
        <v>92</v>
      </c>
      <c r="M42" s="147">
        <f>VLOOKUP(L42,РейтPD!$R$4:$V$26,5,0)</f>
        <v>1.3904757877784075E-2</v>
      </c>
      <c r="N42" s="148">
        <f t="shared" si="4"/>
        <v>13131067.054145265</v>
      </c>
      <c r="O42" s="148">
        <f t="shared" si="5"/>
        <v>68325813.250140235</v>
      </c>
      <c r="Q42" s="151">
        <f t="shared" si="6"/>
        <v>0</v>
      </c>
    </row>
    <row r="43" spans="1:17" x14ac:dyDescent="0.25">
      <c r="A43" s="37" t="s">
        <v>51</v>
      </c>
      <c r="B43" s="37" t="s">
        <v>348</v>
      </c>
      <c r="C43" s="37" t="s">
        <v>257</v>
      </c>
      <c r="D43" s="37" t="s">
        <v>220</v>
      </c>
      <c r="E43" s="37" t="s">
        <v>178</v>
      </c>
      <c r="F43" s="38">
        <v>145307970.41</v>
      </c>
      <c r="G43" s="39">
        <v>3.853926017127525E-2</v>
      </c>
      <c r="H43" s="38">
        <v>649046.84244317096</v>
      </c>
      <c r="I43" s="38">
        <v>4951014.8341477849</v>
      </c>
      <c r="J43" s="146">
        <f t="shared" si="9"/>
        <v>5600061.6765909558</v>
      </c>
      <c r="K43" s="61" t="s">
        <v>90</v>
      </c>
      <c r="L43" s="128" t="s">
        <v>92</v>
      </c>
      <c r="M43" s="147">
        <f>VLOOKUP(L43,РейтPD!$R$4:$V$26,5,0)</f>
        <v>1.3904757877784075E-2</v>
      </c>
      <c r="N43" s="148">
        <f t="shared" si="4"/>
        <v>2020472.1462632627</v>
      </c>
      <c r="O43" s="148">
        <f t="shared" si="5"/>
        <v>7620533.822854219</v>
      </c>
      <c r="Q43" s="151">
        <f t="shared" si="6"/>
        <v>0</v>
      </c>
    </row>
    <row r="44" spans="1:17" x14ac:dyDescent="0.25">
      <c r="A44" s="37" t="s">
        <v>51</v>
      </c>
      <c r="B44" s="37" t="s">
        <v>348</v>
      </c>
      <c r="C44" s="37" t="s">
        <v>233</v>
      </c>
      <c r="D44" s="37" t="s">
        <v>221</v>
      </c>
      <c r="E44" s="37" t="s">
        <v>179</v>
      </c>
      <c r="F44" s="38">
        <v>374656350.82999998</v>
      </c>
      <c r="G44" s="39">
        <v>2.5501379562474856E-2</v>
      </c>
      <c r="H44" s="38">
        <v>960860.52578989777</v>
      </c>
      <c r="I44" s="38">
        <v>8593393.282217674</v>
      </c>
      <c r="J44" s="146">
        <f t="shared" si="9"/>
        <v>9554253.8080075718</v>
      </c>
      <c r="K44" s="61" t="s">
        <v>88</v>
      </c>
      <c r="L44" s="128" t="s">
        <v>88</v>
      </c>
      <c r="M44" s="147">
        <f>VLOOKUP(L44,РейтPD!$R$4:$V$26,5,0)</f>
        <v>4.4909962639405644E-3</v>
      </c>
      <c r="N44" s="148">
        <f t="shared" si="4"/>
        <v>1682580.2718391353</v>
      </c>
      <c r="O44" s="148">
        <f t="shared" si="5"/>
        <v>11236834.079846706</v>
      </c>
      <c r="Q44" s="151">
        <f t="shared" si="6"/>
        <v>0</v>
      </c>
    </row>
    <row r="45" spans="1:17" x14ac:dyDescent="0.25">
      <c r="A45" s="37" t="s">
        <v>51</v>
      </c>
      <c r="B45" s="37" t="s">
        <v>348</v>
      </c>
      <c r="C45" s="37" t="s">
        <v>258</v>
      </c>
      <c r="D45" s="37" t="s">
        <v>222</v>
      </c>
      <c r="E45" s="37" t="s">
        <v>180</v>
      </c>
      <c r="F45" s="38">
        <v>1552493431.3699999</v>
      </c>
      <c r="G45" s="39">
        <v>3.4001839416633144E-2</v>
      </c>
      <c r="H45" s="38">
        <v>5308792.6271522054</v>
      </c>
      <c r="I45" s="38">
        <v>47478839.721668296</v>
      </c>
      <c r="J45" s="146">
        <f t="shared" si="9"/>
        <v>52787632.348820508</v>
      </c>
      <c r="K45" s="61" t="s">
        <v>88</v>
      </c>
      <c r="L45" s="128" t="s">
        <v>88</v>
      </c>
      <c r="M45" s="147">
        <f>VLOOKUP(L45,РейтPD!$R$4:$V$26,5,0)</f>
        <v>4.4909962639405644E-3</v>
      </c>
      <c r="N45" s="148">
        <f t="shared" si="4"/>
        <v>6972242.2000749363</v>
      </c>
      <c r="O45" s="148">
        <f t="shared" si="5"/>
        <v>59759874.548895441</v>
      </c>
      <c r="Q45" s="151">
        <f t="shared" si="6"/>
        <v>0</v>
      </c>
    </row>
    <row r="46" spans="1:17" x14ac:dyDescent="0.25">
      <c r="A46" s="37" t="s">
        <v>51</v>
      </c>
      <c r="B46" s="37" t="s">
        <v>348</v>
      </c>
      <c r="C46" s="37" t="s">
        <v>259</v>
      </c>
      <c r="D46" s="37" t="s">
        <v>223</v>
      </c>
      <c r="E46" s="37" t="s">
        <v>181</v>
      </c>
      <c r="F46" s="38">
        <v>1290637455.72</v>
      </c>
      <c r="G46" s="39">
        <v>1.1251749446175052E-2</v>
      </c>
      <c r="H46" s="38">
        <v>1210996.6822803286</v>
      </c>
      <c r="I46" s="38">
        <v>13310932.595329959</v>
      </c>
      <c r="J46" s="146">
        <f t="shared" si="9"/>
        <v>14521929.277610289</v>
      </c>
      <c r="K46" s="61" t="s">
        <v>84</v>
      </c>
      <c r="L46" s="128" t="s">
        <v>84</v>
      </c>
      <c r="M46" s="147">
        <f>VLOOKUP(L46,РейтPD!$R$4:$V$26,5,0)</f>
        <v>1.5278638954797431E-3</v>
      </c>
      <c r="N46" s="148">
        <f t="shared" si="4"/>
        <v>1971918.3707484237</v>
      </c>
      <c r="O46" s="148">
        <f t="shared" si="5"/>
        <v>16493847.648358712</v>
      </c>
      <c r="Q46" s="151">
        <f t="shared" si="6"/>
        <v>0</v>
      </c>
    </row>
    <row r="47" spans="1:17" x14ac:dyDescent="0.25">
      <c r="A47" s="37" t="s">
        <v>51</v>
      </c>
      <c r="B47" s="37" t="s">
        <v>348</v>
      </c>
      <c r="C47" s="37" t="s">
        <v>245</v>
      </c>
      <c r="D47" s="37" t="s">
        <v>224</v>
      </c>
      <c r="E47" s="37" t="s">
        <v>182</v>
      </c>
      <c r="F47" s="38">
        <v>1035960911.6900001</v>
      </c>
      <c r="G47" s="39">
        <v>2.6031795691180044E-2</v>
      </c>
      <c r="H47" s="38">
        <v>2524183.8433113438</v>
      </c>
      <c r="I47" s="38">
        <v>24443738.95385135</v>
      </c>
      <c r="J47" s="146">
        <f t="shared" si="9"/>
        <v>26967922.797162693</v>
      </c>
      <c r="K47" s="61" t="s">
        <v>86</v>
      </c>
      <c r="L47" s="128" t="s">
        <v>88</v>
      </c>
      <c r="M47" s="147">
        <f>VLOOKUP(L47,РейтPD!$R$4:$V$26,5,0)</f>
        <v>4.4909962639405644E-3</v>
      </c>
      <c r="N47" s="148">
        <f t="shared" si="4"/>
        <v>4652496.5839882512</v>
      </c>
      <c r="O47" s="148">
        <f t="shared" si="5"/>
        <v>31620419.381150946</v>
      </c>
      <c r="Q47" s="151">
        <f t="shared" si="6"/>
        <v>0</v>
      </c>
    </row>
    <row r="48" spans="1:17" x14ac:dyDescent="0.25">
      <c r="A48" s="37" t="s">
        <v>51</v>
      </c>
      <c r="B48" s="37" t="s">
        <v>348</v>
      </c>
      <c r="C48" s="37" t="s">
        <v>260</v>
      </c>
      <c r="D48" s="37" t="s">
        <v>225</v>
      </c>
      <c r="E48" s="37" t="s">
        <v>183</v>
      </c>
      <c r="F48" s="38">
        <v>507515773.16000003</v>
      </c>
      <c r="G48" s="39">
        <v>2.6031795691180044E-2</v>
      </c>
      <c r="H48" s="38">
        <v>1236594.0648728656</v>
      </c>
      <c r="I48" s="38">
        <v>11974952.852079533</v>
      </c>
      <c r="J48" s="146">
        <f t="shared" si="9"/>
        <v>13211546.916952398</v>
      </c>
      <c r="K48" s="61" t="s">
        <v>86</v>
      </c>
      <c r="L48" s="128" t="s">
        <v>86</v>
      </c>
      <c r="M48" s="147">
        <f>VLOOKUP(L48,РейтPD!$R$4:$V$26,5,0)</f>
        <v>3.1477246932169281E-3</v>
      </c>
      <c r="N48" s="148">
        <f t="shared" si="4"/>
        <v>1597519.9313728132</v>
      </c>
      <c r="O48" s="148">
        <f t="shared" si="5"/>
        <v>14809066.848325212</v>
      </c>
      <c r="Q48" s="151">
        <f t="shared" si="6"/>
        <v>0</v>
      </c>
    </row>
    <row r="49" spans="1:17" x14ac:dyDescent="0.25">
      <c r="A49" s="37" t="s">
        <v>51</v>
      </c>
      <c r="B49" s="37" t="s">
        <v>348</v>
      </c>
      <c r="C49" s="37" t="s">
        <v>259</v>
      </c>
      <c r="D49" s="37" t="s">
        <v>516</v>
      </c>
      <c r="E49" s="37" t="s">
        <v>517</v>
      </c>
      <c r="F49" s="38">
        <v>2116087792.79</v>
      </c>
      <c r="G49" s="39">
        <v>1.1251749446175052E-2</v>
      </c>
      <c r="H49" s="38">
        <v>1985511.3340508353</v>
      </c>
      <c r="I49" s="38">
        <v>21824178.316531833</v>
      </c>
      <c r="J49" s="146">
        <f t="shared" si="9"/>
        <v>23809689.650582671</v>
      </c>
      <c r="K49" s="61" t="s">
        <v>84</v>
      </c>
      <c r="L49" s="128" t="s">
        <v>84</v>
      </c>
      <c r="M49" s="147">
        <f>VLOOKUP(L49,РейтPD!$R$4:$V$26,5,0)</f>
        <v>1.5278638954797431E-3</v>
      </c>
      <c r="N49" s="148">
        <f t="shared" si="4"/>
        <v>3233094.1382692605</v>
      </c>
      <c r="O49" s="148">
        <f t="shared" si="5"/>
        <v>27042783.788851932</v>
      </c>
      <c r="Q49" s="151">
        <f t="shared" si="6"/>
        <v>2.5611370801925659E-9</v>
      </c>
    </row>
    <row r="50" spans="1:17" x14ac:dyDescent="0.25">
      <c r="A50" s="37" t="s">
        <v>51</v>
      </c>
      <c r="B50" s="37" t="s">
        <v>348</v>
      </c>
      <c r="C50" s="37" t="s">
        <v>261</v>
      </c>
      <c r="D50" s="37" t="s">
        <v>226</v>
      </c>
      <c r="E50" s="37" t="s">
        <v>184</v>
      </c>
      <c r="F50" s="38">
        <v>2131274940.4000001</v>
      </c>
      <c r="G50" s="39">
        <v>1.9523846768385034E-2</v>
      </c>
      <c r="H50" s="38">
        <v>3894738.9637287674</v>
      </c>
      <c r="I50" s="38">
        <v>37715946.393939786</v>
      </c>
      <c r="J50" s="146">
        <f t="shared" si="9"/>
        <v>41610685.357668549</v>
      </c>
      <c r="K50" s="61" t="s">
        <v>86</v>
      </c>
      <c r="L50" s="128" t="s">
        <v>88</v>
      </c>
      <c r="M50" s="147">
        <f>VLOOKUP(L50,РейтPD!$R$4:$V$26,5,0)</f>
        <v>4.4909962639405644E-3</v>
      </c>
      <c r="N50" s="148">
        <f t="shared" si="4"/>
        <v>9571547.794766549</v>
      </c>
      <c r="O50" s="148">
        <f t="shared" si="5"/>
        <v>51182233.152435094</v>
      </c>
      <c r="Q50" s="151">
        <f t="shared" si="6"/>
        <v>-4.1909515857696533E-9</v>
      </c>
    </row>
    <row r="51" spans="1:17" x14ac:dyDescent="0.25">
      <c r="A51" s="37" t="s">
        <v>51</v>
      </c>
      <c r="B51" s="37" t="s">
        <v>348</v>
      </c>
      <c r="C51" s="37" t="s">
        <v>526</v>
      </c>
      <c r="D51" s="37" t="s">
        <v>518</v>
      </c>
      <c r="E51" s="37" t="s">
        <v>519</v>
      </c>
      <c r="F51" s="38">
        <v>631699861.67999995</v>
      </c>
      <c r="G51" s="39">
        <v>5.8446855751816136E-2</v>
      </c>
      <c r="H51" s="38">
        <v>5220888.3791150656</v>
      </c>
      <c r="I51" s="38">
        <v>31699982.314938098</v>
      </c>
      <c r="J51" s="146">
        <f t="shared" si="9"/>
        <v>36920870.694053166</v>
      </c>
      <c r="K51" s="61" t="s">
        <v>92</v>
      </c>
      <c r="L51" s="128" t="s">
        <v>92</v>
      </c>
      <c r="M51" s="147">
        <f>VLOOKUP(L51,РейтPD!$R$4:$V$26,5,0)</f>
        <v>1.3904757877784075E-2</v>
      </c>
      <c r="N51" s="148">
        <f t="shared" si="4"/>
        <v>8783633.6280900892</v>
      </c>
      <c r="O51" s="148">
        <f t="shared" si="5"/>
        <v>45704504.322143257</v>
      </c>
      <c r="Q51" s="151">
        <f t="shared" si="6"/>
        <v>0</v>
      </c>
    </row>
    <row r="52" spans="1:17" x14ac:dyDescent="0.25">
      <c r="A52" s="37" t="s">
        <v>51</v>
      </c>
      <c r="B52" s="37" t="s">
        <v>348</v>
      </c>
      <c r="C52" s="37" t="s">
        <v>248</v>
      </c>
      <c r="D52" s="37" t="s">
        <v>227</v>
      </c>
      <c r="E52" s="37" t="s">
        <v>185</v>
      </c>
      <c r="F52" s="38">
        <v>1418357106.03</v>
      </c>
      <c r="G52" s="39">
        <v>1.1251749446175052E-2</v>
      </c>
      <c r="H52" s="38">
        <v>1330835.1947161311</v>
      </c>
      <c r="I52" s="38">
        <v>14628163.58753537</v>
      </c>
      <c r="J52" s="146">
        <f t="shared" si="9"/>
        <v>15958998.782251501</v>
      </c>
      <c r="K52" s="61" t="s">
        <v>84</v>
      </c>
      <c r="L52" s="128" t="s">
        <v>84</v>
      </c>
      <c r="M52" s="147">
        <f>VLOOKUP(L52,РейтPD!$R$4:$V$26,5,0)</f>
        <v>1.5278638954797431E-3</v>
      </c>
      <c r="N52" s="148">
        <f t="shared" si="4"/>
        <v>2167056.6132003707</v>
      </c>
      <c r="O52" s="148">
        <f t="shared" si="5"/>
        <v>18126055.395451874</v>
      </c>
      <c r="Q52" s="151">
        <f t="shared" si="6"/>
        <v>0</v>
      </c>
    </row>
    <row r="53" spans="1:17" x14ac:dyDescent="0.25">
      <c r="A53" s="37" t="s">
        <v>51</v>
      </c>
      <c r="B53" s="37" t="s">
        <v>348</v>
      </c>
      <c r="C53" s="37" t="s">
        <v>315</v>
      </c>
      <c r="D53" s="37" t="s">
        <v>520</v>
      </c>
      <c r="E53" s="37" t="s">
        <v>521</v>
      </c>
      <c r="F53" s="38">
        <v>1505186655.5699999</v>
      </c>
      <c r="G53" s="39">
        <v>1.1251749446175052E-2</v>
      </c>
      <c r="H53" s="38">
        <v>1412306.7930730653</v>
      </c>
      <c r="I53" s="38">
        <v>15523676.32512676</v>
      </c>
      <c r="J53" s="146">
        <f t="shared" si="9"/>
        <v>16935983.118199825</v>
      </c>
      <c r="K53" s="61" t="s">
        <v>84</v>
      </c>
      <c r="L53" s="128" t="s">
        <v>84</v>
      </c>
      <c r="M53" s="147">
        <f>VLOOKUP(L53,РейтPD!$R$4:$V$26,5,0)</f>
        <v>1.5278638954797431E-3</v>
      </c>
      <c r="N53" s="148">
        <f t="shared" si="4"/>
        <v>2299720.3470033063</v>
      </c>
      <c r="O53" s="148">
        <f t="shared" si="5"/>
        <v>19235703.465203132</v>
      </c>
      <c r="Q53" s="151">
        <f t="shared" si="6"/>
        <v>0</v>
      </c>
    </row>
    <row r="54" spans="1:17" x14ac:dyDescent="0.25">
      <c r="A54" s="37" t="s">
        <v>51</v>
      </c>
      <c r="B54" s="37" t="s">
        <v>348</v>
      </c>
      <c r="C54" s="37" t="s">
        <v>246</v>
      </c>
      <c r="D54" s="37" t="s">
        <v>228</v>
      </c>
      <c r="E54" s="37" t="s">
        <v>186</v>
      </c>
      <c r="F54" s="38">
        <v>312342077.92000002</v>
      </c>
      <c r="G54" s="39">
        <v>3.4001839416633144E-2</v>
      </c>
      <c r="H54" s="38">
        <v>1068062.0522483313</v>
      </c>
      <c r="I54" s="38">
        <v>9552143.1242450252</v>
      </c>
      <c r="J54" s="146">
        <f t="shared" si="9"/>
        <v>10620205.176493358</v>
      </c>
      <c r="K54" s="61" t="s">
        <v>88</v>
      </c>
      <c r="L54" s="128" t="s">
        <v>88</v>
      </c>
      <c r="M54" s="147">
        <f>VLOOKUP(L54,РейтPD!$R$4:$V$26,5,0)</f>
        <v>4.4909962639405644E-3</v>
      </c>
      <c r="N54" s="148">
        <f t="shared" si="4"/>
        <v>1402727.1050101528</v>
      </c>
      <c r="O54" s="148">
        <f t="shared" si="5"/>
        <v>12022932.28150351</v>
      </c>
      <c r="Q54" s="151">
        <f t="shared" si="6"/>
        <v>0</v>
      </c>
    </row>
    <row r="55" spans="1:17" x14ac:dyDescent="0.25">
      <c r="A55" s="37" t="s">
        <v>51</v>
      </c>
      <c r="B55" s="37" t="s">
        <v>348</v>
      </c>
      <c r="C55" s="37" t="s">
        <v>256</v>
      </c>
      <c r="D55" s="37" t="s">
        <v>229</v>
      </c>
      <c r="E55" s="37" t="s">
        <v>187</v>
      </c>
      <c r="F55" s="38">
        <v>1310582000</v>
      </c>
      <c r="G55" s="39">
        <v>8.0153318744730778E-3</v>
      </c>
      <c r="H55" s="38">
        <v>795701.28946196462</v>
      </c>
      <c r="I55" s="38">
        <v>9709048.389248712</v>
      </c>
      <c r="J55" s="146">
        <f t="shared" si="9"/>
        <v>10504749.678710675</v>
      </c>
      <c r="K55" s="61" t="s">
        <v>80</v>
      </c>
      <c r="L55" s="128" t="s">
        <v>80</v>
      </c>
      <c r="M55" s="147">
        <f>VLOOKUP(L55,РейтPD!$R$4:$V$26,5,0)</f>
        <v>6.804583752802279E-4</v>
      </c>
      <c r="N55" s="148">
        <f t="shared" si="4"/>
        <v>891796.49839151162</v>
      </c>
      <c r="O55" s="148">
        <f t="shared" si="5"/>
        <v>11396546.177102186</v>
      </c>
      <c r="Q55" s="151">
        <f t="shared" si="6"/>
        <v>-1.7462298274040222E-9</v>
      </c>
    </row>
    <row r="56" spans="1:17" x14ac:dyDescent="0.25">
      <c r="A56" s="37" t="s">
        <v>51</v>
      </c>
      <c r="B56" s="37" t="s">
        <v>348</v>
      </c>
      <c r="C56" s="37" t="s">
        <v>239</v>
      </c>
      <c r="D56" s="37" t="s">
        <v>522</v>
      </c>
      <c r="E56" s="37" t="s">
        <v>523</v>
      </c>
      <c r="F56" s="38">
        <v>638809638.87</v>
      </c>
      <c r="G56" s="39">
        <v>5.8446855751816136E-2</v>
      </c>
      <c r="H56" s="38">
        <v>5279649.4385375734</v>
      </c>
      <c r="I56" s="38">
        <v>32056765.377367076</v>
      </c>
      <c r="J56" s="146">
        <f t="shared" si="9"/>
        <v>37336414.815904647</v>
      </c>
      <c r="K56" s="61" t="s">
        <v>92</v>
      </c>
      <c r="L56" s="128" t="s">
        <v>94</v>
      </c>
      <c r="M56" s="147">
        <f>VLOOKUP(L56,РейтPD!$R$4:$V$26,5,0)</f>
        <v>2.0105986515895881E-2</v>
      </c>
      <c r="N56" s="148">
        <f t="shared" si="4"/>
        <v>12843897.985344537</v>
      </c>
      <c r="O56" s="148">
        <f t="shared" si="5"/>
        <v>50180312.801249184</v>
      </c>
      <c r="Q56" s="151">
        <f t="shared" si="6"/>
        <v>0</v>
      </c>
    </row>
    <row r="57" spans="1:17" x14ac:dyDescent="0.25">
      <c r="A57" s="37" t="s">
        <v>51</v>
      </c>
      <c r="B57" s="37" t="s">
        <v>348</v>
      </c>
      <c r="C57" s="37" t="s">
        <v>262</v>
      </c>
      <c r="D57" s="37" t="s">
        <v>230</v>
      </c>
      <c r="E57" s="37" t="s">
        <v>188</v>
      </c>
      <c r="F57" s="38">
        <v>211566980.66</v>
      </c>
      <c r="G57" s="39">
        <v>2.5501379562474856E-2</v>
      </c>
      <c r="H57" s="38">
        <v>542594.19285538746</v>
      </c>
      <c r="I57" s="38">
        <v>4852655.683842049</v>
      </c>
      <c r="J57" s="146">
        <f t="shared" si="9"/>
        <v>5395249.8766974369</v>
      </c>
      <c r="K57" s="61" t="s">
        <v>88</v>
      </c>
      <c r="L57" s="128" t="s">
        <v>88</v>
      </c>
      <c r="M57" s="147">
        <f>VLOOKUP(L57,РейтPD!$R$4:$V$26,5,0)</f>
        <v>4.4909962639405644E-3</v>
      </c>
      <c r="N57" s="148">
        <f t="shared" si="4"/>
        <v>950146.5197172456</v>
      </c>
      <c r="O57" s="148">
        <f t="shared" si="5"/>
        <v>6345396.3964146823</v>
      </c>
      <c r="Q57" s="151">
        <f t="shared" si="6"/>
        <v>0</v>
      </c>
    </row>
    <row r="58" spans="1:17" x14ac:dyDescent="0.25">
      <c r="A58" s="37" t="s">
        <v>51</v>
      </c>
      <c r="B58" s="37" t="s">
        <v>348</v>
      </c>
      <c r="C58" s="37" t="s">
        <v>263</v>
      </c>
      <c r="D58" s="37" t="s">
        <v>231</v>
      </c>
      <c r="E58" s="37" t="s">
        <v>189</v>
      </c>
      <c r="F58" s="38">
        <v>1063739009.09</v>
      </c>
      <c r="G58" s="39">
        <v>1.1251749446175052E-2</v>
      </c>
      <c r="H58" s="38">
        <v>998099.35401380609</v>
      </c>
      <c r="I58" s="38">
        <v>10970825.4523894</v>
      </c>
      <c r="J58" s="146">
        <f t="shared" si="9"/>
        <v>11968924.806403207</v>
      </c>
      <c r="K58" s="61" t="s">
        <v>84</v>
      </c>
      <c r="L58" s="128" t="s">
        <v>86</v>
      </c>
      <c r="M58" s="147">
        <f>VLOOKUP(L58,РейтPD!$R$4:$V$26,5,0)</f>
        <v>3.1477246932169281E-3</v>
      </c>
      <c r="N58" s="148">
        <f t="shared" si="4"/>
        <v>3348357.5460506994</v>
      </c>
      <c r="O58" s="148">
        <f t="shared" si="5"/>
        <v>15317282.352453906</v>
      </c>
      <c r="Q58" s="151">
        <f t="shared" si="6"/>
        <v>0</v>
      </c>
    </row>
    <row r="59" spans="1:17" x14ac:dyDescent="0.25">
      <c r="A59" s="37" t="s">
        <v>51</v>
      </c>
      <c r="B59" s="37" t="s">
        <v>348</v>
      </c>
      <c r="C59" s="37" t="s">
        <v>367</v>
      </c>
      <c r="D59" s="37" t="s">
        <v>358</v>
      </c>
      <c r="E59" s="37" t="s">
        <v>363</v>
      </c>
      <c r="F59" s="38">
        <v>214416308.63</v>
      </c>
      <c r="G59" s="39">
        <v>2.5501379562474856E-2</v>
      </c>
      <c r="H59" s="38">
        <v>549901.70750270854</v>
      </c>
      <c r="I59" s="38">
        <v>4918009.9632556746</v>
      </c>
      <c r="J59" s="146">
        <f t="shared" si="9"/>
        <v>5467911.6707583833</v>
      </c>
      <c r="K59" s="61" t="s">
        <v>88</v>
      </c>
      <c r="L59" s="128" t="s">
        <v>88</v>
      </c>
      <c r="M59" s="147">
        <f>VLOOKUP(L59,РейтPD!$R$4:$V$26,5,0)</f>
        <v>4.4909962639405644E-3</v>
      </c>
      <c r="N59" s="148">
        <f t="shared" si="4"/>
        <v>962942.84098525695</v>
      </c>
      <c r="O59" s="148">
        <f t="shared" si="5"/>
        <v>6430854.5117436405</v>
      </c>
      <c r="Q59" s="151">
        <f t="shared" si="6"/>
        <v>0</v>
      </c>
    </row>
    <row r="60" spans="1:17" x14ac:dyDescent="0.25">
      <c r="A60" s="37" t="s">
        <v>51</v>
      </c>
      <c r="B60" s="37" t="s">
        <v>348</v>
      </c>
      <c r="C60" s="37" t="s">
        <v>367</v>
      </c>
      <c r="D60" s="37" t="s">
        <v>524</v>
      </c>
      <c r="E60" s="37" t="s">
        <v>525</v>
      </c>
      <c r="F60" s="38">
        <v>321294635.19999999</v>
      </c>
      <c r="G60" s="39">
        <v>2.5501379562474856E-2</v>
      </c>
      <c r="H60" s="38">
        <v>824006.67018674547</v>
      </c>
      <c r="I60" s="38">
        <v>7369449.7734353486</v>
      </c>
      <c r="J60" s="146">
        <f t="shared" si="9"/>
        <v>8193456.4436220946</v>
      </c>
      <c r="K60" s="61" t="s">
        <v>88</v>
      </c>
      <c r="L60" s="128" t="s">
        <v>88</v>
      </c>
      <c r="M60" s="147">
        <f>VLOOKUP(L60,РейтPD!$R$4:$V$26,5,0)</f>
        <v>4.4909962639405644E-3</v>
      </c>
      <c r="N60" s="148">
        <f t="shared" si="4"/>
        <v>1442933.0063073465</v>
      </c>
      <c r="O60" s="148">
        <f t="shared" si="5"/>
        <v>9636389.4499294404</v>
      </c>
      <c r="Q60" s="151">
        <f t="shared" si="6"/>
        <v>0</v>
      </c>
    </row>
    <row r="61" spans="1:17" x14ac:dyDescent="0.25">
      <c r="A61" s="37" t="s">
        <v>51</v>
      </c>
      <c r="B61" s="37" t="s">
        <v>350</v>
      </c>
      <c r="C61" s="37" t="s">
        <v>264</v>
      </c>
      <c r="D61" s="37" t="s">
        <v>359</v>
      </c>
      <c r="E61" s="37" t="s">
        <v>490</v>
      </c>
      <c r="F61" s="38">
        <v>781580126.70000005</v>
      </c>
      <c r="G61" s="39">
        <v>1.1251749446175052E-2</v>
      </c>
      <c r="H61" s="38">
        <v>733351.52034769184</v>
      </c>
      <c r="I61" s="38">
        <v>8060792.2373904604</v>
      </c>
      <c r="J61" s="146">
        <f t="shared" si="9"/>
        <v>8794143.7577381525</v>
      </c>
      <c r="K61" s="61" t="s">
        <v>84</v>
      </c>
      <c r="L61" s="128" t="s">
        <v>86</v>
      </c>
      <c r="M61" s="147">
        <f>VLOOKUP(L61,РейтPD!$R$4:$V$26,5,0)</f>
        <v>3.1477246932169281E-3</v>
      </c>
      <c r="N61" s="148">
        <f t="shared" si="4"/>
        <v>2460199.0645412053</v>
      </c>
      <c r="O61" s="148">
        <f t="shared" si="5"/>
        <v>11254342.822279358</v>
      </c>
      <c r="Q61" s="151">
        <f t="shared" si="6"/>
        <v>0</v>
      </c>
    </row>
    <row r="62" spans="1:17" x14ac:dyDescent="0.25">
      <c r="A62" s="37" t="s">
        <v>232</v>
      </c>
      <c r="B62" s="37" t="s">
        <v>345</v>
      </c>
      <c r="C62" s="37" t="s">
        <v>237</v>
      </c>
      <c r="D62" s="37" t="s">
        <v>193</v>
      </c>
      <c r="E62" s="37" t="s">
        <v>149</v>
      </c>
      <c r="F62" s="38">
        <v>673449638.39999998</v>
      </c>
      <c r="G62" s="39">
        <v>5.1385680228367002E-2</v>
      </c>
      <c r="H62" s="38">
        <v>4010795.0042446242</v>
      </c>
      <c r="I62" s="38">
        <v>30594872.764487162</v>
      </c>
      <c r="J62" s="146">
        <f t="shared" si="9"/>
        <v>34605667.768731788</v>
      </c>
      <c r="K62" s="61" t="s">
        <v>90</v>
      </c>
      <c r="L62" s="128" t="s">
        <v>92</v>
      </c>
      <c r="M62" s="147">
        <f>VLOOKUP(L62,РейтPD!$R$4:$V$26,5,0)</f>
        <v>1.3904757877784075E-2</v>
      </c>
      <c r="N62" s="148">
        <f t="shared" si="4"/>
        <v>9364154.1648332365</v>
      </c>
      <c r="O62" s="148">
        <f t="shared" si="5"/>
        <v>43969821.933565021</v>
      </c>
      <c r="Q62" s="151">
        <f t="shared" si="6"/>
        <v>0</v>
      </c>
    </row>
    <row r="63" spans="1:17" x14ac:dyDescent="0.25">
      <c r="A63" s="37" t="s">
        <v>232</v>
      </c>
      <c r="B63" s="37" t="s">
        <v>345</v>
      </c>
      <c r="C63" s="37" t="s">
        <v>238</v>
      </c>
      <c r="D63" s="37" t="s">
        <v>194</v>
      </c>
      <c r="E63" s="37" t="s">
        <v>150</v>
      </c>
      <c r="F63" s="38">
        <v>881024857.20000005</v>
      </c>
      <c r="G63" s="39">
        <v>5.1385680228367002E-2</v>
      </c>
      <c r="H63" s="38">
        <v>5247029.4649921274</v>
      </c>
      <c r="I63" s="38">
        <v>40025032.120329775</v>
      </c>
      <c r="J63" s="146">
        <f t="shared" si="9"/>
        <v>45272061.585321903</v>
      </c>
      <c r="K63" s="61" t="s">
        <v>90</v>
      </c>
      <c r="L63" s="128" t="s">
        <v>92</v>
      </c>
      <c r="M63" s="147">
        <f>VLOOKUP(L63,РейтPD!$R$4:$V$26,5,0)</f>
        <v>1.3904757877784075E-2</v>
      </c>
      <c r="N63" s="148">
        <f t="shared" si="4"/>
        <v>12250437.32367529</v>
      </c>
      <c r="O63" s="148">
        <f t="shared" si="5"/>
        <v>57522498.908997193</v>
      </c>
      <c r="Q63" s="151">
        <f t="shared" si="6"/>
        <v>0</v>
      </c>
    </row>
    <row r="64" spans="1:17" x14ac:dyDescent="0.25">
      <c r="A64" s="37" t="s">
        <v>232</v>
      </c>
      <c r="B64" s="37" t="s">
        <v>345</v>
      </c>
      <c r="C64" s="37" t="s">
        <v>238</v>
      </c>
      <c r="D64" s="37" t="s">
        <v>194</v>
      </c>
      <c r="E64" s="37" t="s">
        <v>364</v>
      </c>
      <c r="F64" s="38">
        <v>82518418.143000007</v>
      </c>
      <c r="G64" s="39">
        <v>5.1385680228367002E-2</v>
      </c>
      <c r="H64" s="38">
        <v>491446.48742024391</v>
      </c>
      <c r="I64" s="38">
        <v>3748818.5602266327</v>
      </c>
      <c r="J64" s="146">
        <f t="shared" si="9"/>
        <v>4240265.0476468764</v>
      </c>
      <c r="K64" s="61" t="s">
        <v>90</v>
      </c>
      <c r="L64" s="128" t="s">
        <v>92</v>
      </c>
      <c r="M64" s="147">
        <f>VLOOKUP(L64,РейтPD!$R$4:$V$26,5,0)</f>
        <v>1.3904757877784075E-2</v>
      </c>
      <c r="N64" s="148">
        <f t="shared" si="4"/>
        <v>1147398.6247361596</v>
      </c>
      <c r="O64" s="148">
        <f t="shared" si="5"/>
        <v>5387663.6723830365</v>
      </c>
      <c r="Q64" s="151">
        <f t="shared" si="6"/>
        <v>0</v>
      </c>
    </row>
    <row r="65" spans="1:17" x14ac:dyDescent="0.25">
      <c r="A65" s="37" t="s">
        <v>232</v>
      </c>
      <c r="B65" s="37" t="s">
        <v>345</v>
      </c>
      <c r="C65" s="37" t="s">
        <v>245</v>
      </c>
      <c r="D65" s="37" t="s">
        <v>200</v>
      </c>
      <c r="E65" s="37" t="s">
        <v>156</v>
      </c>
      <c r="F65" s="38">
        <v>787592966.83200002</v>
      </c>
      <c r="G65" s="39">
        <v>2.6031795691180044E-2</v>
      </c>
      <c r="H65" s="38">
        <v>1919019.7424918648</v>
      </c>
      <c r="I65" s="38">
        <v>18583439.457889102</v>
      </c>
      <c r="J65" s="146">
        <f t="shared" si="9"/>
        <v>20502459.200380966</v>
      </c>
      <c r="K65" s="61" t="s">
        <v>86</v>
      </c>
      <c r="L65" s="128" t="s">
        <v>88</v>
      </c>
      <c r="M65" s="147">
        <f>VLOOKUP(L65,РейтPD!$R$4:$V$26,5,0)</f>
        <v>4.4909962639405644E-3</v>
      </c>
      <c r="N65" s="148">
        <f t="shared" si="4"/>
        <v>3537077.0715483772</v>
      </c>
      <c r="O65" s="148">
        <f t="shared" si="5"/>
        <v>24039536.271929342</v>
      </c>
      <c r="Q65" s="151">
        <f t="shared" si="6"/>
        <v>0</v>
      </c>
    </row>
    <row r="66" spans="1:17" x14ac:dyDescent="0.25">
      <c r="A66" s="37" t="s">
        <v>232</v>
      </c>
      <c r="B66" s="37" t="s">
        <v>345</v>
      </c>
      <c r="C66" s="37" t="s">
        <v>238</v>
      </c>
      <c r="D66" s="37" t="s">
        <v>202</v>
      </c>
      <c r="E66" s="37" t="s">
        <v>158</v>
      </c>
      <c r="F66" s="38">
        <v>306731906.39999998</v>
      </c>
      <c r="G66" s="39">
        <v>5.1385680228367002E-2</v>
      </c>
      <c r="H66" s="38">
        <v>1826771.7846792291</v>
      </c>
      <c r="I66" s="38">
        <v>13934855.873428568</v>
      </c>
      <c r="J66" s="146">
        <f t="shared" si="9"/>
        <v>15761627.658107797</v>
      </c>
      <c r="K66" s="61" t="s">
        <v>90</v>
      </c>
      <c r="L66" s="128" t="s">
        <v>92</v>
      </c>
      <c r="M66" s="147">
        <f>VLOOKUP(L66,РейтPD!$R$4:$V$26,5,0)</f>
        <v>1.3904757877784075E-2</v>
      </c>
      <c r="N66" s="148">
        <f t="shared" ref="N66:N68" si="10">M66*F66</f>
        <v>4265032.8918831274</v>
      </c>
      <c r="O66" s="148">
        <f t="shared" ref="O66:O68" si="11">N66+J66</f>
        <v>20026660.549990922</v>
      </c>
      <c r="Q66" s="151">
        <f t="shared" si="6"/>
        <v>0</v>
      </c>
    </row>
    <row r="67" spans="1:17" x14ac:dyDescent="0.25">
      <c r="A67" s="37" t="s">
        <v>232</v>
      </c>
      <c r="B67" s="37" t="s">
        <v>345</v>
      </c>
      <c r="C67" s="37" t="s">
        <v>233</v>
      </c>
      <c r="D67" s="37" t="s">
        <v>360</v>
      </c>
      <c r="E67" s="37" t="s">
        <v>365</v>
      </c>
      <c r="F67" s="38">
        <v>117739396.87499999</v>
      </c>
      <c r="G67" s="39">
        <v>2.5501379562474856E-2</v>
      </c>
      <c r="H67" s="38">
        <v>301959.75201507017</v>
      </c>
      <c r="I67" s="38">
        <v>2700557.2971511702</v>
      </c>
      <c r="J67" s="146">
        <f t="shared" si="9"/>
        <v>3002517.0491662407</v>
      </c>
      <c r="K67" s="61" t="s">
        <v>88</v>
      </c>
      <c r="L67" s="128" t="s">
        <v>90</v>
      </c>
      <c r="M67" s="147">
        <f>VLOOKUP(L67,РейтPD!$R$4:$V$26,5,0)</f>
        <v>7.8438247863801356E-3</v>
      </c>
      <c r="N67" s="148">
        <f t="shared" si="10"/>
        <v>923527.19954157271</v>
      </c>
      <c r="O67" s="148">
        <f t="shared" si="11"/>
        <v>3926044.2487078132</v>
      </c>
      <c r="Q67" s="151">
        <f t="shared" si="6"/>
        <v>0</v>
      </c>
    </row>
    <row r="68" spans="1:17" x14ac:dyDescent="0.25">
      <c r="A68" s="37" t="s">
        <v>232</v>
      </c>
      <c r="B68" s="37" t="s">
        <v>345</v>
      </c>
      <c r="C68" s="37" t="s">
        <v>233</v>
      </c>
      <c r="D68" s="37" t="s">
        <v>361</v>
      </c>
      <c r="E68" s="37" t="s">
        <v>366</v>
      </c>
      <c r="F68" s="38">
        <v>348261500.53349996</v>
      </c>
      <c r="G68" s="39">
        <v>2.5501379562474856E-2</v>
      </c>
      <c r="H68" s="38">
        <v>893167.10573214316</v>
      </c>
      <c r="I68" s="38">
        <v>7987981.6063696789</v>
      </c>
      <c r="J68" s="146">
        <f t="shared" si="9"/>
        <v>8881148.7121018227</v>
      </c>
      <c r="K68" s="61" t="s">
        <v>88</v>
      </c>
      <c r="L68" s="128" t="s">
        <v>90</v>
      </c>
      <c r="M68" s="147">
        <f>VLOOKUP(L68,РейтPD!$R$4:$V$26,5,0)</f>
        <v>7.8438247863801356E-3</v>
      </c>
      <c r="N68" s="148">
        <f t="shared" si="10"/>
        <v>2731702.190026606</v>
      </c>
      <c r="O68" s="148">
        <f t="shared" si="11"/>
        <v>11612850.902128428</v>
      </c>
      <c r="Q68" s="151">
        <f t="shared" si="6"/>
        <v>0</v>
      </c>
    </row>
    <row r="69" spans="1:17" x14ac:dyDescent="0.25">
      <c r="A69" s="37"/>
      <c r="B69" s="37"/>
      <c r="C69" s="37"/>
      <c r="D69" s="37"/>
      <c r="E69" s="37"/>
      <c r="F69" s="38"/>
      <c r="G69" s="39"/>
      <c r="H69" s="38"/>
      <c r="I69" s="38"/>
      <c r="J69" s="146"/>
      <c r="K69" s="61"/>
      <c r="L69" s="128"/>
      <c r="M69" s="147"/>
      <c r="N69" s="148"/>
      <c r="O69" s="148"/>
      <c r="Q69" s="151">
        <f t="shared" si="6"/>
        <v>0</v>
      </c>
    </row>
    <row r="70" spans="1:17" x14ac:dyDescent="0.25">
      <c r="A70" s="37"/>
      <c r="B70" s="37"/>
      <c r="C70" s="37"/>
      <c r="D70" s="37"/>
      <c r="E70" s="37"/>
      <c r="F70" s="38"/>
      <c r="G70" s="39"/>
      <c r="H70" s="38"/>
      <c r="I70" s="38"/>
      <c r="J70" s="146"/>
      <c r="K70" s="61"/>
      <c r="L70" s="128"/>
      <c r="M70" s="147"/>
      <c r="N70" s="148"/>
      <c r="O70" s="148"/>
      <c r="Q70" s="151">
        <f t="shared" si="6"/>
        <v>0</v>
      </c>
    </row>
    <row r="71" spans="1:17" x14ac:dyDescent="0.25">
      <c r="A71" s="37"/>
      <c r="B71" s="37"/>
      <c r="C71" s="37"/>
      <c r="D71" s="37"/>
      <c r="E71" s="37"/>
      <c r="F71" s="38"/>
      <c r="G71" s="39"/>
      <c r="H71" s="38"/>
      <c r="I71" s="38"/>
      <c r="J71" s="38"/>
      <c r="K71" s="61"/>
      <c r="L71" s="129"/>
      <c r="M71" s="38"/>
      <c r="N71" s="38"/>
      <c r="O71" s="38"/>
      <c r="Q71" s="151">
        <f t="shared" si="6"/>
        <v>0</v>
      </c>
    </row>
    <row r="72" spans="1:17" x14ac:dyDescent="0.25">
      <c r="A72" s="37"/>
      <c r="B72" s="37"/>
      <c r="C72" s="37"/>
      <c r="D72" s="37"/>
      <c r="E72" s="37"/>
      <c r="F72" s="38"/>
      <c r="G72" s="39"/>
      <c r="H72" s="38"/>
      <c r="I72" s="38"/>
      <c r="J72" s="38"/>
      <c r="K72" s="61"/>
      <c r="L72" s="128"/>
      <c r="M72" s="38"/>
      <c r="N72" s="38"/>
      <c r="O72" s="38"/>
      <c r="Q72" s="151">
        <f t="shared" si="6"/>
        <v>0</v>
      </c>
    </row>
    <row r="73" spans="1:17" x14ac:dyDescent="0.25">
      <c r="A73" s="37"/>
      <c r="B73" s="37"/>
      <c r="C73" s="37"/>
      <c r="D73" s="37"/>
      <c r="E73" s="37"/>
      <c r="F73" s="38"/>
      <c r="G73" s="39"/>
      <c r="H73" s="38"/>
      <c r="I73" s="38"/>
      <c r="J73" s="38"/>
      <c r="K73" s="61"/>
      <c r="L73" s="128"/>
      <c r="M73" s="38"/>
      <c r="N73" s="38"/>
      <c r="O73" s="38"/>
      <c r="Q73" s="151">
        <f t="shared" ref="Q73:Q100" si="12">J73-I73-H73</f>
        <v>0</v>
      </c>
    </row>
    <row r="74" spans="1:17" x14ac:dyDescent="0.25">
      <c r="A74" s="37"/>
      <c r="B74" s="37"/>
      <c r="C74" s="37"/>
      <c r="D74" s="37"/>
      <c r="E74" s="37"/>
      <c r="F74" s="38"/>
      <c r="G74" s="39"/>
      <c r="H74" s="38"/>
      <c r="I74" s="38"/>
      <c r="J74" s="38"/>
      <c r="K74" s="61"/>
      <c r="L74" s="128"/>
      <c r="M74" s="38"/>
      <c r="N74" s="38"/>
      <c r="O74" s="38"/>
      <c r="Q74" s="151">
        <f t="shared" si="12"/>
        <v>0</v>
      </c>
    </row>
    <row r="75" spans="1:17" x14ac:dyDescent="0.25">
      <c r="A75" s="37"/>
      <c r="B75" s="37"/>
      <c r="C75" s="37"/>
      <c r="D75" s="37"/>
      <c r="E75" s="37"/>
      <c r="F75" s="38"/>
      <c r="G75" s="39"/>
      <c r="H75" s="38"/>
      <c r="I75" s="38"/>
      <c r="J75" s="38"/>
      <c r="K75" s="61"/>
      <c r="L75" s="128"/>
      <c r="M75" s="38"/>
      <c r="N75" s="38"/>
      <c r="O75" s="38"/>
      <c r="Q75" s="151">
        <f t="shared" si="12"/>
        <v>0</v>
      </c>
    </row>
    <row r="76" spans="1:17" x14ac:dyDescent="0.25">
      <c r="A76" s="37"/>
      <c r="B76" s="37"/>
      <c r="C76" s="37"/>
      <c r="D76" s="37"/>
      <c r="E76" s="37"/>
      <c r="F76" s="38"/>
      <c r="G76" s="39"/>
      <c r="H76" s="38"/>
      <c r="I76" s="38"/>
      <c r="J76" s="38"/>
      <c r="K76" s="61"/>
      <c r="L76" s="128"/>
      <c r="M76" s="38"/>
      <c r="N76" s="38"/>
      <c r="O76" s="38"/>
      <c r="Q76" s="151">
        <f t="shared" si="12"/>
        <v>0</v>
      </c>
    </row>
    <row r="77" spans="1:17" x14ac:dyDescent="0.25">
      <c r="A77" s="37"/>
      <c r="B77" s="37"/>
      <c r="C77" s="37"/>
      <c r="D77" s="37"/>
      <c r="E77" s="37"/>
      <c r="F77" s="38"/>
      <c r="G77" s="39"/>
      <c r="H77" s="38"/>
      <c r="I77" s="38"/>
      <c r="J77" s="38"/>
      <c r="K77" s="61"/>
      <c r="L77" s="128"/>
      <c r="M77" s="38"/>
      <c r="N77" s="38"/>
      <c r="O77" s="38"/>
      <c r="Q77" s="151">
        <f t="shared" si="12"/>
        <v>0</v>
      </c>
    </row>
    <row r="78" spans="1:17" x14ac:dyDescent="0.25">
      <c r="A78" s="37"/>
      <c r="B78" s="37"/>
      <c r="C78" s="37"/>
      <c r="D78" s="37"/>
      <c r="E78" s="37"/>
      <c r="F78" s="38"/>
      <c r="G78" s="39"/>
      <c r="H78" s="38"/>
      <c r="I78" s="38"/>
      <c r="J78" s="38"/>
      <c r="K78" s="61"/>
      <c r="L78" s="128"/>
      <c r="M78" s="38"/>
      <c r="N78" s="38"/>
      <c r="O78" s="38"/>
      <c r="Q78" s="151">
        <f t="shared" si="12"/>
        <v>0</v>
      </c>
    </row>
    <row r="79" spans="1:17" x14ac:dyDescent="0.25">
      <c r="A79" s="37"/>
      <c r="B79" s="37"/>
      <c r="C79" s="37"/>
      <c r="D79" s="37"/>
      <c r="E79" s="37"/>
      <c r="F79" s="38"/>
      <c r="G79" s="39"/>
      <c r="H79" s="38"/>
      <c r="I79" s="38"/>
      <c r="J79" s="38"/>
      <c r="K79" s="61"/>
      <c r="L79" s="97"/>
      <c r="M79" s="97"/>
      <c r="N79" s="97"/>
      <c r="O79" s="97"/>
      <c r="Q79" s="151">
        <f t="shared" si="12"/>
        <v>0</v>
      </c>
    </row>
    <row r="80" spans="1:17" x14ac:dyDescent="0.25">
      <c r="A80" s="37"/>
      <c r="B80" s="37"/>
      <c r="C80" s="37"/>
      <c r="D80" s="37"/>
      <c r="E80" s="37"/>
      <c r="F80" s="38"/>
      <c r="G80" s="39"/>
      <c r="H80" s="38"/>
      <c r="I80" s="38"/>
      <c r="J80" s="38"/>
      <c r="K80" s="61"/>
      <c r="L80" s="97"/>
      <c r="M80" s="97"/>
      <c r="N80" s="97"/>
      <c r="O80" s="97"/>
      <c r="Q80" s="151">
        <f t="shared" si="12"/>
        <v>0</v>
      </c>
    </row>
    <row r="81" spans="1:17" x14ac:dyDescent="0.25">
      <c r="A81" s="37"/>
      <c r="B81" s="37"/>
      <c r="C81" s="37"/>
      <c r="D81" s="37"/>
      <c r="E81" s="37"/>
      <c r="F81" s="38"/>
      <c r="G81" s="39"/>
      <c r="H81" s="38"/>
      <c r="I81" s="38"/>
      <c r="J81" s="38"/>
      <c r="K81" s="61"/>
      <c r="L81" s="97"/>
      <c r="M81" s="97"/>
      <c r="N81" s="97"/>
      <c r="O81" s="97"/>
      <c r="Q81" s="151">
        <f t="shared" si="12"/>
        <v>0</v>
      </c>
    </row>
    <row r="82" spans="1:17" x14ac:dyDescent="0.25">
      <c r="A82" s="37"/>
      <c r="B82" s="37"/>
      <c r="C82" s="37"/>
      <c r="D82" s="37"/>
      <c r="E82" s="37"/>
      <c r="F82" s="38"/>
      <c r="G82" s="39"/>
      <c r="H82" s="38"/>
      <c r="I82" s="38"/>
      <c r="J82" s="38"/>
      <c r="K82" s="61"/>
      <c r="L82" s="97"/>
      <c r="M82" s="97"/>
      <c r="N82" s="97"/>
      <c r="O82" s="97"/>
      <c r="Q82" s="151">
        <f t="shared" si="12"/>
        <v>0</v>
      </c>
    </row>
    <row r="83" spans="1:17" x14ac:dyDescent="0.25">
      <c r="A83" s="37"/>
      <c r="B83" s="37"/>
      <c r="C83" s="37"/>
      <c r="D83" s="37"/>
      <c r="E83" s="37"/>
      <c r="F83" s="38"/>
      <c r="G83" s="39"/>
      <c r="H83" s="38"/>
      <c r="I83" s="38"/>
      <c r="J83" s="38"/>
      <c r="K83" s="61"/>
      <c r="L83" s="97"/>
      <c r="M83" s="97"/>
      <c r="N83" s="97"/>
      <c r="O83" s="97"/>
      <c r="Q83" s="151">
        <f t="shared" si="12"/>
        <v>0</v>
      </c>
    </row>
    <row r="84" spans="1:17" x14ac:dyDescent="0.25">
      <c r="A84" s="37"/>
      <c r="B84" s="37"/>
      <c r="C84" s="37"/>
      <c r="D84" s="37"/>
      <c r="E84" s="37"/>
      <c r="F84" s="38"/>
      <c r="G84" s="39"/>
      <c r="H84" s="38"/>
      <c r="I84" s="38"/>
      <c r="J84" s="38"/>
      <c r="K84" s="61"/>
      <c r="L84" s="97"/>
      <c r="M84" s="97"/>
      <c r="N84" s="97"/>
      <c r="O84" s="97"/>
      <c r="Q84" s="151">
        <f t="shared" si="12"/>
        <v>0</v>
      </c>
    </row>
    <row r="85" spans="1:17" x14ac:dyDescent="0.25">
      <c r="A85" s="37"/>
      <c r="B85" s="37"/>
      <c r="C85" s="37"/>
      <c r="D85" s="37"/>
      <c r="E85" s="37"/>
      <c r="F85" s="38"/>
      <c r="G85" s="39"/>
      <c r="H85" s="38"/>
      <c r="I85" s="38"/>
      <c r="J85" s="38"/>
      <c r="K85" s="61"/>
      <c r="L85" s="97"/>
      <c r="M85" s="97"/>
      <c r="N85" s="97"/>
      <c r="O85" s="97"/>
      <c r="Q85" s="151">
        <f t="shared" si="12"/>
        <v>0</v>
      </c>
    </row>
    <row r="86" spans="1:17" x14ac:dyDescent="0.25">
      <c r="A86" s="37"/>
      <c r="B86" s="37"/>
      <c r="C86" s="37"/>
      <c r="D86" s="37"/>
      <c r="E86" s="37"/>
      <c r="F86" s="38"/>
      <c r="G86" s="39"/>
      <c r="H86" s="38"/>
      <c r="I86" s="38"/>
      <c r="J86" s="38"/>
      <c r="K86" s="61"/>
      <c r="L86" s="97"/>
      <c r="M86" s="97"/>
      <c r="N86" s="97"/>
      <c r="O86" s="97"/>
      <c r="Q86" s="151">
        <f t="shared" si="12"/>
        <v>0</v>
      </c>
    </row>
    <row r="87" spans="1:17" x14ac:dyDescent="0.25">
      <c r="A87" s="37"/>
      <c r="B87" s="37"/>
      <c r="C87" s="37"/>
      <c r="D87" s="37"/>
      <c r="E87" s="37"/>
      <c r="F87" s="38"/>
      <c r="G87" s="39"/>
      <c r="H87" s="38"/>
      <c r="I87" s="38"/>
      <c r="J87" s="38"/>
      <c r="K87" s="61"/>
      <c r="L87" s="97"/>
      <c r="M87" s="97"/>
      <c r="N87" s="97"/>
      <c r="O87" s="97"/>
      <c r="Q87" s="151">
        <f t="shared" si="12"/>
        <v>0</v>
      </c>
    </row>
    <row r="88" spans="1:17" x14ac:dyDescent="0.25">
      <c r="A88" s="37"/>
      <c r="B88" s="37"/>
      <c r="C88" s="37"/>
      <c r="D88" s="37"/>
      <c r="E88" s="37"/>
      <c r="F88" s="38"/>
      <c r="G88" s="39"/>
      <c r="H88" s="38"/>
      <c r="I88" s="38"/>
      <c r="J88" s="38"/>
      <c r="K88" s="61"/>
      <c r="L88" s="97"/>
      <c r="M88" s="97"/>
      <c r="N88" s="97"/>
      <c r="O88" s="97"/>
      <c r="Q88" s="151">
        <f t="shared" si="12"/>
        <v>0</v>
      </c>
    </row>
    <row r="89" spans="1:17" x14ac:dyDescent="0.25">
      <c r="A89" s="37"/>
      <c r="B89" s="37"/>
      <c r="C89" s="37"/>
      <c r="D89" s="37"/>
      <c r="E89" s="37"/>
      <c r="F89" s="38"/>
      <c r="G89" s="39"/>
      <c r="H89" s="38"/>
      <c r="I89" s="38"/>
      <c r="J89" s="38"/>
      <c r="K89" s="61"/>
      <c r="L89" s="97"/>
      <c r="M89" s="97"/>
      <c r="N89" s="97"/>
      <c r="O89" s="97"/>
      <c r="Q89" s="151">
        <f t="shared" si="12"/>
        <v>0</v>
      </c>
    </row>
    <row r="90" spans="1:17" x14ac:dyDescent="0.25">
      <c r="A90" s="37"/>
      <c r="B90" s="37"/>
      <c r="C90" s="37"/>
      <c r="D90" s="37"/>
      <c r="E90" s="37"/>
      <c r="F90" s="38"/>
      <c r="G90" s="39"/>
      <c r="H90" s="38"/>
      <c r="I90" s="38"/>
      <c r="J90" s="38"/>
      <c r="K90" s="61"/>
      <c r="L90" s="97"/>
      <c r="M90" s="97"/>
      <c r="N90" s="97"/>
      <c r="O90" s="97"/>
      <c r="Q90" s="151">
        <f t="shared" si="12"/>
        <v>0</v>
      </c>
    </row>
    <row r="91" spans="1:17" x14ac:dyDescent="0.25">
      <c r="A91" s="37"/>
      <c r="B91" s="37"/>
      <c r="C91" s="37"/>
      <c r="D91" s="37"/>
      <c r="E91" s="37"/>
      <c r="F91" s="38"/>
      <c r="G91" s="39"/>
      <c r="H91" s="38"/>
      <c r="I91" s="38"/>
      <c r="J91" s="38"/>
      <c r="K91" s="61"/>
      <c r="L91" s="97"/>
      <c r="M91" s="97"/>
      <c r="N91" s="97"/>
      <c r="O91" s="97"/>
      <c r="Q91" s="151">
        <f t="shared" si="12"/>
        <v>0</v>
      </c>
    </row>
    <row r="92" spans="1:17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97"/>
      <c r="M92" s="97"/>
      <c r="N92" s="97"/>
      <c r="O92" s="97"/>
      <c r="Q92" s="151">
        <f t="shared" si="12"/>
        <v>0</v>
      </c>
    </row>
    <row r="93" spans="1:17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97"/>
      <c r="M93" s="97"/>
      <c r="N93" s="97"/>
      <c r="O93" s="97"/>
      <c r="Q93" s="151">
        <f t="shared" si="12"/>
        <v>0</v>
      </c>
    </row>
    <row r="94" spans="1:17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97"/>
      <c r="M94" s="97"/>
      <c r="N94" s="97"/>
      <c r="O94" s="97"/>
      <c r="Q94" s="151">
        <f t="shared" si="12"/>
        <v>0</v>
      </c>
    </row>
    <row r="95" spans="1:17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97"/>
      <c r="M95" s="97"/>
      <c r="N95" s="97"/>
      <c r="O95" s="97"/>
      <c r="Q95" s="151">
        <f t="shared" si="12"/>
        <v>0</v>
      </c>
    </row>
    <row r="96" spans="1:17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97"/>
      <c r="M96" s="97"/>
      <c r="N96" s="97"/>
      <c r="O96" s="97"/>
      <c r="Q96" s="151">
        <f t="shared" si="12"/>
        <v>0</v>
      </c>
    </row>
    <row r="97" spans="1:17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97"/>
      <c r="M97" s="97"/>
      <c r="N97" s="97"/>
      <c r="O97" s="97"/>
      <c r="Q97" s="151">
        <f t="shared" si="12"/>
        <v>0</v>
      </c>
    </row>
    <row r="98" spans="1:17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97"/>
      <c r="M98" s="97"/>
      <c r="N98" s="97"/>
      <c r="O98" s="97"/>
      <c r="Q98" s="151">
        <f t="shared" si="12"/>
        <v>0</v>
      </c>
    </row>
    <row r="99" spans="1:17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97"/>
      <c r="M99" s="97"/>
      <c r="N99" s="97"/>
      <c r="O99" s="97"/>
      <c r="Q99" s="151">
        <f t="shared" si="12"/>
        <v>0</v>
      </c>
    </row>
    <row r="100" spans="1:17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97"/>
      <c r="M100" s="97"/>
      <c r="N100" s="97"/>
      <c r="O100" s="97"/>
      <c r="Q100" s="151">
        <f t="shared" si="12"/>
        <v>0</v>
      </c>
    </row>
  </sheetData>
  <autoFilter ref="A7:K78"/>
  <mergeCells count="6">
    <mergeCell ref="V7:W7"/>
    <mergeCell ref="A3:D3"/>
    <mergeCell ref="A4:D4"/>
    <mergeCell ref="A2:D2"/>
    <mergeCell ref="A1:D1"/>
    <mergeCell ref="S7:T7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1"/>
  <sheetViews>
    <sheetView zoomScale="90" zoomScaleNormal="90" workbookViewId="0">
      <selection activeCell="B27" sqref="B27"/>
    </sheetView>
  </sheetViews>
  <sheetFormatPr defaultColWidth="9.140625" defaultRowHeight="12.75" x14ac:dyDescent="0.2"/>
  <cols>
    <col min="1" max="1" width="32.28515625" style="66" customWidth="1"/>
    <col min="2" max="2" width="24.28515625" style="71" customWidth="1"/>
    <col min="3" max="3" width="18.85546875" style="66" customWidth="1"/>
    <col min="4" max="4" width="11" style="66" bestFit="1" customWidth="1"/>
    <col min="5" max="16384" width="9.140625" style="66"/>
  </cols>
  <sheetData>
    <row r="1" spans="1:5" x14ac:dyDescent="0.2">
      <c r="A1" s="224" t="s">
        <v>422</v>
      </c>
      <c r="B1" s="224"/>
      <c r="C1" s="224"/>
    </row>
    <row r="2" spans="1:5" x14ac:dyDescent="0.2">
      <c r="A2" s="64" t="str">
        <f>'портефль до погашения'!D7</f>
        <v>Наименование ЦБ</v>
      </c>
      <c r="B2" s="65" t="str">
        <f>'портефль до погашения'!F7</f>
        <v>Вложения (руб) на 01.01.2021</v>
      </c>
      <c r="C2" s="126" t="s">
        <v>105</v>
      </c>
    </row>
    <row r="3" spans="1:5" x14ac:dyDescent="0.2">
      <c r="A3" s="98" t="s">
        <v>195</v>
      </c>
      <c r="B3" s="99">
        <v>66237312.219999999</v>
      </c>
      <c r="C3" s="100" t="s">
        <v>298</v>
      </c>
      <c r="E3" s="66" t="s">
        <v>302</v>
      </c>
    </row>
    <row r="4" spans="1:5" x14ac:dyDescent="0.2">
      <c r="A4" s="98" t="s">
        <v>488</v>
      </c>
      <c r="B4" s="99">
        <v>423410014.21999997</v>
      </c>
      <c r="C4" s="100" t="s">
        <v>298</v>
      </c>
      <c r="E4" s="66" t="s">
        <v>319</v>
      </c>
    </row>
    <row r="5" spans="1:5" x14ac:dyDescent="0.2">
      <c r="A5" s="98" t="s">
        <v>110</v>
      </c>
      <c r="B5" s="99">
        <v>44305378.879999995</v>
      </c>
      <c r="C5" s="100" t="s">
        <v>297</v>
      </c>
    </row>
    <row r="6" spans="1:5" x14ac:dyDescent="0.2">
      <c r="A6" s="98"/>
      <c r="B6" s="99"/>
      <c r="C6" s="100"/>
    </row>
    <row r="7" spans="1:5" x14ac:dyDescent="0.2">
      <c r="A7" s="98" t="s">
        <v>522</v>
      </c>
      <c r="B7" s="99">
        <v>638809638.87</v>
      </c>
      <c r="C7" s="100" t="s">
        <v>297</v>
      </c>
    </row>
    <row r="8" spans="1:5" x14ac:dyDescent="0.2">
      <c r="A8" s="98"/>
      <c r="B8" s="99"/>
      <c r="C8" s="100"/>
    </row>
    <row r="9" spans="1:5" x14ac:dyDescent="0.2">
      <c r="A9" s="98"/>
      <c r="B9" s="99"/>
      <c r="C9" s="100"/>
    </row>
    <row r="10" spans="1:5" x14ac:dyDescent="0.2">
      <c r="A10" s="98"/>
      <c r="B10" s="99"/>
      <c r="C10" s="100"/>
    </row>
    <row r="11" spans="1:5" x14ac:dyDescent="0.2">
      <c r="A11" s="67"/>
      <c r="B11" s="68"/>
      <c r="C11" s="68"/>
    </row>
    <row r="12" spans="1:5" x14ac:dyDescent="0.2">
      <c r="A12" s="67"/>
      <c r="B12" s="68"/>
      <c r="C12" s="68"/>
    </row>
    <row r="13" spans="1:5" x14ac:dyDescent="0.2">
      <c r="A13" s="67"/>
      <c r="B13" s="68"/>
      <c r="C13" s="68"/>
    </row>
    <row r="14" spans="1:5" x14ac:dyDescent="0.2">
      <c r="A14" s="67"/>
      <c r="B14" s="68"/>
      <c r="C14" s="68"/>
    </row>
    <row r="15" spans="1:5" x14ac:dyDescent="0.2">
      <c r="A15" s="67"/>
      <c r="B15" s="68"/>
      <c r="C15" s="68"/>
    </row>
    <row r="16" spans="1:5" x14ac:dyDescent="0.2">
      <c r="A16" s="67"/>
      <c r="B16" s="68"/>
      <c r="C16" s="68"/>
    </row>
    <row r="17" spans="1:3" x14ac:dyDescent="0.2">
      <c r="A17" s="67"/>
      <c r="B17" s="68"/>
      <c r="C17" s="68"/>
    </row>
    <row r="18" spans="1:3" x14ac:dyDescent="0.2">
      <c r="A18" s="64"/>
      <c r="B18" s="65"/>
      <c r="C18" s="65"/>
    </row>
    <row r="19" spans="1:3" x14ac:dyDescent="0.2">
      <c r="A19" s="64"/>
      <c r="B19" s="65"/>
      <c r="C19" s="65"/>
    </row>
    <row r="20" spans="1:3" x14ac:dyDescent="0.2">
      <c r="A20" s="64"/>
      <c r="B20" s="65"/>
      <c r="C20" s="65"/>
    </row>
    <row r="21" spans="1:3" x14ac:dyDescent="0.2">
      <c r="A21" s="64"/>
      <c r="B21" s="65"/>
      <c r="C21" s="65"/>
    </row>
    <row r="22" spans="1:3" x14ac:dyDescent="0.2">
      <c r="A22" s="64"/>
      <c r="B22" s="65"/>
      <c r="C22" s="65"/>
    </row>
    <row r="23" spans="1:3" x14ac:dyDescent="0.2">
      <c r="A23" s="64"/>
      <c r="B23" s="65"/>
      <c r="C23" s="65"/>
    </row>
    <row r="24" spans="1:3" x14ac:dyDescent="0.2">
      <c r="A24" s="64"/>
      <c r="B24" s="65"/>
      <c r="C24" s="65"/>
    </row>
    <row r="25" spans="1:3" x14ac:dyDescent="0.2">
      <c r="A25" s="64"/>
      <c r="B25" s="65"/>
      <c r="C25" s="65"/>
    </row>
    <row r="26" spans="1:3" x14ac:dyDescent="0.2">
      <c r="A26" s="69" t="s">
        <v>15</v>
      </c>
      <c r="B26" s="70">
        <f>SUM(B3:B25)</f>
        <v>1172762344.1900001</v>
      </c>
      <c r="C26" s="70"/>
    </row>
    <row r="33" spans="1:2" x14ac:dyDescent="0.2">
      <c r="A33" s="66" t="s">
        <v>19</v>
      </c>
      <c r="B33" s="71">
        <f>B26/1000000-B34</f>
        <v>0</v>
      </c>
    </row>
    <row r="34" spans="1:2" x14ac:dyDescent="0.2">
      <c r="A34" s="69" t="s">
        <v>15</v>
      </c>
      <c r="B34" s="70">
        <f>SUM(B35:B51)</f>
        <v>1172.76234419</v>
      </c>
    </row>
    <row r="35" spans="1:2" x14ac:dyDescent="0.2">
      <c r="A35" s="64" t="s">
        <v>8</v>
      </c>
      <c r="B35" s="65">
        <f>SUMIF(A3:A25,"*турци*",B3:B25)/1000000</f>
        <v>0</v>
      </c>
    </row>
    <row r="36" spans="1:2" x14ac:dyDescent="0.2">
      <c r="A36" s="64" t="s">
        <v>6</v>
      </c>
      <c r="B36" s="65">
        <f>SUMIF(A3:A25,"*элемент*",B3:B25)/1000000</f>
        <v>44.305378879999992</v>
      </c>
    </row>
    <row r="37" spans="1:2" x14ac:dyDescent="0.2">
      <c r="A37" s="64" t="s">
        <v>9</v>
      </c>
      <c r="B37" s="65">
        <f>SUMIF(A3:A25,"*трансфи*",B3:B25)/1000000</f>
        <v>0</v>
      </c>
    </row>
    <row r="38" spans="1:2" x14ac:dyDescent="0.2">
      <c r="A38" s="64" t="s">
        <v>7</v>
      </c>
      <c r="B38" s="65">
        <f>SUMIF(A3:A25,"*пик*",B3:B25)/1000000</f>
        <v>0</v>
      </c>
    </row>
    <row r="39" spans="1:2" x14ac:dyDescent="0.2">
      <c r="A39" s="64" t="s">
        <v>17</v>
      </c>
      <c r="B39" s="65">
        <f>SUMIF(A3:A25,"*мечел*",B3:B25)/1000000</f>
        <v>0</v>
      </c>
    </row>
    <row r="40" spans="1:2" x14ac:dyDescent="0.2">
      <c r="A40" s="64" t="s">
        <v>18</v>
      </c>
      <c r="B40" s="65">
        <f>SUMIF(A3:A25,"*открытие*",B3:B25)/1000000</f>
        <v>0</v>
      </c>
    </row>
    <row r="41" spans="1:2" x14ac:dyDescent="0.2">
      <c r="A41" s="64" t="s">
        <v>20</v>
      </c>
      <c r="B41" s="65">
        <f>SUMIF(A3:A25,"*европа бан*",B3:B25)/1000000</f>
        <v>0</v>
      </c>
    </row>
    <row r="42" spans="1:2" x14ac:dyDescent="0.2">
      <c r="A42" s="64" t="s">
        <v>292</v>
      </c>
      <c r="B42" s="65">
        <f>SUMIF(A3:A26,"*русал*",B3:B26)/1000000</f>
        <v>705.04695108999999</v>
      </c>
    </row>
    <row r="43" spans="1:2" x14ac:dyDescent="0.2">
      <c r="A43" s="64" t="s">
        <v>487</v>
      </c>
      <c r="B43" s="65">
        <f>SUMIF(A4:A27,"*беларусь*",B4:B27)/1000000</f>
        <v>423.41001421999999</v>
      </c>
    </row>
    <row r="44" spans="1:2" x14ac:dyDescent="0.2">
      <c r="A44" s="64"/>
      <c r="B44" s="65"/>
    </row>
    <row r="45" spans="1:2" x14ac:dyDescent="0.2">
      <c r="A45" s="64"/>
      <c r="B45" s="65"/>
    </row>
    <row r="46" spans="1:2" x14ac:dyDescent="0.2">
      <c r="A46" s="64"/>
      <c r="B46" s="65"/>
    </row>
    <row r="47" spans="1:2" x14ac:dyDescent="0.2">
      <c r="A47" s="64"/>
      <c r="B47" s="65"/>
    </row>
    <row r="48" spans="1:2" x14ac:dyDescent="0.2">
      <c r="A48" s="64"/>
      <c r="B48" s="65"/>
    </row>
    <row r="49" spans="1:2" x14ac:dyDescent="0.2">
      <c r="A49" s="64"/>
      <c r="B49" s="65"/>
    </row>
    <row r="50" spans="1:2" x14ac:dyDescent="0.2">
      <c r="A50" s="64"/>
      <c r="B50" s="65"/>
    </row>
    <row r="51" spans="1:2" x14ac:dyDescent="0.2">
      <c r="A51" s="64"/>
      <c r="B51" s="65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26"/>
  <sheetViews>
    <sheetView zoomScale="80" zoomScaleNormal="80" workbookViewId="0">
      <selection activeCell="Z25" sqref="Z25"/>
    </sheetView>
  </sheetViews>
  <sheetFormatPr defaultColWidth="9.140625" defaultRowHeight="12.75" x14ac:dyDescent="0.2"/>
  <cols>
    <col min="1" max="1" width="19.42578125" style="47" customWidth="1"/>
    <col min="2" max="2" width="13.28515625" style="47" customWidth="1"/>
    <col min="3" max="5" width="10.5703125" style="47" customWidth="1"/>
    <col min="6" max="6" width="14.5703125" style="47" customWidth="1"/>
    <col min="7" max="7" width="10.7109375" style="47" bestFit="1" customWidth="1"/>
    <col min="8" max="8" width="10.7109375" style="47" customWidth="1"/>
    <col min="9" max="9" width="16" style="48" customWidth="1"/>
    <col min="10" max="10" width="17.42578125" style="48" customWidth="1"/>
    <col min="11" max="11" width="11.85546875" style="47" customWidth="1"/>
    <col min="12" max="12" width="9.140625" style="47"/>
    <col min="13" max="13" width="11.85546875" style="47" customWidth="1"/>
    <col min="14" max="14" width="13.5703125" style="47" customWidth="1"/>
    <col min="15" max="15" width="12.5703125" style="47" customWidth="1"/>
    <col min="16" max="16" width="9.140625" style="47"/>
    <col min="17" max="17" width="9.42578125" style="47" customWidth="1"/>
    <col min="18" max="18" width="10" style="47" customWidth="1"/>
    <col min="19" max="19" width="14.5703125" style="47" customWidth="1"/>
    <col min="20" max="21" width="9.140625" style="47"/>
    <col min="22" max="22" width="14.85546875" style="47" customWidth="1"/>
    <col min="23" max="29" width="9.140625" style="47"/>
    <col min="30" max="30" width="13.7109375" style="47" customWidth="1"/>
    <col min="31" max="31" width="9.140625" style="47"/>
    <col min="32" max="32" width="22.5703125" style="47" customWidth="1"/>
    <col min="33" max="16384" width="9.140625" style="47"/>
  </cols>
  <sheetData>
    <row r="1" spans="1:32" x14ac:dyDescent="0.2">
      <c r="H1" s="227" t="s">
        <v>122</v>
      </c>
      <c r="I1" s="228"/>
      <c r="J1" s="228"/>
      <c r="K1" s="229"/>
      <c r="M1" s="227" t="s">
        <v>122</v>
      </c>
      <c r="N1" s="228"/>
      <c r="O1" s="228"/>
      <c r="P1" s="229"/>
    </row>
    <row r="2" spans="1:32" ht="14.45" customHeight="1" x14ac:dyDescent="0.2">
      <c r="A2" s="225" t="s">
        <v>287</v>
      </c>
      <c r="B2" s="225"/>
      <c r="C2" s="225"/>
      <c r="D2" s="225"/>
      <c r="E2" s="225"/>
      <c r="F2" s="225"/>
      <c r="H2" s="227" t="s">
        <v>123</v>
      </c>
      <c r="I2" s="229"/>
      <c r="J2" s="105" t="s">
        <v>59</v>
      </c>
      <c r="K2" s="106">
        <v>0.75</v>
      </c>
      <c r="M2" s="227" t="s">
        <v>30</v>
      </c>
      <c r="N2" s="229"/>
      <c r="O2" s="105" t="s">
        <v>59</v>
      </c>
      <c r="P2" s="106">
        <v>1</v>
      </c>
      <c r="R2" s="226" t="s">
        <v>270</v>
      </c>
      <c r="S2" s="226"/>
      <c r="T2" s="226"/>
      <c r="U2" s="226"/>
      <c r="V2" s="226"/>
      <c r="W2" s="226"/>
      <c r="X2" s="226"/>
    </row>
    <row r="3" spans="1:32" ht="38.25" x14ac:dyDescent="0.2">
      <c r="A3" s="49" t="s">
        <v>60</v>
      </c>
      <c r="B3" s="49" t="s">
        <v>124</v>
      </c>
      <c r="C3" s="49" t="s">
        <v>61</v>
      </c>
      <c r="D3" s="49" t="s">
        <v>62</v>
      </c>
      <c r="E3" s="49" t="s">
        <v>63</v>
      </c>
      <c r="F3" s="49" t="s">
        <v>125</v>
      </c>
      <c r="G3" s="50"/>
      <c r="H3" s="49" t="s">
        <v>64</v>
      </c>
      <c r="I3" s="51" t="s">
        <v>65</v>
      </c>
      <c r="J3" s="51" t="s">
        <v>66</v>
      </c>
      <c r="K3" s="49" t="s">
        <v>54</v>
      </c>
      <c r="L3" s="50"/>
      <c r="M3" s="49" t="s">
        <v>64</v>
      </c>
      <c r="N3" s="51" t="s">
        <v>65</v>
      </c>
      <c r="O3" s="51" t="s">
        <v>66</v>
      </c>
      <c r="P3" s="49" t="s">
        <v>54</v>
      </c>
      <c r="R3" s="49" t="str">
        <f>B3</f>
        <v>Универсальная шкала</v>
      </c>
      <c r="S3" s="49" t="s">
        <v>64</v>
      </c>
      <c r="T3" s="51" t="s">
        <v>59</v>
      </c>
      <c r="U3" s="51"/>
      <c r="V3" s="49" t="s">
        <v>286</v>
      </c>
    </row>
    <row r="4" spans="1:32" x14ac:dyDescent="0.2">
      <c r="A4" s="52" t="s">
        <v>67</v>
      </c>
      <c r="B4" s="53" t="s">
        <v>68</v>
      </c>
      <c r="C4" s="54">
        <v>0</v>
      </c>
      <c r="D4" s="54">
        <v>1.2004801920768311E-3</v>
      </c>
      <c r="E4" s="54">
        <v>0</v>
      </c>
      <c r="F4" s="55">
        <v>1.0000000000000001E-5</v>
      </c>
      <c r="H4" s="54">
        <v>0.23994001499750031</v>
      </c>
      <c r="I4" s="56">
        <v>7.500000000000001E-6</v>
      </c>
      <c r="J4" s="56">
        <v>1.1895639320110399E-4</v>
      </c>
      <c r="K4" s="57">
        <v>1.26456393201104E-4</v>
      </c>
      <c r="M4" s="54">
        <v>0.23994001499750031</v>
      </c>
      <c r="N4" s="56">
        <v>1.0000000000000001E-5</v>
      </c>
      <c r="O4" s="56">
        <v>1.5860852426813866E-4</v>
      </c>
      <c r="P4" s="57">
        <v>1.6860852426813866E-4</v>
      </c>
      <c r="R4" s="53" t="str">
        <f>B4</f>
        <v>AAA</v>
      </c>
      <c r="S4" s="54">
        <f>0.06*((1-EXP(-50*F4)/(1-EXP(-50))))+0.12*(1-(1-EXP(-50*F4)/(1-EXP(-50))))</f>
        <v>0.11997000749875016</v>
      </c>
      <c r="T4" s="56">
        <f>1-0.90736*(1-F4^0.30224)^4.5948</f>
        <v>0.21419364827164478</v>
      </c>
      <c r="U4" s="56">
        <f>(_xlfn.NORM.S.INV(F4)+S4^0.5*_xlfn.NORM.S.INV($X$6))/((1-S4)^0.5)</f>
        <v>-3.9603832592162522</v>
      </c>
      <c r="V4" s="142">
        <f>(_xlfn.NORM.S.DIST(U4,TRUE)-F4)*T4</f>
        <v>5.8720726259145595E-6</v>
      </c>
      <c r="X4" s="130">
        <f>_xlfn.NORM.DIST(-0.04,'FRED Graph - раз в квартал'!E1,'FRED Graph - раз в квартал'!E2,TRUE)</f>
        <v>5.6264675349641573E-2</v>
      </c>
      <c r="Y4" s="140" t="s">
        <v>285</v>
      </c>
      <c r="Z4" s="139" t="s">
        <v>299</v>
      </c>
      <c r="AF4" s="141"/>
    </row>
    <row r="5" spans="1:32" x14ac:dyDescent="0.2">
      <c r="A5" s="52" t="s">
        <v>69</v>
      </c>
      <c r="B5" s="53" t="s">
        <v>70</v>
      </c>
      <c r="C5" s="54">
        <v>0</v>
      </c>
      <c r="D5" s="54">
        <v>0</v>
      </c>
      <c r="E5" s="54">
        <v>0</v>
      </c>
      <c r="F5" s="55">
        <v>5.0000000000000002E-5</v>
      </c>
      <c r="H5" s="54">
        <v>0.2397003746876952</v>
      </c>
      <c r="I5" s="56">
        <v>3.7500000000000003E-5</v>
      </c>
      <c r="J5" s="56">
        <v>5.628953701183625E-4</v>
      </c>
      <c r="K5" s="57">
        <v>6.0039537011836249E-4</v>
      </c>
      <c r="M5" s="54">
        <v>0.2397003746876952</v>
      </c>
      <c r="N5" s="56">
        <v>5.0000000000000002E-5</v>
      </c>
      <c r="O5" s="56">
        <v>7.5052716015781655E-4</v>
      </c>
      <c r="P5" s="57">
        <v>8.0052716015781658E-4</v>
      </c>
      <c r="R5" s="53" t="str">
        <f t="shared" ref="R5:R26" si="0">B5</f>
        <v>AA+</v>
      </c>
      <c r="S5" s="54">
        <f>0.06*((1-EXP(-50*F5)/(1-EXP(-50))))+0.12*(1-(1-EXP(-50*F5)/(1-EXP(-50))))</f>
        <v>0.1198501873438476</v>
      </c>
      <c r="T5" s="56">
        <f t="shared" ref="T5:T24" si="1">1-0.90736*(1-F5^0.30224)^4.5948</f>
        <v>0.28359120437045782</v>
      </c>
      <c r="U5" s="56">
        <f t="shared" ref="U5:U24" si="2">(_xlfn.NORM.S.INV(F5)+S5^0.5*_xlfn.NORM.S.INV($X$6))/((1-S5)^0.5)</f>
        <v>-3.5614363089451793</v>
      </c>
      <c r="V5" s="142">
        <f t="shared" ref="V5:V24" si="3">(_xlfn.NORM.S.DIST(U5,TRUE)-F5)*T5</f>
        <v>3.8119136529112897E-5</v>
      </c>
      <c r="Z5" s="47" t="s">
        <v>300</v>
      </c>
      <c r="AF5" s="141"/>
    </row>
    <row r="6" spans="1:32" x14ac:dyDescent="0.2">
      <c r="A6" s="52" t="s">
        <v>71</v>
      </c>
      <c r="B6" s="53" t="s">
        <v>72</v>
      </c>
      <c r="C6" s="54">
        <v>2.0000000000000001E-4</v>
      </c>
      <c r="D6" s="54">
        <v>0</v>
      </c>
      <c r="E6" s="54">
        <v>0</v>
      </c>
      <c r="F6" s="58">
        <v>6.666666666666667E-5</v>
      </c>
      <c r="H6" s="54">
        <v>0.23960066592654278</v>
      </c>
      <c r="I6" s="56">
        <v>5.0000000000000002E-5</v>
      </c>
      <c r="J6" s="56">
        <v>7.3918043068642845E-4</v>
      </c>
      <c r="K6" s="57">
        <v>7.8918043068642847E-4</v>
      </c>
      <c r="M6" s="54">
        <v>0.23960066592654278</v>
      </c>
      <c r="N6" s="56">
        <v>6.666666666666667E-5</v>
      </c>
      <c r="O6" s="56">
        <v>9.855739075819046E-4</v>
      </c>
      <c r="P6" s="57">
        <v>1.0522405742485713E-3</v>
      </c>
      <c r="R6" s="53" t="str">
        <f t="shared" si="0"/>
        <v>AA</v>
      </c>
      <c r="S6" s="54">
        <f t="shared" ref="S6:S24" si="4">0.06*((1-EXP(-50*F6)/(1-EXP(-50))))+0.12*(1-(1-EXP(-50*F6)/(1-EXP(-50))))</f>
        <v>0.11980033296327139</v>
      </c>
      <c r="T6" s="56">
        <f t="shared" si="1"/>
        <v>0.29923555646084898</v>
      </c>
      <c r="U6" s="56">
        <f t="shared" si="2"/>
        <v>-3.4864478147991096</v>
      </c>
      <c r="V6" s="142">
        <f t="shared" si="3"/>
        <v>5.3286003595003531E-5</v>
      </c>
      <c r="X6" s="47">
        <f>1-X4</f>
        <v>0.94373532465035848</v>
      </c>
      <c r="AF6" s="141"/>
    </row>
    <row r="7" spans="1:32" x14ac:dyDescent="0.2">
      <c r="A7" s="52" t="s">
        <v>73</v>
      </c>
      <c r="B7" s="53" t="s">
        <v>74</v>
      </c>
      <c r="C7" s="54">
        <v>2.9999999999999997E-4</v>
      </c>
      <c r="D7" s="54">
        <v>8.3565459610027897E-4</v>
      </c>
      <c r="E7" s="54">
        <v>4.0000000000000002E-4</v>
      </c>
      <c r="F7" s="58">
        <v>2.9999999999999997E-4</v>
      </c>
      <c r="H7" s="54">
        <v>0.2382134327523675</v>
      </c>
      <c r="I7" s="56">
        <v>2.2499999999999999E-4</v>
      </c>
      <c r="J7" s="56">
        <v>2.9692034086054981E-3</v>
      </c>
      <c r="K7" s="57">
        <v>3.194203408605498E-3</v>
      </c>
      <c r="M7" s="54">
        <v>0.2382134327523675</v>
      </c>
      <c r="N7" s="56">
        <v>2.9999999999999997E-4</v>
      </c>
      <c r="O7" s="56">
        <v>3.9589378781406644E-3</v>
      </c>
      <c r="P7" s="57">
        <v>4.2589378781406643E-3</v>
      </c>
      <c r="R7" s="53" t="str">
        <f t="shared" si="0"/>
        <v>AA-</v>
      </c>
      <c r="S7" s="54">
        <f t="shared" si="4"/>
        <v>0.11910671637618375</v>
      </c>
      <c r="T7" s="56">
        <f t="shared" si="1"/>
        <v>0.40019222236216223</v>
      </c>
      <c r="U7" s="56">
        <f t="shared" si="2"/>
        <v>-3.0727279514876447</v>
      </c>
      <c r="V7" s="142">
        <f t="shared" si="3"/>
        <v>3.0436972137205896E-4</v>
      </c>
      <c r="AF7" s="141"/>
    </row>
    <row r="8" spans="1:32" x14ac:dyDescent="0.2">
      <c r="A8" s="52" t="s">
        <v>75</v>
      </c>
      <c r="B8" s="53" t="s">
        <v>76</v>
      </c>
      <c r="C8" s="54">
        <v>5.0000000000000001E-4</v>
      </c>
      <c r="D8" s="54">
        <v>0</v>
      </c>
      <c r="E8" s="54">
        <v>6.9999999999999999E-4</v>
      </c>
      <c r="F8" s="58">
        <v>4.0000000000000002E-4</v>
      </c>
      <c r="H8" s="54">
        <v>0.23762384079681062</v>
      </c>
      <c r="I8" s="56">
        <v>3.0000000000000003E-4</v>
      </c>
      <c r="J8" s="56">
        <v>3.843402011809249E-3</v>
      </c>
      <c r="K8" s="57">
        <v>4.1434020118092489E-3</v>
      </c>
      <c r="M8" s="54">
        <v>0.23762384079681062</v>
      </c>
      <c r="N8" s="56">
        <v>4.0000000000000002E-4</v>
      </c>
      <c r="O8" s="56">
        <v>5.124536015745665E-3</v>
      </c>
      <c r="P8" s="57">
        <v>5.5245360157456652E-3</v>
      </c>
      <c r="R8" s="53" t="str">
        <f t="shared" si="0"/>
        <v>A+</v>
      </c>
      <c r="S8" s="54">
        <f t="shared" si="4"/>
        <v>0.11881192039840531</v>
      </c>
      <c r="T8" s="56">
        <f t="shared" si="1"/>
        <v>0.42343262730130093</v>
      </c>
      <c r="U8" s="56">
        <f t="shared" si="2"/>
        <v>-2.9889710499529292</v>
      </c>
      <c r="V8" s="142">
        <f t="shared" si="3"/>
        <v>4.2326040162243963E-4</v>
      </c>
      <c r="AF8" s="141"/>
    </row>
    <row r="9" spans="1:32" x14ac:dyDescent="0.2">
      <c r="A9" s="52" t="s">
        <v>77</v>
      </c>
      <c r="B9" s="53" t="s">
        <v>78</v>
      </c>
      <c r="C9" s="54">
        <v>5.0000000000000001E-4</v>
      </c>
      <c r="D9" s="54">
        <v>7.4217010538815502E-4</v>
      </c>
      <c r="E9" s="54">
        <v>5.0000000000000001E-4</v>
      </c>
      <c r="F9" s="58">
        <v>5.8072336846271835E-4</v>
      </c>
      <c r="H9" s="54">
        <v>0.23656575966003007</v>
      </c>
      <c r="I9" s="56">
        <v>4.3554252634703879E-4</v>
      </c>
      <c r="J9" s="56">
        <v>5.3440207873148736E-3</v>
      </c>
      <c r="K9" s="57">
        <v>5.7795633136619121E-3</v>
      </c>
      <c r="M9" s="54">
        <v>0.23656575966003007</v>
      </c>
      <c r="N9" s="56">
        <v>5.8072336846271835E-4</v>
      </c>
      <c r="O9" s="56">
        <v>7.1253610497531645E-3</v>
      </c>
      <c r="P9" s="57">
        <v>7.7060844182158831E-3</v>
      </c>
      <c r="R9" s="53" t="str">
        <f t="shared" si="0"/>
        <v>A</v>
      </c>
      <c r="S9" s="54">
        <f t="shared" si="4"/>
        <v>0.11828287983001504</v>
      </c>
      <c r="T9" s="56">
        <f t="shared" si="1"/>
        <v>0.45548489943008452</v>
      </c>
      <c r="U9" s="56">
        <f t="shared" si="2"/>
        <v>-2.8779643708103428</v>
      </c>
      <c r="V9" s="142">
        <f t="shared" si="3"/>
        <v>6.4702920812087733E-4</v>
      </c>
      <c r="AF9" s="141"/>
    </row>
    <row r="10" spans="1:32" x14ac:dyDescent="0.2">
      <c r="A10" s="52" t="s">
        <v>79</v>
      </c>
      <c r="B10" s="53" t="s">
        <v>80</v>
      </c>
      <c r="C10" s="54">
        <v>5.9999999999999995E-4</v>
      </c>
      <c r="D10" s="54">
        <v>6.2140748796022988E-4</v>
      </c>
      <c r="E10" s="54">
        <v>5.9999999999999995E-4</v>
      </c>
      <c r="F10" s="58">
        <v>6.0713582932007655E-4</v>
      </c>
      <c r="H10" s="54">
        <v>0.23641192183506024</v>
      </c>
      <c r="I10" s="56">
        <v>4.5535187199005742E-4</v>
      </c>
      <c r="J10" s="56">
        <v>5.5561470338647513E-3</v>
      </c>
      <c r="K10" s="57">
        <v>6.0114989058548084E-3</v>
      </c>
      <c r="M10" s="54">
        <v>0.23641192183506024</v>
      </c>
      <c r="N10" s="56">
        <v>6.0713582932007655E-4</v>
      </c>
      <c r="O10" s="56">
        <v>7.4081960451530017E-3</v>
      </c>
      <c r="P10" s="57">
        <v>8.0153318744730778E-3</v>
      </c>
      <c r="R10" s="53" t="str">
        <f t="shared" si="0"/>
        <v>A-</v>
      </c>
      <c r="S10" s="54">
        <f t="shared" si="4"/>
        <v>0.11820596091753012</v>
      </c>
      <c r="T10" s="56">
        <f t="shared" si="1"/>
        <v>0.45945372419296093</v>
      </c>
      <c r="U10" s="56">
        <f t="shared" si="2"/>
        <v>-2.8645286364922948</v>
      </c>
      <c r="V10" s="142">
        <f t="shared" si="3"/>
        <v>6.804583752802279E-4</v>
      </c>
      <c r="AF10" s="141"/>
    </row>
    <row r="11" spans="1:32" x14ac:dyDescent="0.2">
      <c r="A11" s="52" t="s">
        <v>81</v>
      </c>
      <c r="B11" s="53" t="s">
        <v>82</v>
      </c>
      <c r="C11" s="54">
        <v>1E-3</v>
      </c>
      <c r="D11" s="54">
        <v>8.8170462894930201E-4</v>
      </c>
      <c r="E11" s="54">
        <v>1.1999999999999999E-3</v>
      </c>
      <c r="F11" s="58">
        <v>1.0272348763164338E-3</v>
      </c>
      <c r="G11" s="59"/>
      <c r="H11" s="54">
        <v>0.23399219703223448</v>
      </c>
      <c r="I11" s="56">
        <v>7.7042615723732543E-4</v>
      </c>
      <c r="J11" s="56">
        <v>8.738288689531035E-3</v>
      </c>
      <c r="K11" s="57">
        <v>9.50871484676836E-3</v>
      </c>
      <c r="M11" s="54">
        <v>0.23399219703223448</v>
      </c>
      <c r="N11" s="56">
        <v>1.0272348763164338E-3</v>
      </c>
      <c r="O11" s="56">
        <v>1.1651051586041379E-2</v>
      </c>
      <c r="P11" s="57">
        <v>1.2678286462357814E-2</v>
      </c>
      <c r="R11" s="53" t="str">
        <f t="shared" si="0"/>
        <v>BBB+</v>
      </c>
      <c r="S11" s="54">
        <f t="shared" si="4"/>
        <v>0.11699609851611724</v>
      </c>
      <c r="T11" s="56">
        <f t="shared" si="1"/>
        <v>0.50865584221063065</v>
      </c>
      <c r="U11" s="56">
        <f t="shared" si="2"/>
        <v>-2.7024434944158235</v>
      </c>
      <c r="V11" s="142">
        <f t="shared" si="3"/>
        <v>1.2280779470535057E-3</v>
      </c>
      <c r="AF11" s="141"/>
    </row>
    <row r="12" spans="1:32" x14ac:dyDescent="0.2">
      <c r="A12" s="52" t="s">
        <v>83</v>
      </c>
      <c r="B12" s="53" t="s">
        <v>84</v>
      </c>
      <c r="C12" s="54">
        <v>1.6000000000000001E-3</v>
      </c>
      <c r="D12" s="54">
        <v>5.5317383487761031E-4</v>
      </c>
      <c r="E12" s="54">
        <v>1.6000000000000001E-3</v>
      </c>
      <c r="F12" s="58">
        <v>1.2510579449592034E-3</v>
      </c>
      <c r="G12" s="59"/>
      <c r="H12" s="54">
        <v>0.23272360461144317</v>
      </c>
      <c r="I12" s="56">
        <v>9.3829345871940251E-4</v>
      </c>
      <c r="J12" s="56">
        <v>1.0313455987455649E-2</v>
      </c>
      <c r="K12" s="57">
        <v>1.1251749446175052E-2</v>
      </c>
      <c r="M12" s="54">
        <v>0.23272360461144317</v>
      </c>
      <c r="N12" s="56">
        <v>1.2510579449592034E-3</v>
      </c>
      <c r="O12" s="56">
        <v>1.3751274649940866E-2</v>
      </c>
      <c r="P12" s="57">
        <v>1.5002332594900069E-2</v>
      </c>
      <c r="R12" s="53" t="str">
        <f t="shared" si="0"/>
        <v>BBB</v>
      </c>
      <c r="S12" s="54">
        <f t="shared" si="4"/>
        <v>0.11636180230572159</v>
      </c>
      <c r="T12" s="56">
        <f t="shared" si="1"/>
        <v>0.52813959279338296</v>
      </c>
      <c r="U12" s="56">
        <f t="shared" si="2"/>
        <v>-2.640108475096298</v>
      </c>
      <c r="V12" s="142">
        <f t="shared" si="3"/>
        <v>1.5278638954797431E-3</v>
      </c>
      <c r="AF12" s="141"/>
    </row>
    <row r="13" spans="1:32" x14ac:dyDescent="0.2">
      <c r="A13" s="52" t="s">
        <v>85</v>
      </c>
      <c r="B13" s="53" t="s">
        <v>86</v>
      </c>
      <c r="C13" s="54">
        <v>2.5000000000000001E-3</v>
      </c>
      <c r="D13" s="54">
        <v>2.6096884684390798E-3</v>
      </c>
      <c r="E13" s="54">
        <v>2.2000000000000001E-3</v>
      </c>
      <c r="F13" s="58">
        <v>2.4365628228130271E-3</v>
      </c>
      <c r="G13" s="59"/>
      <c r="H13" s="54">
        <v>0.22623606025967719</v>
      </c>
      <c r="I13" s="56">
        <v>1.8274221171097702E-3</v>
      </c>
      <c r="J13" s="56">
        <v>1.7696424651275265E-2</v>
      </c>
      <c r="K13" s="57">
        <v>1.9523846768385034E-2</v>
      </c>
      <c r="M13" s="54">
        <v>0.22623606025967719</v>
      </c>
      <c r="N13" s="56">
        <v>2.4365628228130271E-3</v>
      </c>
      <c r="O13" s="56">
        <v>2.3595232868367018E-2</v>
      </c>
      <c r="P13" s="57">
        <v>2.6031795691180044E-2</v>
      </c>
      <c r="R13" s="53" t="str">
        <f t="shared" si="0"/>
        <v>BBB-</v>
      </c>
      <c r="S13" s="54">
        <f t="shared" si="4"/>
        <v>0.11311803012983859</v>
      </c>
      <c r="T13" s="56">
        <f t="shared" si="1"/>
        <v>0.5977367783555928</v>
      </c>
      <c r="U13" s="56">
        <f t="shared" si="2"/>
        <v>-2.4227088233671936</v>
      </c>
      <c r="V13" s="142">
        <f t="shared" si="3"/>
        <v>3.1477246932169281E-3</v>
      </c>
      <c r="AF13" s="141"/>
    </row>
    <row r="14" spans="1:32" x14ac:dyDescent="0.2">
      <c r="A14" s="52" t="s">
        <v>87</v>
      </c>
      <c r="B14" s="53" t="s">
        <v>88</v>
      </c>
      <c r="C14" s="54">
        <v>3.0999999999999999E-3</v>
      </c>
      <c r="D14" s="54">
        <v>2.9585798816568047E-3</v>
      </c>
      <c r="E14" s="54">
        <v>4.1999999999999997E-3</v>
      </c>
      <c r="F14" s="58">
        <v>3.4195266272189343E-3</v>
      </c>
      <c r="G14" s="59"/>
      <c r="H14" s="54">
        <v>0.22114098265767679</v>
      </c>
      <c r="I14" s="56">
        <v>2.5646449704142009E-3</v>
      </c>
      <c r="J14" s="56">
        <v>2.2936734592060654E-2</v>
      </c>
      <c r="K14" s="57">
        <v>2.5501379562474856E-2</v>
      </c>
      <c r="M14" s="54">
        <v>0.22114098265767679</v>
      </c>
      <c r="N14" s="56">
        <v>3.4195266272189343E-3</v>
      </c>
      <c r="O14" s="56">
        <v>3.0582312789414208E-2</v>
      </c>
      <c r="P14" s="57">
        <v>3.4001839416633144E-2</v>
      </c>
      <c r="R14" s="53" t="str">
        <f t="shared" si="0"/>
        <v>BB+</v>
      </c>
      <c r="S14" s="54">
        <f t="shared" si="4"/>
        <v>0.11057049132883839</v>
      </c>
      <c r="T14" s="56">
        <f t="shared" si="1"/>
        <v>0.63492436583847955</v>
      </c>
      <c r="U14" s="56">
        <f t="shared" si="2"/>
        <v>-2.3082432951998535</v>
      </c>
      <c r="V14" s="142">
        <f t="shared" si="3"/>
        <v>4.4909962639405644E-3</v>
      </c>
      <c r="AF14" s="141"/>
    </row>
    <row r="15" spans="1:32" x14ac:dyDescent="0.2">
      <c r="A15" s="52" t="s">
        <v>89</v>
      </c>
      <c r="B15" s="53" t="s">
        <v>90</v>
      </c>
      <c r="C15" s="54">
        <v>5.1000000000000004E-3</v>
      </c>
      <c r="D15" s="54">
        <v>5.6667925953910094E-3</v>
      </c>
      <c r="E15" s="54">
        <v>7.1000000000000004E-3</v>
      </c>
      <c r="F15" s="58">
        <v>5.9555975317970031E-3</v>
      </c>
      <c r="G15" s="59"/>
      <c r="H15" s="54">
        <v>0.20909577067622515</v>
      </c>
      <c r="I15" s="56">
        <v>4.4666981488477525E-3</v>
      </c>
      <c r="J15" s="56">
        <v>3.4072562022427498E-2</v>
      </c>
      <c r="K15" s="57">
        <v>3.853926017127525E-2</v>
      </c>
      <c r="M15" s="54">
        <v>0.20909577067622515</v>
      </c>
      <c r="N15" s="56">
        <v>5.9555975317970031E-3</v>
      </c>
      <c r="O15" s="56">
        <v>4.543008269657E-2</v>
      </c>
      <c r="P15" s="57">
        <v>5.1385680228367002E-2</v>
      </c>
      <c r="R15" s="53" t="str">
        <f t="shared" si="0"/>
        <v>BB</v>
      </c>
      <c r="S15" s="54">
        <f t="shared" si="4"/>
        <v>0.10454788533811257</v>
      </c>
      <c r="T15" s="56">
        <f t="shared" si="1"/>
        <v>0.69737491910567517</v>
      </c>
      <c r="U15" s="56">
        <f t="shared" si="2"/>
        <v>-2.1152753871124177</v>
      </c>
      <c r="V15" s="142">
        <f t="shared" si="3"/>
        <v>7.8438247863801356E-3</v>
      </c>
      <c r="AF15" s="141"/>
    </row>
    <row r="16" spans="1:32" x14ac:dyDescent="0.2">
      <c r="A16" s="52" t="s">
        <v>91</v>
      </c>
      <c r="B16" s="53" t="s">
        <v>92</v>
      </c>
      <c r="C16" s="54">
        <v>9.1000000000000004E-3</v>
      </c>
      <c r="D16" s="54">
        <v>1.0659297275957359E-2</v>
      </c>
      <c r="E16" s="54">
        <v>1.3299999999999999E-2</v>
      </c>
      <c r="F16" s="58">
        <v>1.1019765758652452E-2</v>
      </c>
      <c r="G16" s="59"/>
      <c r="H16" s="54">
        <v>0.18916558794114763</v>
      </c>
      <c r="I16" s="56">
        <v>8.2648243189893389E-3</v>
      </c>
      <c r="J16" s="56">
        <v>5.0182031432826797E-2</v>
      </c>
      <c r="K16" s="57">
        <v>5.8446855751816136E-2</v>
      </c>
      <c r="M16" s="54">
        <v>0.18916558794114763</v>
      </c>
      <c r="N16" s="56">
        <v>1.1019765758652452E-2</v>
      </c>
      <c r="O16" s="56">
        <v>6.6909375243769068E-2</v>
      </c>
      <c r="P16" s="57">
        <v>7.7929141002421515E-2</v>
      </c>
      <c r="R16" s="53" t="str">
        <f t="shared" si="0"/>
        <v>BB-</v>
      </c>
      <c r="S16" s="54">
        <f t="shared" si="4"/>
        <v>9.4582793970573814E-2</v>
      </c>
      <c r="T16" s="56">
        <f t="shared" si="1"/>
        <v>0.76684672787939467</v>
      </c>
      <c r="U16" s="56">
        <f t="shared" si="2"/>
        <v>-1.8934030081191993</v>
      </c>
      <c r="V16" s="142">
        <f t="shared" si="3"/>
        <v>1.3904757877784075E-2</v>
      </c>
      <c r="AF16" s="141"/>
    </row>
    <row r="17" spans="1:32" x14ac:dyDescent="0.2">
      <c r="A17" s="52" t="s">
        <v>93</v>
      </c>
      <c r="B17" s="53" t="s">
        <v>94</v>
      </c>
      <c r="C17" s="54">
        <v>1.9800000000000002E-2</v>
      </c>
      <c r="D17" s="54">
        <v>1.192579505300353E-2</v>
      </c>
      <c r="E17" s="54">
        <v>1.9300000000000001E-2</v>
      </c>
      <c r="F17" s="58">
        <v>1.7008598351001176E-2</v>
      </c>
      <c r="G17" s="59"/>
      <c r="H17" s="54">
        <v>0.1712677461914428</v>
      </c>
      <c r="I17" s="56">
        <v>1.2756448763250883E-2</v>
      </c>
      <c r="J17" s="56">
        <v>6.3631723578514487E-2</v>
      </c>
      <c r="K17" s="57">
        <v>7.638817234176537E-2</v>
      </c>
      <c r="M17" s="54">
        <v>0.1712677461914428</v>
      </c>
      <c r="N17" s="56">
        <v>1.7008598351001176E-2</v>
      </c>
      <c r="O17" s="56">
        <v>8.4842298104685979E-2</v>
      </c>
      <c r="P17" s="57">
        <v>0.10185089645568715</v>
      </c>
      <c r="R17" s="53" t="str">
        <f t="shared" si="0"/>
        <v>B+</v>
      </c>
      <c r="S17" s="54">
        <f t="shared" si="4"/>
        <v>8.5633873095721402E-2</v>
      </c>
      <c r="T17" s="56">
        <f t="shared" si="1"/>
        <v>0.81422456520301534</v>
      </c>
      <c r="U17" s="56">
        <f t="shared" si="2"/>
        <v>-1.7312676962801021</v>
      </c>
      <c r="V17" s="142">
        <f t="shared" si="3"/>
        <v>2.0105986515895881E-2</v>
      </c>
      <c r="AF17" s="141"/>
    </row>
    <row r="18" spans="1:32" x14ac:dyDescent="0.2">
      <c r="A18" s="52" t="s">
        <v>95</v>
      </c>
      <c r="B18" s="53" t="s">
        <v>96</v>
      </c>
      <c r="C18" s="54">
        <v>3.2000000000000001E-2</v>
      </c>
      <c r="D18" s="54">
        <v>2.0662935858803268E-2</v>
      </c>
      <c r="E18" s="54">
        <v>2.9700000000000001E-2</v>
      </c>
      <c r="F18" s="58">
        <v>2.7454311952934424E-2</v>
      </c>
      <c r="G18" s="59"/>
      <c r="H18" s="54">
        <v>0.15041014120752227</v>
      </c>
      <c r="I18" s="56">
        <v>2.0590733964700819E-2</v>
      </c>
      <c r="J18" s="56">
        <v>8.054466491723189E-2</v>
      </c>
      <c r="K18" s="57">
        <v>0.10113539888193271</v>
      </c>
      <c r="M18" s="54">
        <v>0.15041014120752227</v>
      </c>
      <c r="N18" s="56">
        <v>2.7454311952934424E-2</v>
      </c>
      <c r="O18" s="56">
        <v>0.1073928865563092</v>
      </c>
      <c r="P18" s="57">
        <v>0.13484719850924362</v>
      </c>
      <c r="R18" s="53" t="str">
        <f t="shared" si="0"/>
        <v>B</v>
      </c>
      <c r="S18" s="54">
        <f t="shared" si="4"/>
        <v>7.5205070603761137E-2</v>
      </c>
      <c r="T18" s="56">
        <f t="shared" si="1"/>
        <v>0.8630365391394258</v>
      </c>
      <c r="U18" s="56">
        <f t="shared" si="2"/>
        <v>-1.5435842049359083</v>
      </c>
      <c r="V18" s="142">
        <f t="shared" si="3"/>
        <v>2.9248511122072808E-2</v>
      </c>
      <c r="AF18" s="141"/>
    </row>
    <row r="19" spans="1:32" x14ac:dyDescent="0.2">
      <c r="A19" s="52" t="s">
        <v>97</v>
      </c>
      <c r="B19" s="53" t="s">
        <v>98</v>
      </c>
      <c r="C19" s="54">
        <v>6.4899999999999999E-2</v>
      </c>
      <c r="D19" s="54">
        <v>2.9546946815495731E-2</v>
      </c>
      <c r="E19" s="54">
        <v>4.6699999999999998E-2</v>
      </c>
      <c r="F19" s="58">
        <v>4.7048982271831907E-2</v>
      </c>
      <c r="G19" s="59"/>
      <c r="H19" s="54">
        <v>0.13141630537084986</v>
      </c>
      <c r="I19" s="56">
        <v>3.528673670387393E-2</v>
      </c>
      <c r="J19" s="56">
        <v>0.10446674843518945</v>
      </c>
      <c r="K19" s="57">
        <v>0.13975348513906338</v>
      </c>
      <c r="M19" s="54">
        <v>0.13141630537084986</v>
      </c>
      <c r="N19" s="56">
        <v>4.7048982271831907E-2</v>
      </c>
      <c r="O19" s="56">
        <v>0.13928899791358593</v>
      </c>
      <c r="P19" s="57">
        <v>0.18633798018541783</v>
      </c>
      <c r="R19" s="53" t="str">
        <f t="shared" si="0"/>
        <v>B-</v>
      </c>
      <c r="S19" s="54">
        <f t="shared" si="4"/>
        <v>6.5708152685424931E-2</v>
      </c>
      <c r="T19" s="56">
        <f t="shared" si="1"/>
        <v>0.91120707528193767</v>
      </c>
      <c r="U19" s="56">
        <f t="shared" si="2"/>
        <v>-1.3111895409673193</v>
      </c>
      <c r="V19" s="142">
        <f t="shared" si="3"/>
        <v>4.3599331584479657E-2</v>
      </c>
      <c r="AF19" s="141"/>
    </row>
    <row r="20" spans="1:32" x14ac:dyDescent="0.2">
      <c r="A20" s="52" t="s">
        <v>99</v>
      </c>
      <c r="B20" s="52" t="s">
        <v>100</v>
      </c>
      <c r="C20" s="54">
        <v>0.16785</v>
      </c>
      <c r="D20" s="54">
        <v>0.1253554839897584</v>
      </c>
      <c r="E20" s="54">
        <v>6.1700000000000005E-2</v>
      </c>
      <c r="F20" s="58">
        <v>0.11830182799658613</v>
      </c>
      <c r="H20" s="54">
        <v>0.12032380957836952</v>
      </c>
      <c r="I20" s="56">
        <v>8.8726370997439602E-2</v>
      </c>
      <c r="J20" s="56">
        <v>0.16929594537354656</v>
      </c>
      <c r="K20" s="57">
        <v>0.25802231637098616</v>
      </c>
      <c r="M20" s="54">
        <v>0.12032380957836952</v>
      </c>
      <c r="N20" s="56">
        <v>0.11830182799658613</v>
      </c>
      <c r="O20" s="56">
        <v>0.22572792716472873</v>
      </c>
      <c r="P20" s="57">
        <v>0.34402975516131484</v>
      </c>
      <c r="R20" s="53" t="str">
        <f t="shared" si="0"/>
        <v>CCC+</v>
      </c>
      <c r="S20" s="54">
        <f t="shared" si="4"/>
        <v>6.0161904789184761E-2</v>
      </c>
      <c r="T20" s="56">
        <f t="shared" si="1"/>
        <v>0.97021700296582292</v>
      </c>
      <c r="U20" s="56">
        <f t="shared" si="2"/>
        <v>-0.81930638395486666</v>
      </c>
      <c r="V20" s="142">
        <f t="shared" si="3"/>
        <v>8.538296509812468E-2</v>
      </c>
      <c r="AF20" s="141"/>
    </row>
    <row r="21" spans="1:32" x14ac:dyDescent="0.2">
      <c r="A21" s="52" t="s">
        <v>101</v>
      </c>
      <c r="B21" s="52" t="s">
        <v>102</v>
      </c>
      <c r="C21" s="60">
        <v>0.27079999999999999</v>
      </c>
      <c r="D21" s="60">
        <v>0.22116402116402109</v>
      </c>
      <c r="E21" s="54">
        <v>7.6700000000000004E-2</v>
      </c>
      <c r="F21" s="58">
        <v>0.18955467372134036</v>
      </c>
      <c r="H21" s="54">
        <v>0.12000918446376808</v>
      </c>
      <c r="I21" s="56">
        <v>0.14216600529100526</v>
      </c>
      <c r="J21" s="56">
        <v>0.20937100048136048</v>
      </c>
      <c r="K21" s="57">
        <v>0.35153700577236574</v>
      </c>
      <c r="M21" s="54">
        <v>0.12000918446376808</v>
      </c>
      <c r="N21" s="56">
        <v>0.18955467372134036</v>
      </c>
      <c r="O21" s="56">
        <v>0.27916133397514731</v>
      </c>
      <c r="P21" s="57">
        <v>0.46871600769648769</v>
      </c>
      <c r="R21" s="53" t="str">
        <f t="shared" si="0"/>
        <v>CCC</v>
      </c>
      <c r="S21" s="54">
        <f t="shared" si="4"/>
        <v>6.0004592231884042E-2</v>
      </c>
      <c r="T21" s="56">
        <f t="shared" si="1"/>
        <v>0.98727680454789868</v>
      </c>
      <c r="U21" s="56">
        <f t="shared" si="2"/>
        <v>-0.5062307333222128</v>
      </c>
      <c r="V21" s="142">
        <f t="shared" si="3"/>
        <v>0.11530669149453339</v>
      </c>
      <c r="AF21" s="141"/>
    </row>
    <row r="22" spans="1:32" x14ac:dyDescent="0.2">
      <c r="A22" s="52" t="s">
        <v>126</v>
      </c>
      <c r="B22" s="52" t="s">
        <v>103</v>
      </c>
      <c r="C22" s="60">
        <v>0.27079999999999999</v>
      </c>
      <c r="D22" s="60">
        <v>0.22116402116402109</v>
      </c>
      <c r="E22" s="54">
        <v>0.19905</v>
      </c>
      <c r="F22" s="58">
        <v>0.23033800705467367</v>
      </c>
      <c r="H22" s="54">
        <v>0.12000119523960197</v>
      </c>
      <c r="I22" s="56">
        <v>0.17275350529100525</v>
      </c>
      <c r="J22" s="56">
        <v>0.22396116374969949</v>
      </c>
      <c r="K22" s="57">
        <v>0.39671466904070474</v>
      </c>
      <c r="M22" s="54">
        <v>0.12000119523960197</v>
      </c>
      <c r="N22" s="56">
        <v>0.23033800705467367</v>
      </c>
      <c r="O22" s="56">
        <v>0.29861488499959932</v>
      </c>
      <c r="P22" s="57">
        <v>0.52895289205427298</v>
      </c>
      <c r="R22" s="53" t="str">
        <f t="shared" si="0"/>
        <v>CCC-</v>
      </c>
      <c r="S22" s="54">
        <f t="shared" si="4"/>
        <v>6.0000597619800984E-2</v>
      </c>
      <c r="T22" s="56">
        <f t="shared" si="1"/>
        <v>0.99187076510544225</v>
      </c>
      <c r="U22" s="56">
        <f t="shared" si="2"/>
        <v>-0.35998290178097697</v>
      </c>
      <c r="V22" s="142">
        <f t="shared" si="3"/>
        <v>0.12804253414388919</v>
      </c>
      <c r="AF22" s="141"/>
    </row>
    <row r="23" spans="1:32" x14ac:dyDescent="0.2">
      <c r="A23" s="53" t="s">
        <v>127</v>
      </c>
      <c r="B23" s="53" t="s">
        <v>104</v>
      </c>
      <c r="C23" s="54">
        <v>0.27079999999999999</v>
      </c>
      <c r="D23" s="54">
        <v>0.22116402116402109</v>
      </c>
      <c r="E23" s="54">
        <v>0.32140000000000002</v>
      </c>
      <c r="F23" s="58">
        <v>0.271121340388007</v>
      </c>
      <c r="H23" s="54">
        <v>0.12000015554503149</v>
      </c>
      <c r="I23" s="56">
        <v>0.20334100529100524</v>
      </c>
      <c r="J23" s="56">
        <v>0.2338615340345222</v>
      </c>
      <c r="K23" s="57">
        <v>0.43720253932552744</v>
      </c>
      <c r="M23" s="54">
        <v>0.12000015554503149</v>
      </c>
      <c r="N23" s="56">
        <v>0.271121340388007</v>
      </c>
      <c r="O23" s="56">
        <v>0.31181537871269621</v>
      </c>
      <c r="P23" s="57">
        <v>0.58293671910070322</v>
      </c>
      <c r="R23" s="53" t="str">
        <f t="shared" si="0"/>
        <v>СС</v>
      </c>
      <c r="S23" s="54">
        <f t="shared" si="4"/>
        <v>6.0000077772515745E-2</v>
      </c>
      <c r="T23" s="56">
        <f t="shared" si="1"/>
        <v>0.99474071637365336</v>
      </c>
      <c r="U23" s="56">
        <f t="shared" si="2"/>
        <v>-0.22764388838898167</v>
      </c>
      <c r="V23" s="142">
        <f t="shared" si="3"/>
        <v>0.13811000837854212</v>
      </c>
      <c r="AF23" s="141"/>
    </row>
    <row r="24" spans="1:32" x14ac:dyDescent="0.2">
      <c r="A24" s="53" t="s">
        <v>108</v>
      </c>
      <c r="B24" s="53" t="s">
        <v>128</v>
      </c>
      <c r="C24" s="54">
        <v>0.63539999999999996</v>
      </c>
      <c r="D24" s="54">
        <v>0.61058201058201056</v>
      </c>
      <c r="E24" s="54">
        <v>0.66070000000000007</v>
      </c>
      <c r="F24" s="58">
        <v>0.63556067019400353</v>
      </c>
      <c r="H24" s="54">
        <v>0.1200000000000019</v>
      </c>
      <c r="I24" s="56">
        <v>0.47667050264550265</v>
      </c>
      <c r="J24" s="56">
        <v>0.19111518809856071</v>
      </c>
      <c r="K24" s="57">
        <v>0.66778569074406335</v>
      </c>
      <c r="M24" s="54">
        <v>0.1200000000000019</v>
      </c>
      <c r="N24" s="56">
        <v>0.63556067019400353</v>
      </c>
      <c r="O24" s="56">
        <v>0.25482025079808102</v>
      </c>
      <c r="P24" s="57">
        <v>0.89038092099208455</v>
      </c>
      <c r="R24" s="53" t="str">
        <f t="shared" si="0"/>
        <v>С</v>
      </c>
      <c r="S24" s="54">
        <f t="shared" si="4"/>
        <v>6.0000000000000948E-2</v>
      </c>
      <c r="T24" s="56">
        <f t="shared" si="1"/>
        <v>0.99992823533544228</v>
      </c>
      <c r="U24" s="56">
        <f t="shared" si="2"/>
        <v>0.75843860010105291</v>
      </c>
      <c r="V24" s="142">
        <f t="shared" si="3"/>
        <v>0.14033502940143536</v>
      </c>
      <c r="AF24" s="141"/>
    </row>
    <row r="25" spans="1:32" x14ac:dyDescent="0.2">
      <c r="A25" s="53" t="s">
        <v>108</v>
      </c>
      <c r="B25" s="53" t="s">
        <v>145</v>
      </c>
      <c r="C25" s="54">
        <v>1</v>
      </c>
      <c r="D25" s="54">
        <v>1</v>
      </c>
      <c r="E25" s="54">
        <v>1</v>
      </c>
      <c r="F25" s="58">
        <v>1</v>
      </c>
      <c r="H25" s="54"/>
      <c r="I25" s="56"/>
      <c r="J25" s="56"/>
      <c r="K25" s="57">
        <f>F25</f>
        <v>1</v>
      </c>
      <c r="M25" s="106"/>
      <c r="N25" s="106"/>
      <c r="O25" s="106"/>
      <c r="P25" s="143">
        <f>F25</f>
        <v>1</v>
      </c>
      <c r="R25" s="53" t="str">
        <f t="shared" si="0"/>
        <v>RD</v>
      </c>
      <c r="S25" s="54"/>
      <c r="T25" s="56"/>
      <c r="U25" s="56"/>
      <c r="V25" s="142">
        <f>F25</f>
        <v>1</v>
      </c>
      <c r="AF25" s="141"/>
    </row>
    <row r="26" spans="1:32" x14ac:dyDescent="0.2">
      <c r="A26" s="53" t="s">
        <v>128</v>
      </c>
      <c r="B26" s="53" t="s">
        <v>129</v>
      </c>
      <c r="C26" s="54">
        <v>1</v>
      </c>
      <c r="D26" s="54">
        <v>1</v>
      </c>
      <c r="E26" s="54">
        <v>1</v>
      </c>
      <c r="F26" s="58">
        <v>1</v>
      </c>
      <c r="H26" s="54"/>
      <c r="I26" s="56"/>
      <c r="J26" s="56"/>
      <c r="K26" s="57">
        <f>F26</f>
        <v>1</v>
      </c>
      <c r="M26" s="106"/>
      <c r="N26" s="106"/>
      <c r="O26" s="106"/>
      <c r="P26" s="143">
        <f>F26</f>
        <v>1</v>
      </c>
      <c r="R26" s="53" t="str">
        <f t="shared" si="0"/>
        <v>D</v>
      </c>
      <c r="S26" s="54"/>
      <c r="T26" s="56"/>
      <c r="U26" s="56"/>
      <c r="V26" s="142">
        <f>F26</f>
        <v>1</v>
      </c>
    </row>
  </sheetData>
  <mergeCells count="6">
    <mergeCell ref="A2:F2"/>
    <mergeCell ref="R2:X2"/>
    <mergeCell ref="H1:K1"/>
    <mergeCell ref="M1:P1"/>
    <mergeCell ref="H2:I2"/>
    <mergeCell ref="M2:N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83"/>
  <sheetViews>
    <sheetView zoomScale="60" zoomScaleNormal="60" workbookViewId="0">
      <selection activeCell="A8" sqref="A8"/>
    </sheetView>
  </sheetViews>
  <sheetFormatPr defaultColWidth="20.7109375" defaultRowHeight="15" x14ac:dyDescent="0.25"/>
  <cols>
    <col min="1" max="5" width="20.7109375" style="131"/>
    <col min="6" max="6" width="11.5703125" style="131" customWidth="1"/>
    <col min="7" max="16384" width="20.7109375" style="131"/>
  </cols>
  <sheetData>
    <row r="1" spans="1:9" x14ac:dyDescent="0.25">
      <c r="A1" s="131" t="s">
        <v>271</v>
      </c>
      <c r="D1" s="136" t="s">
        <v>272</v>
      </c>
      <c r="E1" s="138">
        <f>AVERAGE(C15:C200)</f>
        <v>2.6885349200359867E-2</v>
      </c>
      <c r="F1" s="137"/>
      <c r="G1" s="137">
        <v>0.999</v>
      </c>
      <c r="H1" s="138">
        <f>_xlfn.NORM.INV(1-G1,$E$1,$E$2)</f>
        <v>-0.10336094797480866</v>
      </c>
      <c r="I1" s="137">
        <f>COUNTIF(C18:C200,"&lt;=" &amp;H1)</f>
        <v>0</v>
      </c>
    </row>
    <row r="2" spans="1:9" x14ac:dyDescent="0.25">
      <c r="A2" s="131" t="s">
        <v>273</v>
      </c>
      <c r="D2" s="136" t="s">
        <v>274</v>
      </c>
      <c r="E2" s="138">
        <f>_xlfn.STDEV.S(C15:C200)</f>
        <v>4.2147736568286194E-2</v>
      </c>
      <c r="F2" s="137"/>
      <c r="G2" s="137">
        <v>0.995</v>
      </c>
      <c r="H2" s="138">
        <f>_xlfn.NORM.INV(1-G2,$E$1,$E$2)</f>
        <v>-8.1680025730491254E-2</v>
      </c>
      <c r="I2" s="137">
        <f>COUNTIF(C18:C200,"&lt;=" &amp;H2)</f>
        <v>1</v>
      </c>
    </row>
    <row r="3" spans="1:9" x14ac:dyDescent="0.25">
      <c r="A3" s="131" t="s">
        <v>275</v>
      </c>
      <c r="D3" s="137"/>
      <c r="E3" s="137"/>
      <c r="F3" s="137"/>
      <c r="G3" s="137">
        <v>0.99</v>
      </c>
      <c r="H3" s="138">
        <f>_xlfn.NORM.INV(1-G3,$E$1,$E$2)</f>
        <v>-7.1164948160906114E-2</v>
      </c>
      <c r="I3" s="137">
        <f>COUNTIF(C18:C200,"&lt;=" &amp;H3)</f>
        <v>3</v>
      </c>
    </row>
    <row r="4" spans="1:9" x14ac:dyDescent="0.25">
      <c r="A4" s="131" t="s">
        <v>276</v>
      </c>
      <c r="D4" s="137"/>
      <c r="E4" s="137"/>
      <c r="F4" s="137"/>
      <c r="G4" s="137">
        <v>0.95</v>
      </c>
      <c r="H4" s="138">
        <f>_xlfn.NORM.INV(1-G4,$E$1,$E$2)</f>
        <v>-4.2441508161780842E-2</v>
      </c>
      <c r="I4" s="137">
        <f>COUNTIF(C18:C200,"&lt;=" &amp;H4)</f>
        <v>4</v>
      </c>
    </row>
    <row r="5" spans="1:9" x14ac:dyDescent="0.25">
      <c r="A5" s="131" t="s">
        <v>277</v>
      </c>
      <c r="D5" s="137"/>
      <c r="E5" s="137"/>
      <c r="F5" s="137"/>
      <c r="G5" s="137">
        <v>0.9</v>
      </c>
      <c r="H5" s="138">
        <f>_xlfn.NORM.INV(1-G5,$E$1,$E$2)</f>
        <v>-2.7129148582888719E-2</v>
      </c>
      <c r="I5" s="137">
        <f>COUNTIF(C18:C200,"&lt;=" &amp;H5)</f>
        <v>5</v>
      </c>
    </row>
    <row r="6" spans="1:9" x14ac:dyDescent="0.25">
      <c r="A6" s="131" t="s">
        <v>278</v>
      </c>
    </row>
    <row r="7" spans="1:9" x14ac:dyDescent="0.25">
      <c r="A7" s="131" t="s">
        <v>279</v>
      </c>
      <c r="B7" s="131" t="s">
        <v>280</v>
      </c>
    </row>
    <row r="8" spans="1:9" x14ac:dyDescent="0.25">
      <c r="A8" s="152" t="s">
        <v>283</v>
      </c>
      <c r="B8" s="135"/>
    </row>
    <row r="9" spans="1:9" x14ac:dyDescent="0.25">
      <c r="A9" s="134"/>
      <c r="B9" s="135"/>
    </row>
    <row r="10" spans="1:9" x14ac:dyDescent="0.25">
      <c r="A10" s="134"/>
      <c r="B10" s="135" t="s">
        <v>284</v>
      </c>
    </row>
    <row r="12" spans="1:9" x14ac:dyDescent="0.25">
      <c r="A12" s="131" t="s">
        <v>281</v>
      </c>
    </row>
    <row r="13" spans="1:9" x14ac:dyDescent="0.25">
      <c r="A13" s="131" t="s">
        <v>282</v>
      </c>
      <c r="B13" s="131" t="s">
        <v>279</v>
      </c>
    </row>
    <row r="14" spans="1:9" x14ac:dyDescent="0.25">
      <c r="A14" s="132">
        <v>37622</v>
      </c>
      <c r="B14" s="133">
        <v>65.4897058614347</v>
      </c>
    </row>
    <row r="15" spans="1:9" x14ac:dyDescent="0.25">
      <c r="A15" s="132">
        <v>37712</v>
      </c>
      <c r="B15" s="133">
        <v>66.220201971721593</v>
      </c>
    </row>
    <row r="16" spans="1:9" x14ac:dyDescent="0.25">
      <c r="A16" s="132">
        <v>37803</v>
      </c>
      <c r="B16" s="133">
        <v>67.338109690381998</v>
      </c>
    </row>
    <row r="17" spans="1:5" x14ac:dyDescent="0.25">
      <c r="A17" s="132">
        <v>37895</v>
      </c>
      <c r="B17" s="133">
        <v>68.566234773649796</v>
      </c>
    </row>
    <row r="18" spans="1:5" x14ac:dyDescent="0.25">
      <c r="A18" s="132">
        <v>37987</v>
      </c>
      <c r="B18" s="133">
        <v>69.854365952325907</v>
      </c>
      <c r="C18" s="131">
        <f>LN(B18/B14)</f>
        <v>6.4519620566705849E-2</v>
      </c>
      <c r="D18" s="131">
        <f t="shared" ref="D18:D79" si="0">(C18-$E$1)/$E$2</f>
        <v>0.89291322454225586</v>
      </c>
      <c r="E18" s="131">
        <f t="shared" ref="E18:E79" si="1">_xlfn.NORM.DIST(C18,$E$1,$E$2,TRUE)</f>
        <v>0.81404817774240035</v>
      </c>
    </row>
    <row r="19" spans="1:5" x14ac:dyDescent="0.25">
      <c r="A19" s="132">
        <v>38078</v>
      </c>
      <c r="B19" s="133">
        <v>71.200588145073695</v>
      </c>
      <c r="C19" s="131">
        <f t="shared" ref="C19:C79" si="2">LN(B19/B15)</f>
        <v>7.2515496722985018E-2</v>
      </c>
      <c r="D19" s="131">
        <f t="shared" si="0"/>
        <v>1.0826239138297944</v>
      </c>
      <c r="E19" s="131">
        <f t="shared" si="1"/>
        <v>0.86051230582400118</v>
      </c>
    </row>
    <row r="20" spans="1:5" x14ac:dyDescent="0.25">
      <c r="A20" s="132">
        <v>38169</v>
      </c>
      <c r="B20" s="133">
        <v>72.278946110858499</v>
      </c>
      <c r="C20" s="131">
        <f t="shared" si="2"/>
        <v>7.0806542758027793E-2</v>
      </c>
      <c r="D20" s="131">
        <f t="shared" si="0"/>
        <v>1.0420771584378781</v>
      </c>
      <c r="E20" s="131">
        <f t="shared" si="1"/>
        <v>0.85131204620303536</v>
      </c>
    </row>
    <row r="21" spans="1:5" x14ac:dyDescent="0.25">
      <c r="A21" s="132">
        <v>38261</v>
      </c>
      <c r="B21" s="133">
        <v>73.087148169096395</v>
      </c>
      <c r="C21" s="131">
        <f t="shared" si="2"/>
        <v>6.3852330565074056E-2</v>
      </c>
      <c r="D21" s="131">
        <f t="shared" si="0"/>
        <v>0.87708105759894506</v>
      </c>
      <c r="E21" s="131">
        <f t="shared" si="1"/>
        <v>0.80977869370433919</v>
      </c>
    </row>
    <row r="22" spans="1:5" x14ac:dyDescent="0.25">
      <c r="A22" s="132">
        <v>38353</v>
      </c>
      <c r="B22" s="133">
        <v>74.364771493388204</v>
      </c>
      <c r="C22" s="131">
        <f t="shared" si="2"/>
        <v>6.2569739833128593E-2</v>
      </c>
      <c r="D22" s="131">
        <f t="shared" si="0"/>
        <v>0.84665022462010986</v>
      </c>
      <c r="E22" s="131">
        <f t="shared" si="1"/>
        <v>0.80140494474735391</v>
      </c>
    </row>
    <row r="23" spans="1:5" x14ac:dyDescent="0.25">
      <c r="A23" s="132">
        <v>38443</v>
      </c>
      <c r="B23" s="133">
        <v>75.496822819216206</v>
      </c>
      <c r="C23" s="131">
        <f t="shared" si="2"/>
        <v>5.8589494656495718E-2</v>
      </c>
      <c r="D23" s="131">
        <f t="shared" si="0"/>
        <v>0.75221466293379668</v>
      </c>
      <c r="E23" s="131">
        <f t="shared" si="1"/>
        <v>0.7740390114197514</v>
      </c>
    </row>
    <row r="24" spans="1:5" x14ac:dyDescent="0.25">
      <c r="A24" s="132">
        <v>38534</v>
      </c>
      <c r="B24" s="133">
        <v>76.8272315647326</v>
      </c>
      <c r="C24" s="131">
        <f t="shared" si="2"/>
        <v>6.1026270000554488E-2</v>
      </c>
      <c r="D24" s="131">
        <f t="shared" si="0"/>
        <v>0.81002975675528333</v>
      </c>
      <c r="E24" s="131">
        <f t="shared" si="1"/>
        <v>0.79103846319128757</v>
      </c>
    </row>
    <row r="25" spans="1:5" x14ac:dyDescent="0.25">
      <c r="A25" s="132">
        <v>38626</v>
      </c>
      <c r="B25" s="133">
        <v>78.412054792314606</v>
      </c>
      <c r="C25" s="131">
        <f t="shared" si="2"/>
        <v>7.0325135983755865E-2</v>
      </c>
      <c r="D25" s="131">
        <f t="shared" si="0"/>
        <v>1.0306552693053035</v>
      </c>
      <c r="E25" s="131">
        <f t="shared" si="1"/>
        <v>0.84864874603518359</v>
      </c>
    </row>
    <row r="26" spans="1:5" x14ac:dyDescent="0.25">
      <c r="A26" s="132">
        <v>38718</v>
      </c>
      <c r="B26" s="133">
        <v>79.925882003341997</v>
      </c>
      <c r="C26" s="131">
        <f t="shared" si="2"/>
        <v>7.2117402003577497E-2</v>
      </c>
      <c r="D26" s="131">
        <f t="shared" si="0"/>
        <v>1.073178692049912</v>
      </c>
      <c r="E26" s="131">
        <f t="shared" si="1"/>
        <v>0.8584045254445708</v>
      </c>
    </row>
    <row r="27" spans="1:5" x14ac:dyDescent="0.25">
      <c r="A27" s="132">
        <v>38808</v>
      </c>
      <c r="B27" s="133">
        <v>81.464538317803502</v>
      </c>
      <c r="C27" s="131">
        <f t="shared" si="2"/>
        <v>7.6077239388019302E-2</v>
      </c>
      <c r="D27" s="131">
        <f t="shared" si="0"/>
        <v>1.1671300571018934</v>
      </c>
      <c r="E27" s="131">
        <f t="shared" si="1"/>
        <v>0.87842107438337436</v>
      </c>
    </row>
    <row r="28" spans="1:5" x14ac:dyDescent="0.25">
      <c r="A28" s="132">
        <v>38899</v>
      </c>
      <c r="B28" s="133">
        <v>83.335069341733998</v>
      </c>
      <c r="C28" s="131">
        <f t="shared" si="2"/>
        <v>8.1310306106348679E-2</v>
      </c>
      <c r="D28" s="131">
        <f t="shared" si="0"/>
        <v>1.2912901459799986</v>
      </c>
      <c r="E28" s="131">
        <f t="shared" si="1"/>
        <v>0.90169845685546246</v>
      </c>
    </row>
    <row r="29" spans="1:5" x14ac:dyDescent="0.25">
      <c r="A29" s="132">
        <v>38991</v>
      </c>
      <c r="B29" s="133">
        <v>84.917802740332405</v>
      </c>
      <c r="C29" s="131">
        <f t="shared" si="2"/>
        <v>7.9706086391588021E-2</v>
      </c>
      <c r="D29" s="131">
        <f t="shared" si="0"/>
        <v>1.2532283223714744</v>
      </c>
      <c r="E29" s="131">
        <f t="shared" si="1"/>
        <v>0.89493868730130921</v>
      </c>
    </row>
    <row r="30" spans="1:5" x14ac:dyDescent="0.25">
      <c r="A30" s="132">
        <v>39083</v>
      </c>
      <c r="B30" s="133">
        <v>86.457915262373305</v>
      </c>
      <c r="C30" s="131">
        <f t="shared" si="2"/>
        <v>7.855803651315775E-2</v>
      </c>
      <c r="D30" s="131">
        <f t="shared" si="0"/>
        <v>1.2259896146280529</v>
      </c>
      <c r="E30" s="131">
        <f t="shared" si="1"/>
        <v>0.88989870838759022</v>
      </c>
    </row>
    <row r="31" spans="1:5" x14ac:dyDescent="0.25">
      <c r="A31" s="132">
        <v>39173</v>
      </c>
      <c r="B31" s="133">
        <v>88.639938562583794</v>
      </c>
      <c r="C31" s="131">
        <f t="shared" si="2"/>
        <v>8.4414716994242689E-2</v>
      </c>
      <c r="D31" s="131">
        <f t="shared" si="0"/>
        <v>1.3649456051020885</v>
      </c>
      <c r="E31" s="131">
        <f t="shared" si="1"/>
        <v>0.91386492648500961</v>
      </c>
    </row>
    <row r="32" spans="1:5" x14ac:dyDescent="0.25">
      <c r="A32" s="132">
        <v>39264</v>
      </c>
      <c r="B32" s="133">
        <v>90.594547048530302</v>
      </c>
      <c r="C32" s="131">
        <f t="shared" si="2"/>
        <v>8.3524563057343321E-2</v>
      </c>
      <c r="D32" s="131">
        <f t="shared" si="0"/>
        <v>1.3438257536135707</v>
      </c>
      <c r="E32" s="131">
        <f t="shared" si="1"/>
        <v>0.91049763025785202</v>
      </c>
    </row>
    <row r="33" spans="1:5" x14ac:dyDescent="0.25">
      <c r="A33" s="132">
        <v>39356</v>
      </c>
      <c r="B33" s="133">
        <v>93.487984828425994</v>
      </c>
      <c r="C33" s="131">
        <f t="shared" si="2"/>
        <v>9.6149161494286275E-2</v>
      </c>
      <c r="D33" s="131">
        <f t="shared" si="0"/>
        <v>1.6433578154714845</v>
      </c>
      <c r="E33" s="131">
        <f t="shared" si="1"/>
        <v>0.94984553864295318</v>
      </c>
    </row>
    <row r="34" spans="1:5" x14ac:dyDescent="0.25">
      <c r="A34" s="132">
        <v>39448</v>
      </c>
      <c r="B34" s="133">
        <v>95.968381698588004</v>
      </c>
      <c r="C34" s="131">
        <f t="shared" si="2"/>
        <v>0.10436101312580724</v>
      </c>
      <c r="D34" s="131">
        <f t="shared" si="0"/>
        <v>1.838192753243681</v>
      </c>
      <c r="E34" s="131">
        <f t="shared" si="1"/>
        <v>0.96698299636817375</v>
      </c>
    </row>
    <row r="35" spans="1:5" x14ac:dyDescent="0.25">
      <c r="A35" s="132">
        <v>39539</v>
      </c>
      <c r="B35" s="133">
        <v>96.564923456944996</v>
      </c>
      <c r="C35" s="131">
        <f t="shared" si="2"/>
        <v>8.5633034178795142E-2</v>
      </c>
      <c r="D35" s="131">
        <f t="shared" si="0"/>
        <v>1.3938514796222676</v>
      </c>
      <c r="E35" s="131">
        <f t="shared" si="1"/>
        <v>0.91831877059754263</v>
      </c>
    </row>
    <row r="36" spans="1:5" x14ac:dyDescent="0.25">
      <c r="A36" s="132">
        <v>39630</v>
      </c>
      <c r="B36" s="133">
        <v>95.125460467284299</v>
      </c>
      <c r="C36" s="131">
        <f t="shared" si="2"/>
        <v>4.8802632689593783E-2</v>
      </c>
      <c r="D36" s="131">
        <f t="shared" si="0"/>
        <v>0.52001092523021608</v>
      </c>
      <c r="E36" s="131">
        <f t="shared" si="1"/>
        <v>0.69847201980314921</v>
      </c>
    </row>
    <row r="37" spans="1:5" x14ac:dyDescent="0.25">
      <c r="A37" s="132">
        <v>39722</v>
      </c>
      <c r="B37" s="133">
        <v>92.031779317809097</v>
      </c>
      <c r="C37" s="131">
        <f t="shared" si="2"/>
        <v>-1.5698978758183921E-2</v>
      </c>
      <c r="D37" s="131">
        <f t="shared" si="0"/>
        <v>-1.0103585963519119</v>
      </c>
      <c r="E37" s="131">
        <f t="shared" si="1"/>
        <v>0.15616175842759522</v>
      </c>
    </row>
    <row r="38" spans="1:5" x14ac:dyDescent="0.25">
      <c r="A38" s="132">
        <v>39814</v>
      </c>
      <c r="B38" s="133">
        <v>88.785835249664103</v>
      </c>
      <c r="C38" s="131">
        <f t="shared" si="2"/>
        <v>-7.7791655591084655E-2</v>
      </c>
      <c r="D38" s="131">
        <f t="shared" si="0"/>
        <v>-2.4835735751041041</v>
      </c>
      <c r="E38" s="131">
        <f t="shared" si="1"/>
        <v>6.5035730700149629E-3</v>
      </c>
    </row>
    <row r="39" spans="1:5" x14ac:dyDescent="0.25">
      <c r="A39" s="132">
        <v>39904</v>
      </c>
      <c r="B39" s="133">
        <v>87.490573519778806</v>
      </c>
      <c r="C39" s="131">
        <f t="shared" si="2"/>
        <v>-9.8684507708265687E-2</v>
      </c>
      <c r="D39" s="131">
        <f t="shared" si="0"/>
        <v>-2.9792787734919508</v>
      </c>
      <c r="E39" s="131">
        <f t="shared" si="1"/>
        <v>1.4446389063234675E-3</v>
      </c>
    </row>
    <row r="40" spans="1:5" x14ac:dyDescent="0.25">
      <c r="A40" s="132">
        <v>39995</v>
      </c>
      <c r="B40" s="133">
        <v>87.849656847123995</v>
      </c>
      <c r="C40" s="131">
        <f t="shared" si="2"/>
        <v>-7.956974832208305E-2</v>
      </c>
      <c r="D40" s="131">
        <f t="shared" si="0"/>
        <v>-2.5257607214557853</v>
      </c>
      <c r="E40" s="131">
        <f t="shared" si="1"/>
        <v>5.7724041200975058E-3</v>
      </c>
    </row>
    <row r="41" spans="1:5" x14ac:dyDescent="0.25">
      <c r="A41" s="132">
        <v>40087</v>
      </c>
      <c r="B41" s="133">
        <v>88.799934013444101</v>
      </c>
      <c r="C41" s="131">
        <f t="shared" si="2"/>
        <v>-3.5748037864230038E-2</v>
      </c>
      <c r="D41" s="131">
        <f t="shared" si="0"/>
        <v>-1.4860439056582224</v>
      </c>
      <c r="E41" s="131">
        <f t="shared" si="1"/>
        <v>6.8633754022089918E-2</v>
      </c>
    </row>
    <row r="42" spans="1:5" x14ac:dyDescent="0.25">
      <c r="A42" s="132">
        <v>40179</v>
      </c>
      <c r="B42" s="133">
        <v>90.698886877318301</v>
      </c>
      <c r="C42" s="131">
        <f t="shared" si="2"/>
        <v>2.1317960149010856E-2</v>
      </c>
      <c r="D42" s="131">
        <f t="shared" si="0"/>
        <v>-0.13209224277865869</v>
      </c>
      <c r="E42" s="131">
        <f t="shared" si="1"/>
        <v>0.44745566575723383</v>
      </c>
    </row>
    <row r="43" spans="1:5" x14ac:dyDescent="0.25">
      <c r="A43" s="132">
        <v>40269</v>
      </c>
      <c r="B43" s="133">
        <v>91.560616150533903</v>
      </c>
      <c r="C43" s="131">
        <f t="shared" si="2"/>
        <v>4.5470168176952583E-2</v>
      </c>
      <c r="D43" s="131">
        <f t="shared" si="0"/>
        <v>0.44094465064529109</v>
      </c>
      <c r="E43" s="131">
        <f t="shared" si="1"/>
        <v>0.6703734661543308</v>
      </c>
    </row>
    <row r="44" spans="1:5" x14ac:dyDescent="0.25">
      <c r="A44" s="132">
        <v>40360</v>
      </c>
      <c r="B44" s="133">
        <v>92.039947444047996</v>
      </c>
      <c r="C44" s="131">
        <f t="shared" si="2"/>
        <v>4.6595785652106786E-2</v>
      </c>
      <c r="D44" s="131">
        <f t="shared" si="0"/>
        <v>0.46765112569717243</v>
      </c>
      <c r="E44" s="131">
        <f t="shared" si="1"/>
        <v>0.67998295127389852</v>
      </c>
    </row>
    <row r="45" spans="1:5" x14ac:dyDescent="0.25">
      <c r="A45" s="132">
        <v>40452</v>
      </c>
      <c r="B45" s="133">
        <v>93.1968712026638</v>
      </c>
      <c r="C45" s="131">
        <f t="shared" si="2"/>
        <v>4.832824343516235E-2</v>
      </c>
      <c r="D45" s="131">
        <f t="shared" si="0"/>
        <v>0.50875553423993491</v>
      </c>
      <c r="E45" s="131">
        <f t="shared" si="1"/>
        <v>0.69453820460054971</v>
      </c>
    </row>
    <row r="46" spans="1:5" x14ac:dyDescent="0.25">
      <c r="A46" s="132">
        <v>40544</v>
      </c>
      <c r="B46" s="133">
        <v>94.021061085537895</v>
      </c>
      <c r="C46" s="131">
        <f t="shared" si="2"/>
        <v>3.5973726805741457E-2</v>
      </c>
      <c r="D46" s="131">
        <f t="shared" si="0"/>
        <v>0.21563145130360534</v>
      </c>
      <c r="E46" s="131">
        <f t="shared" si="1"/>
        <v>0.58536248105664579</v>
      </c>
    </row>
    <row r="47" spans="1:5" x14ac:dyDescent="0.25">
      <c r="A47" s="132">
        <v>40634</v>
      </c>
      <c r="B47" s="133">
        <v>95.123326561158606</v>
      </c>
      <c r="C47" s="131">
        <f t="shared" si="2"/>
        <v>3.8172999494205662E-2</v>
      </c>
      <c r="D47" s="131">
        <f t="shared" si="0"/>
        <v>0.26781154132815566</v>
      </c>
      <c r="E47" s="131">
        <f t="shared" si="1"/>
        <v>0.60557780677602413</v>
      </c>
    </row>
    <row r="48" spans="1:5" x14ac:dyDescent="0.25">
      <c r="A48" s="132">
        <v>40725</v>
      </c>
      <c r="B48" s="133">
        <v>96.381747025184694</v>
      </c>
      <c r="C48" s="131">
        <f t="shared" si="2"/>
        <v>4.6094143321545475E-2</v>
      </c>
      <c r="D48" s="131">
        <f t="shared" si="0"/>
        <v>0.45574912641072041</v>
      </c>
      <c r="E48" s="131">
        <f t="shared" si="1"/>
        <v>0.67571480454081212</v>
      </c>
    </row>
    <row r="49" spans="1:5" x14ac:dyDescent="0.25">
      <c r="A49" s="132">
        <v>40817</v>
      </c>
      <c r="B49" s="133">
        <v>97.601827110599501</v>
      </c>
      <c r="C49" s="131">
        <f t="shared" si="2"/>
        <v>4.6182063298144227E-2</v>
      </c>
      <c r="D49" s="131">
        <f t="shared" si="0"/>
        <v>0.45783512162083823</v>
      </c>
      <c r="E49" s="131">
        <f t="shared" si="1"/>
        <v>0.67646454953457014</v>
      </c>
    </row>
    <row r="50" spans="1:5" x14ac:dyDescent="0.25">
      <c r="A50" s="132">
        <v>40909</v>
      </c>
      <c r="B50" s="133">
        <v>98.973895519250107</v>
      </c>
      <c r="C50" s="131">
        <f t="shared" si="2"/>
        <v>5.1337322465642751E-2</v>
      </c>
      <c r="D50" s="131">
        <f t="shared" si="0"/>
        <v>0.58014914337491663</v>
      </c>
      <c r="E50" s="131">
        <f t="shared" si="1"/>
        <v>0.7190929770810458</v>
      </c>
    </row>
    <row r="51" spans="1:5" x14ac:dyDescent="0.25">
      <c r="A51" s="132">
        <v>41000</v>
      </c>
      <c r="B51" s="133">
        <v>99.406155515318105</v>
      </c>
      <c r="C51" s="131">
        <f t="shared" si="2"/>
        <v>4.4039814429834075E-2</v>
      </c>
      <c r="D51" s="131">
        <f t="shared" si="0"/>
        <v>0.40700798254447618</v>
      </c>
      <c r="E51" s="131">
        <f t="shared" si="1"/>
        <v>0.65799893733915171</v>
      </c>
    </row>
    <row r="52" spans="1:5" x14ac:dyDescent="0.25">
      <c r="A52" s="132">
        <v>41091</v>
      </c>
      <c r="B52" s="133">
        <v>99.917023276937996</v>
      </c>
      <c r="C52" s="131">
        <f t="shared" si="2"/>
        <v>3.6023236833623011E-2</v>
      </c>
      <c r="D52" s="131">
        <f t="shared" si="0"/>
        <v>0.21680612951678385</v>
      </c>
      <c r="E52" s="131">
        <f t="shared" si="1"/>
        <v>0.58582028254438556</v>
      </c>
    </row>
    <row r="53" spans="1:5" x14ac:dyDescent="0.25">
      <c r="A53" s="132">
        <v>41183</v>
      </c>
      <c r="B53" s="133">
        <v>99.9831228551121</v>
      </c>
      <c r="C53" s="131">
        <f t="shared" si="2"/>
        <v>2.4105186656399713E-2</v>
      </c>
      <c r="D53" s="131">
        <f t="shared" si="0"/>
        <v>-6.59623213563518E-2</v>
      </c>
      <c r="E53" s="131">
        <f t="shared" si="1"/>
        <v>0.47370391164753578</v>
      </c>
    </row>
    <row r="54" spans="1:5" x14ac:dyDescent="0.25">
      <c r="A54" s="132">
        <v>41275</v>
      </c>
      <c r="B54" s="133">
        <v>100.723567403028</v>
      </c>
      <c r="C54" s="131">
        <f t="shared" si="2"/>
        <v>1.752367438149495E-2</v>
      </c>
      <c r="D54" s="131">
        <f t="shared" si="0"/>
        <v>-0.22211571916080192</v>
      </c>
      <c r="E54" s="131">
        <f t="shared" si="1"/>
        <v>0.41211190068091103</v>
      </c>
    </row>
    <row r="55" spans="1:5" x14ac:dyDescent="0.25">
      <c r="A55" s="132">
        <v>41365</v>
      </c>
      <c r="B55" s="133">
        <v>101.066648237927</v>
      </c>
      <c r="C55" s="131">
        <f t="shared" si="2"/>
        <v>1.6566144299068983E-2</v>
      </c>
      <c r="D55" s="131">
        <f t="shared" si="0"/>
        <v>-0.24483414155756839</v>
      </c>
      <c r="E55" s="131">
        <f t="shared" si="1"/>
        <v>0.40329242856810765</v>
      </c>
    </row>
    <row r="56" spans="1:5" x14ac:dyDescent="0.25">
      <c r="A56" s="132">
        <v>41456</v>
      </c>
      <c r="B56" s="133">
        <v>101.107583238743</v>
      </c>
      <c r="C56" s="131">
        <f t="shared" si="2"/>
        <v>1.184505621048202E-2</v>
      </c>
      <c r="D56" s="131">
        <f t="shared" si="0"/>
        <v>-0.35684699142764459</v>
      </c>
      <c r="E56" s="131">
        <f t="shared" si="1"/>
        <v>0.36060317752353799</v>
      </c>
    </row>
    <row r="57" spans="1:5" x14ac:dyDescent="0.25">
      <c r="A57" s="132">
        <v>41548</v>
      </c>
      <c r="B57" s="133">
        <v>101.691786666608</v>
      </c>
      <c r="C57" s="131">
        <f t="shared" si="2"/>
        <v>1.6945139090507214E-2</v>
      </c>
      <c r="D57" s="131">
        <f t="shared" si="0"/>
        <v>-0.23584208593853895</v>
      </c>
      <c r="E57" s="131">
        <f t="shared" si="1"/>
        <v>0.40677760464245422</v>
      </c>
    </row>
    <row r="58" spans="1:5" x14ac:dyDescent="0.25">
      <c r="A58" s="132">
        <v>41640</v>
      </c>
      <c r="B58" s="133">
        <v>101.685783150473</v>
      </c>
      <c r="C58" s="131">
        <f t="shared" si="2"/>
        <v>9.5076931297134876E-3</v>
      </c>
      <c r="D58" s="131">
        <f t="shared" si="0"/>
        <v>-0.41230342328090969</v>
      </c>
      <c r="E58" s="131">
        <f t="shared" si="1"/>
        <v>0.34005851991434732</v>
      </c>
    </row>
    <row r="59" spans="1:5" x14ac:dyDescent="0.25">
      <c r="A59" s="132">
        <v>41730</v>
      </c>
      <c r="B59" s="133">
        <v>102.176648194897</v>
      </c>
      <c r="C59" s="131">
        <f t="shared" si="2"/>
        <v>1.0922977660154097E-2</v>
      </c>
      <c r="D59" s="131">
        <f t="shared" si="0"/>
        <v>-0.37872428841686745</v>
      </c>
      <c r="E59" s="131">
        <f t="shared" si="1"/>
        <v>0.35244630753476336</v>
      </c>
    </row>
    <row r="60" spans="1:5" x14ac:dyDescent="0.25">
      <c r="A60" s="132">
        <v>41821</v>
      </c>
      <c r="B60" s="133">
        <v>101.851953704517</v>
      </c>
      <c r="C60" s="131">
        <f t="shared" si="2"/>
        <v>7.335194143202212E-3</v>
      </c>
      <c r="D60" s="131">
        <f t="shared" si="0"/>
        <v>-0.46384827867288247</v>
      </c>
      <c r="E60" s="131">
        <f t="shared" si="1"/>
        <v>0.32137822550678413</v>
      </c>
    </row>
    <row r="61" spans="1:5" x14ac:dyDescent="0.25">
      <c r="A61" s="132">
        <v>41913</v>
      </c>
      <c r="B61" s="133">
        <v>101.609945313111</v>
      </c>
      <c r="C61" s="131">
        <f t="shared" si="2"/>
        <v>-8.0512209237945187E-4</v>
      </c>
      <c r="D61" s="131">
        <f t="shared" si="0"/>
        <v>-0.65698596288501165</v>
      </c>
      <c r="E61" s="131">
        <f t="shared" si="1"/>
        <v>0.25559497116075408</v>
      </c>
    </row>
    <row r="62" spans="1:5" x14ac:dyDescent="0.25">
      <c r="A62" s="132">
        <v>42005</v>
      </c>
      <c r="B62" s="133">
        <v>100.572668083382</v>
      </c>
      <c r="C62" s="131">
        <f t="shared" si="2"/>
        <v>-1.1006969532450901E-2</v>
      </c>
      <c r="D62" s="131">
        <f t="shared" si="0"/>
        <v>-0.89903567351520863</v>
      </c>
      <c r="E62" s="131">
        <f t="shared" si="1"/>
        <v>0.18431682974063909</v>
      </c>
    </row>
    <row r="63" spans="1:5" x14ac:dyDescent="0.25">
      <c r="A63" s="132">
        <v>42095</v>
      </c>
      <c r="B63" s="133">
        <v>99.896710017710902</v>
      </c>
      <c r="C63" s="131">
        <f t="shared" si="2"/>
        <v>-2.2566408061267411E-2</v>
      </c>
      <c r="D63" s="131">
        <f t="shared" si="0"/>
        <v>-1.1732956805760466</v>
      </c>
      <c r="E63" s="131">
        <f t="shared" si="1"/>
        <v>0.12033862691941419</v>
      </c>
    </row>
    <row r="64" spans="1:5" x14ac:dyDescent="0.25">
      <c r="A64" s="132">
        <v>42186</v>
      </c>
      <c r="B64" s="133">
        <v>100.090012742299</v>
      </c>
      <c r="C64" s="131">
        <f t="shared" si="2"/>
        <v>-1.7450416124441249E-2</v>
      </c>
      <c r="D64" s="131">
        <f t="shared" si="0"/>
        <v>-1.051913315747572</v>
      </c>
      <c r="E64" s="131">
        <f t="shared" si="1"/>
        <v>0.146419661040603</v>
      </c>
    </row>
    <row r="65" spans="1:5" x14ac:dyDescent="0.25">
      <c r="A65" s="132">
        <v>42278</v>
      </c>
      <c r="B65" s="133">
        <v>99.832763496625006</v>
      </c>
      <c r="C65" s="131">
        <f t="shared" si="2"/>
        <v>-1.7644996302949138E-2</v>
      </c>
      <c r="D65" s="131">
        <f t="shared" si="0"/>
        <v>-1.0565299379994604</v>
      </c>
      <c r="E65" s="131">
        <f t="shared" si="1"/>
        <v>0.14536308527443295</v>
      </c>
    </row>
    <row r="66" spans="1:5" x14ac:dyDescent="0.25">
      <c r="A66" s="132">
        <v>42370</v>
      </c>
      <c r="B66" s="133">
        <v>100.022544794415</v>
      </c>
      <c r="C66" s="131">
        <f t="shared" si="2"/>
        <v>-5.4849231968269064E-3</v>
      </c>
      <c r="D66" s="131">
        <f t="shared" si="0"/>
        <v>-0.76801923502443992</v>
      </c>
      <c r="E66" s="131">
        <f t="shared" si="1"/>
        <v>0.2212378787009921</v>
      </c>
    </row>
    <row r="67" spans="1:5" x14ac:dyDescent="0.25">
      <c r="A67" s="132">
        <v>42461</v>
      </c>
      <c r="B67" s="133">
        <v>100.07612995939201</v>
      </c>
      <c r="C67" s="131">
        <f t="shared" si="2"/>
        <v>1.7944435839027573E-3</v>
      </c>
      <c r="D67" s="131">
        <f t="shared" si="0"/>
        <v>-0.59530849481812054</v>
      </c>
      <c r="E67" s="131">
        <f t="shared" si="1"/>
        <v>0.27581863932444783</v>
      </c>
    </row>
    <row r="68" spans="1:5" x14ac:dyDescent="0.25">
      <c r="A68" s="132">
        <v>42552</v>
      </c>
      <c r="B68" s="133">
        <v>100.177367738196</v>
      </c>
      <c r="C68" s="131">
        <f t="shared" si="2"/>
        <v>8.7238372247700087E-4</v>
      </c>
      <c r="D68" s="131">
        <f t="shared" si="0"/>
        <v>-0.61718534839320804</v>
      </c>
      <c r="E68" s="131">
        <f t="shared" si="1"/>
        <v>0.26855623932204931</v>
      </c>
    </row>
    <row r="69" spans="1:5" x14ac:dyDescent="0.25">
      <c r="A69" s="132">
        <v>42644</v>
      </c>
      <c r="B69" s="133">
        <v>100.989607085302</v>
      </c>
      <c r="C69" s="131">
        <f t="shared" si="2"/>
        <v>1.1521190410264101E-2</v>
      </c>
      <c r="D69" s="131">
        <f t="shared" si="0"/>
        <v>-0.36453105293574489</v>
      </c>
      <c r="E69" s="131">
        <f t="shared" si="1"/>
        <v>0.35773074485377243</v>
      </c>
    </row>
    <row r="70" spans="1:5" x14ac:dyDescent="0.25">
      <c r="A70" s="132">
        <v>42736</v>
      </c>
      <c r="B70" s="133">
        <v>101.257871819486</v>
      </c>
      <c r="C70" s="131">
        <f t="shared" si="2"/>
        <v>1.2274840807177679E-2</v>
      </c>
      <c r="D70" s="131">
        <f t="shared" si="0"/>
        <v>-0.346649893512331</v>
      </c>
      <c r="E70" s="131">
        <f t="shared" si="1"/>
        <v>0.36442717887509335</v>
      </c>
    </row>
    <row r="71" spans="1:5" x14ac:dyDescent="0.25">
      <c r="A71" s="132">
        <v>42826</v>
      </c>
      <c r="B71" s="133">
        <v>101.88851663491199</v>
      </c>
      <c r="C71" s="131">
        <f t="shared" si="2"/>
        <v>1.7948045444430516E-2</v>
      </c>
      <c r="D71" s="131">
        <f t="shared" si="0"/>
        <v>-0.21204706310739757</v>
      </c>
      <c r="E71" s="131">
        <f t="shared" si="1"/>
        <v>0.4160351590062305</v>
      </c>
    </row>
    <row r="72" spans="1:5" x14ac:dyDescent="0.25">
      <c r="A72" s="132">
        <v>42917</v>
      </c>
      <c r="B72" s="133">
        <v>102.547713575958</v>
      </c>
      <c r="C72" s="131">
        <f t="shared" si="2"/>
        <v>2.3385896307959685E-2</v>
      </c>
      <c r="D72" s="131">
        <f t="shared" si="0"/>
        <v>-8.3028251985263743E-2</v>
      </c>
      <c r="E72" s="131">
        <f t="shared" si="1"/>
        <v>0.46691453766519231</v>
      </c>
    </row>
    <row r="73" spans="1:5" x14ac:dyDescent="0.25">
      <c r="A73" s="132">
        <v>43009</v>
      </c>
      <c r="B73" s="133">
        <v>102.57238261549</v>
      </c>
      <c r="C73" s="131">
        <f t="shared" si="2"/>
        <v>1.5551109813725818E-2</v>
      </c>
      <c r="D73" s="131">
        <f t="shared" si="0"/>
        <v>-0.26891691724111294</v>
      </c>
      <c r="E73" s="131">
        <f t="shared" si="1"/>
        <v>0.39399680913966767</v>
      </c>
    </row>
    <row r="74" spans="1:5" x14ac:dyDescent="0.25">
      <c r="A74" s="132">
        <v>43101</v>
      </c>
      <c r="B74" s="133">
        <v>103.932236667382</v>
      </c>
      <c r="C74" s="131">
        <f t="shared" si="2"/>
        <v>2.6068666941266135E-2</v>
      </c>
      <c r="D74" s="131">
        <f t="shared" si="0"/>
        <v>-1.9376657576156517E-2</v>
      </c>
      <c r="E74" s="131">
        <f t="shared" si="1"/>
        <v>0.49227031573428931</v>
      </c>
    </row>
    <row r="75" spans="1:5" x14ac:dyDescent="0.25">
      <c r="A75" s="132">
        <v>43191</v>
      </c>
      <c r="B75" s="133">
        <v>104.25095544716901</v>
      </c>
      <c r="C75" s="131">
        <f t="shared" si="2"/>
        <v>2.2921784212867051E-2</v>
      </c>
      <c r="D75" s="131">
        <f t="shared" si="0"/>
        <v>-9.4039806409798435E-2</v>
      </c>
      <c r="E75" s="131">
        <f t="shared" si="1"/>
        <v>0.46253876794349724</v>
      </c>
    </row>
    <row r="76" spans="1:5" x14ac:dyDescent="0.25">
      <c r="A76" s="132">
        <v>43282</v>
      </c>
      <c r="B76" s="133">
        <v>104.633733468153</v>
      </c>
      <c r="C76" s="131">
        <f t="shared" si="2"/>
        <v>2.013781076474036E-2</v>
      </c>
      <c r="D76" s="131">
        <f t="shared" si="0"/>
        <v>-0.16009254553177241</v>
      </c>
      <c r="E76" s="131">
        <f t="shared" si="1"/>
        <v>0.43640408662151653</v>
      </c>
    </row>
    <row r="77" spans="1:5" x14ac:dyDescent="0.25">
      <c r="A77" s="132">
        <v>43374</v>
      </c>
      <c r="B77" s="133">
        <v>105.083258037677</v>
      </c>
      <c r="C77" s="131">
        <f t="shared" si="2"/>
        <v>2.4184248428973331E-2</v>
      </c>
      <c r="D77" s="131">
        <f t="shared" si="0"/>
        <v>-6.4086496483869618E-2</v>
      </c>
      <c r="E77" s="131">
        <f t="shared" si="1"/>
        <v>0.47445067699376542</v>
      </c>
    </row>
    <row r="78" spans="1:5" x14ac:dyDescent="0.25">
      <c r="A78" s="132">
        <v>43466</v>
      </c>
      <c r="B78" s="133">
        <v>104.590818609754</v>
      </c>
      <c r="C78" s="131">
        <f t="shared" si="2"/>
        <v>6.3166553097698331E-3</v>
      </c>
      <c r="D78" s="131">
        <f t="shared" si="0"/>
        <v>-0.48801419875217744</v>
      </c>
      <c r="E78" s="131">
        <f t="shared" si="1"/>
        <v>0.31276989194338711</v>
      </c>
    </row>
    <row r="79" spans="1:5" x14ac:dyDescent="0.25">
      <c r="A79" s="132">
        <v>43556</v>
      </c>
      <c r="B79" s="133">
        <v>107.070858247443</v>
      </c>
      <c r="C79" s="131">
        <f t="shared" si="2"/>
        <v>2.6689816300470858E-2</v>
      </c>
      <c r="D79" s="131">
        <f t="shared" si="0"/>
        <v>-4.6392265827184731E-3</v>
      </c>
      <c r="E79" s="131">
        <f t="shared" si="1"/>
        <v>0.49814922300666137</v>
      </c>
    </row>
    <row r="80" spans="1:5" x14ac:dyDescent="0.25">
      <c r="A80" s="132">
        <v>43647</v>
      </c>
      <c r="B80" s="133">
        <v>106.129808977435</v>
      </c>
      <c r="C80" s="131">
        <f t="shared" ref="C80:C82" si="3">LN(B80/B76)</f>
        <v>1.4196958545347679E-2</v>
      </c>
      <c r="D80" s="131">
        <f t="shared" ref="D80:D82" si="4">(C80-$E$1)/$E$2</f>
        <v>-0.30104560026503274</v>
      </c>
      <c r="E80" s="131">
        <f t="shared" ref="E80:E82" si="5">_xlfn.NORM.DIST(C80,$E$1,$E$2,TRUE)</f>
        <v>0.38168986122077392</v>
      </c>
    </row>
    <row r="81" spans="1:5" x14ac:dyDescent="0.25">
      <c r="A81" s="132">
        <v>43739</v>
      </c>
      <c r="B81" s="133">
        <v>105.38131430377599</v>
      </c>
      <c r="C81" s="131">
        <f t="shared" si="3"/>
        <v>2.8323671014195044E-3</v>
      </c>
      <c r="D81" s="131">
        <f t="shared" si="4"/>
        <v>-0.57068265243545446</v>
      </c>
      <c r="E81" s="131">
        <f t="shared" si="5"/>
        <v>0.28410739006061431</v>
      </c>
    </row>
    <row r="82" spans="1:5" x14ac:dyDescent="0.25">
      <c r="A82" s="132">
        <v>43831</v>
      </c>
      <c r="B82" s="133">
        <v>104.45443668536301</v>
      </c>
      <c r="C82" s="131">
        <f t="shared" si="3"/>
        <v>-1.3048078374025777E-3</v>
      </c>
      <c r="D82" s="131">
        <f t="shared" si="4"/>
        <v>-0.66884154009290164</v>
      </c>
      <c r="E82" s="131">
        <f t="shared" si="5"/>
        <v>0.25179828254337111</v>
      </c>
    </row>
    <row r="83" spans="1:5" x14ac:dyDescent="0.25">
      <c r="A83" s="132">
        <v>43922</v>
      </c>
      <c r="B83" s="133">
        <v>101.07258177209999</v>
      </c>
      <c r="C83" s="131">
        <f t="shared" ref="C83" si="6">LN(B83/B79)</f>
        <v>-5.7651951741955705E-2</v>
      </c>
      <c r="D83" s="131">
        <f t="shared" ref="D83" si="7">(C83-$E$1)/$E$2</f>
        <v>-2.0057376225969188</v>
      </c>
      <c r="E83" s="131">
        <f t="shared" ref="E83" si="8">_xlfn.NORM.DIST(C83,$E$1,$E$2,TRUE)</f>
        <v>2.2442124464070085E-2</v>
      </c>
    </row>
  </sheetData>
  <hyperlinks>
    <hyperlink ref="A8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97"/>
  <sheetViews>
    <sheetView topLeftCell="A52" workbookViewId="0">
      <selection activeCell="D58" sqref="D58"/>
    </sheetView>
  </sheetViews>
  <sheetFormatPr defaultRowHeight="15" x14ac:dyDescent="0.25"/>
  <cols>
    <col min="1" max="1" width="43.28515625" customWidth="1"/>
    <col min="2" max="2" width="59.140625" customWidth="1"/>
    <col min="3" max="3" width="19.140625" customWidth="1"/>
    <col min="4" max="4" width="59.85546875" customWidth="1"/>
  </cols>
  <sheetData>
    <row r="1" spans="1:4" x14ac:dyDescent="0.25">
      <c r="A1" t="s">
        <v>323</v>
      </c>
      <c r="B1" t="s">
        <v>415</v>
      </c>
      <c r="C1" t="s">
        <v>333</v>
      </c>
      <c r="D1" t="s">
        <v>414</v>
      </c>
    </row>
    <row r="2" spans="1:4" ht="15" customHeight="1" x14ac:dyDescent="0.25">
      <c r="A2" t="s">
        <v>253</v>
      </c>
      <c r="B2" t="s">
        <v>322</v>
      </c>
      <c r="D2" t="s">
        <v>322</v>
      </c>
    </row>
    <row r="3" spans="1:4" x14ac:dyDescent="0.25">
      <c r="A3" t="s">
        <v>117</v>
      </c>
      <c r="B3" t="s">
        <v>327</v>
      </c>
      <c r="D3" t="s">
        <v>342</v>
      </c>
    </row>
    <row r="4" spans="1:4" x14ac:dyDescent="0.25">
      <c r="A4" t="s">
        <v>250</v>
      </c>
      <c r="B4" t="s">
        <v>327</v>
      </c>
      <c r="D4" t="s">
        <v>342</v>
      </c>
    </row>
    <row r="5" spans="1:4" x14ac:dyDescent="0.25">
      <c r="A5" t="s">
        <v>116</v>
      </c>
      <c r="B5" t="s">
        <v>327</v>
      </c>
      <c r="D5" t="s">
        <v>342</v>
      </c>
    </row>
    <row r="6" spans="1:4" ht="15" customHeight="1" x14ac:dyDescent="0.25">
      <c r="A6" t="s">
        <v>235</v>
      </c>
      <c r="B6" t="s">
        <v>337</v>
      </c>
      <c r="C6" t="s">
        <v>331</v>
      </c>
      <c r="D6" t="s">
        <v>405</v>
      </c>
    </row>
    <row r="7" spans="1:4" ht="15" customHeight="1" x14ac:dyDescent="0.25">
      <c r="A7" t="s">
        <v>245</v>
      </c>
      <c r="B7" t="s">
        <v>322</v>
      </c>
      <c r="D7" t="s">
        <v>322</v>
      </c>
    </row>
    <row r="8" spans="1:4" ht="15" customHeight="1" x14ac:dyDescent="0.25">
      <c r="A8" t="s">
        <v>233</v>
      </c>
      <c r="B8" t="s">
        <v>326</v>
      </c>
      <c r="D8" t="s">
        <v>385</v>
      </c>
    </row>
    <row r="9" spans="1:4" ht="15" customHeight="1" x14ac:dyDescent="0.25">
      <c r="A9" t="s">
        <v>234</v>
      </c>
      <c r="B9" t="s">
        <v>337</v>
      </c>
      <c r="C9" t="s">
        <v>328</v>
      </c>
      <c r="D9" t="s">
        <v>398</v>
      </c>
    </row>
    <row r="10" spans="1:4" ht="15" customHeight="1" x14ac:dyDescent="0.25">
      <c r="A10" t="s">
        <v>236</v>
      </c>
      <c r="B10" t="s">
        <v>329</v>
      </c>
      <c r="D10" t="s">
        <v>329</v>
      </c>
    </row>
    <row r="11" spans="1:4" ht="15" customHeight="1" x14ac:dyDescent="0.25">
      <c r="A11" t="s">
        <v>237</v>
      </c>
      <c r="B11" t="s">
        <v>322</v>
      </c>
      <c r="D11" t="s">
        <v>322</v>
      </c>
    </row>
    <row r="12" spans="1:4" ht="15" customHeight="1" x14ac:dyDescent="0.25">
      <c r="A12" t="s">
        <v>238</v>
      </c>
      <c r="B12" t="s">
        <v>322</v>
      </c>
      <c r="D12" t="s">
        <v>322</v>
      </c>
    </row>
    <row r="13" spans="1:4" ht="15" customHeight="1" x14ac:dyDescent="0.25">
      <c r="A13" t="s">
        <v>239</v>
      </c>
      <c r="B13" t="s">
        <v>337</v>
      </c>
      <c r="C13" t="s">
        <v>328</v>
      </c>
      <c r="D13" t="s">
        <v>398</v>
      </c>
    </row>
    <row r="14" spans="1:4" ht="15" customHeight="1" x14ac:dyDescent="0.25">
      <c r="A14" t="s">
        <v>113</v>
      </c>
      <c r="B14" t="s">
        <v>346</v>
      </c>
      <c r="D14" t="s">
        <v>400</v>
      </c>
    </row>
    <row r="15" spans="1:4" ht="15" customHeight="1" x14ac:dyDescent="0.25">
      <c r="A15" t="s">
        <v>240</v>
      </c>
      <c r="B15" t="s">
        <v>329</v>
      </c>
      <c r="D15" t="s">
        <v>329</v>
      </c>
    </row>
    <row r="16" spans="1:4" ht="15" customHeight="1" x14ac:dyDescent="0.25">
      <c r="A16" t="s">
        <v>241</v>
      </c>
      <c r="B16" t="s">
        <v>337</v>
      </c>
      <c r="C16" t="s">
        <v>328</v>
      </c>
      <c r="D16" t="s">
        <v>398</v>
      </c>
    </row>
    <row r="17" spans="1:4" ht="15" customHeight="1" x14ac:dyDescent="0.25">
      <c r="A17" t="s">
        <v>242</v>
      </c>
      <c r="B17" t="s">
        <v>337</v>
      </c>
      <c r="C17" t="s">
        <v>332</v>
      </c>
      <c r="D17" t="s">
        <v>405</v>
      </c>
    </row>
    <row r="18" spans="1:4" ht="15" customHeight="1" x14ac:dyDescent="0.25">
      <c r="A18" t="s">
        <v>243</v>
      </c>
      <c r="B18" t="s">
        <v>346</v>
      </c>
      <c r="D18" t="s">
        <v>400</v>
      </c>
    </row>
    <row r="19" spans="1:4" ht="15" customHeight="1" x14ac:dyDescent="0.25">
      <c r="A19" t="s">
        <v>244</v>
      </c>
      <c r="B19" t="s">
        <v>338</v>
      </c>
      <c r="D19" t="s">
        <v>384</v>
      </c>
    </row>
    <row r="20" spans="1:4" ht="15" customHeight="1" x14ac:dyDescent="0.25">
      <c r="A20" t="s">
        <v>246</v>
      </c>
      <c r="B20" t="s">
        <v>322</v>
      </c>
      <c r="D20" t="s">
        <v>322</v>
      </c>
    </row>
    <row r="21" spans="1:4" ht="15" customHeight="1" x14ac:dyDescent="0.25">
      <c r="A21" t="s">
        <v>247</v>
      </c>
      <c r="B21" t="s">
        <v>322</v>
      </c>
      <c r="D21" t="s">
        <v>322</v>
      </c>
    </row>
    <row r="22" spans="1:4" ht="15" customHeight="1" x14ac:dyDescent="0.25">
      <c r="A22" t="s">
        <v>248</v>
      </c>
      <c r="B22" t="s">
        <v>329</v>
      </c>
      <c r="D22" t="s">
        <v>329</v>
      </c>
    </row>
    <row r="23" spans="1:4" ht="15" customHeight="1" x14ac:dyDescent="0.25">
      <c r="A23" t="s">
        <v>112</v>
      </c>
      <c r="B23" t="s">
        <v>337</v>
      </c>
      <c r="C23" t="s">
        <v>332</v>
      </c>
      <c r="D23" t="s">
        <v>405</v>
      </c>
    </row>
    <row r="24" spans="1:4" ht="15" customHeight="1" x14ac:dyDescent="0.25">
      <c r="A24" t="s">
        <v>249</v>
      </c>
      <c r="B24" t="s">
        <v>322</v>
      </c>
      <c r="D24" t="s">
        <v>322</v>
      </c>
    </row>
    <row r="25" spans="1:4" x14ac:dyDescent="0.25">
      <c r="A25" t="s">
        <v>251</v>
      </c>
      <c r="B25" t="s">
        <v>327</v>
      </c>
      <c r="D25" t="s">
        <v>342</v>
      </c>
    </row>
    <row r="26" spans="1:4" ht="15" customHeight="1" x14ac:dyDescent="0.25">
      <c r="A26" t="s">
        <v>252</v>
      </c>
      <c r="B26" t="s">
        <v>337</v>
      </c>
      <c r="C26" t="s">
        <v>331</v>
      </c>
      <c r="D26" t="s">
        <v>405</v>
      </c>
    </row>
    <row r="27" spans="1:4" ht="15" customHeight="1" x14ac:dyDescent="0.25">
      <c r="A27" t="s">
        <v>254</v>
      </c>
      <c r="B27" t="s">
        <v>322</v>
      </c>
      <c r="D27" t="s">
        <v>322</v>
      </c>
    </row>
    <row r="28" spans="1:4" ht="15" customHeight="1" x14ac:dyDescent="0.25">
      <c r="A28" t="s">
        <v>304</v>
      </c>
      <c r="B28" t="s">
        <v>326</v>
      </c>
      <c r="D28" t="s">
        <v>385</v>
      </c>
    </row>
    <row r="29" spans="1:4" ht="15" customHeight="1" x14ac:dyDescent="0.25">
      <c r="A29" t="s">
        <v>255</v>
      </c>
      <c r="B29" t="s">
        <v>322</v>
      </c>
      <c r="D29" t="s">
        <v>322</v>
      </c>
    </row>
    <row r="30" spans="1:4" ht="15" customHeight="1" x14ac:dyDescent="0.25">
      <c r="A30" t="s">
        <v>306</v>
      </c>
      <c r="B30" t="s">
        <v>335</v>
      </c>
      <c r="D30" t="s">
        <v>411</v>
      </c>
    </row>
    <row r="31" spans="1:4" ht="15" customHeight="1" x14ac:dyDescent="0.25">
      <c r="A31" t="s">
        <v>9</v>
      </c>
      <c r="B31" t="s">
        <v>326</v>
      </c>
      <c r="D31" t="s">
        <v>385</v>
      </c>
    </row>
    <row r="32" spans="1:4" ht="15" customHeight="1" x14ac:dyDescent="0.25">
      <c r="A32" t="s">
        <v>256</v>
      </c>
      <c r="B32" t="s">
        <v>322</v>
      </c>
      <c r="D32" t="s">
        <v>322</v>
      </c>
    </row>
    <row r="33" spans="1:4" ht="15" customHeight="1" x14ac:dyDescent="0.25">
      <c r="A33" t="s">
        <v>257</v>
      </c>
      <c r="B33" t="s">
        <v>335</v>
      </c>
      <c r="D33" t="s">
        <v>411</v>
      </c>
    </row>
    <row r="34" spans="1:4" ht="15" customHeight="1" x14ac:dyDescent="0.25">
      <c r="A34" t="s">
        <v>308</v>
      </c>
      <c r="B34" t="s">
        <v>322</v>
      </c>
      <c r="D34" t="s">
        <v>322</v>
      </c>
    </row>
    <row r="35" spans="1:4" ht="15" customHeight="1" x14ac:dyDescent="0.25">
      <c r="A35" t="s">
        <v>261</v>
      </c>
      <c r="B35" t="s">
        <v>335</v>
      </c>
      <c r="D35" t="s">
        <v>411</v>
      </c>
    </row>
    <row r="36" spans="1:4" ht="15" customHeight="1" x14ac:dyDescent="0.25">
      <c r="A36" t="s">
        <v>310</v>
      </c>
      <c r="B36" t="s">
        <v>322</v>
      </c>
      <c r="D36" t="s">
        <v>322</v>
      </c>
    </row>
    <row r="37" spans="1:4" x14ac:dyDescent="0.25">
      <c r="A37" t="s">
        <v>313</v>
      </c>
      <c r="B37" t="s">
        <v>327</v>
      </c>
      <c r="D37" t="s">
        <v>342</v>
      </c>
    </row>
    <row r="38" spans="1:4" ht="15" customHeight="1" x14ac:dyDescent="0.25">
      <c r="A38" t="s">
        <v>315</v>
      </c>
      <c r="B38" t="s">
        <v>335</v>
      </c>
      <c r="D38" t="s">
        <v>411</v>
      </c>
    </row>
    <row r="39" spans="1:4" ht="15" customHeight="1" x14ac:dyDescent="0.25">
      <c r="A39" t="s">
        <v>262</v>
      </c>
      <c r="B39" t="s">
        <v>326</v>
      </c>
      <c r="D39" t="s">
        <v>385</v>
      </c>
    </row>
    <row r="40" spans="1:4" ht="15" customHeight="1" x14ac:dyDescent="0.25">
      <c r="A40" t="s">
        <v>6</v>
      </c>
      <c r="B40" t="s">
        <v>326</v>
      </c>
      <c r="D40" t="s">
        <v>385</v>
      </c>
    </row>
    <row r="41" spans="1:4" ht="15" customHeight="1" x14ac:dyDescent="0.25">
      <c r="A41" t="s">
        <v>7</v>
      </c>
      <c r="B41" t="s">
        <v>325</v>
      </c>
      <c r="D41" t="s">
        <v>390</v>
      </c>
    </row>
    <row r="42" spans="1:4" ht="15" customHeight="1" x14ac:dyDescent="0.25">
      <c r="A42" t="s">
        <v>258</v>
      </c>
      <c r="B42" t="s">
        <v>322</v>
      </c>
      <c r="D42" t="s">
        <v>322</v>
      </c>
    </row>
    <row r="43" spans="1:4" ht="15" customHeight="1" x14ac:dyDescent="0.25">
      <c r="A43" t="s">
        <v>260</v>
      </c>
      <c r="B43" t="s">
        <v>322</v>
      </c>
      <c r="D43" t="s">
        <v>322</v>
      </c>
    </row>
    <row r="44" spans="1:4" ht="15" customHeight="1" x14ac:dyDescent="0.25">
      <c r="A44" t="s">
        <v>263</v>
      </c>
      <c r="B44" t="s">
        <v>334</v>
      </c>
      <c r="D44" t="s">
        <v>404</v>
      </c>
    </row>
    <row r="45" spans="1:4" ht="15" customHeight="1" x14ac:dyDescent="0.25">
      <c r="A45" t="s">
        <v>264</v>
      </c>
      <c r="B45" t="s">
        <v>336</v>
      </c>
      <c r="D45" t="s">
        <v>336</v>
      </c>
    </row>
    <row r="46" spans="1:4" x14ac:dyDescent="0.25">
      <c r="A46" t="s">
        <v>139</v>
      </c>
      <c r="B46" t="s">
        <v>327</v>
      </c>
      <c r="D46" t="s">
        <v>342</v>
      </c>
    </row>
    <row r="47" spans="1:4" ht="15" customHeight="1" x14ac:dyDescent="0.25">
      <c r="A47" t="s">
        <v>330</v>
      </c>
      <c r="B47" t="s">
        <v>337</v>
      </c>
      <c r="C47" t="s">
        <v>331</v>
      </c>
      <c r="D47" t="s">
        <v>405</v>
      </c>
    </row>
    <row r="48" spans="1:4" ht="15" customHeight="1" x14ac:dyDescent="0.25">
      <c r="A48" t="s">
        <v>511</v>
      </c>
      <c r="B48" t="s">
        <v>337</v>
      </c>
      <c r="C48" t="s">
        <v>331</v>
      </c>
      <c r="D48" t="s">
        <v>405</v>
      </c>
    </row>
    <row r="49" spans="1:4" ht="15" customHeight="1" x14ac:dyDescent="0.25">
      <c r="A49" t="s">
        <v>382</v>
      </c>
      <c r="B49" t="s">
        <v>327</v>
      </c>
      <c r="C49" t="s">
        <v>417</v>
      </c>
      <c r="D49" t="s">
        <v>342</v>
      </c>
    </row>
    <row r="50" spans="1:4" ht="15" customHeight="1" x14ac:dyDescent="0.25">
      <c r="A50" t="s">
        <v>383</v>
      </c>
      <c r="B50" t="s">
        <v>327</v>
      </c>
      <c r="C50" t="s">
        <v>416</v>
      </c>
      <c r="D50" t="s">
        <v>342</v>
      </c>
    </row>
    <row r="51" spans="1:4" x14ac:dyDescent="0.25">
      <c r="A51" t="s">
        <v>367</v>
      </c>
      <c r="B51" t="s">
        <v>337</v>
      </c>
      <c r="C51" t="s">
        <v>418</v>
      </c>
      <c r="D51" t="s">
        <v>398</v>
      </c>
    </row>
    <row r="52" spans="1:4" x14ac:dyDescent="0.25">
      <c r="A52" t="s">
        <v>379</v>
      </c>
      <c r="C52" t="s">
        <v>349</v>
      </c>
      <c r="D52" t="s">
        <v>404</v>
      </c>
    </row>
    <row r="53" spans="1:4" x14ac:dyDescent="0.25">
      <c r="A53" t="s">
        <v>380</v>
      </c>
      <c r="C53" t="s">
        <v>349</v>
      </c>
      <c r="D53" t="s">
        <v>404</v>
      </c>
    </row>
    <row r="54" spans="1:4" x14ac:dyDescent="0.25">
      <c r="A54" t="s">
        <v>135</v>
      </c>
      <c r="C54" t="s">
        <v>419</v>
      </c>
      <c r="D54" t="s">
        <v>342</v>
      </c>
    </row>
    <row r="55" spans="1:4" x14ac:dyDescent="0.25">
      <c r="A55" t="s">
        <v>137</v>
      </c>
      <c r="D55" t="s">
        <v>329</v>
      </c>
    </row>
    <row r="56" spans="1:4" x14ac:dyDescent="0.25">
      <c r="A56" t="s">
        <v>381</v>
      </c>
      <c r="D56" t="s">
        <v>400</v>
      </c>
    </row>
    <row r="57" spans="1:4" x14ac:dyDescent="0.25">
      <c r="A57" t="s">
        <v>487</v>
      </c>
      <c r="D57" t="s">
        <v>510</v>
      </c>
    </row>
    <row r="58" spans="1:4" x14ac:dyDescent="0.25">
      <c r="A58" t="s">
        <v>533</v>
      </c>
      <c r="D58" t="s">
        <v>399</v>
      </c>
    </row>
    <row r="59" spans="1:4" x14ac:dyDescent="0.25">
      <c r="A59" t="s">
        <v>526</v>
      </c>
      <c r="D59" t="s">
        <v>395</v>
      </c>
    </row>
    <row r="65" spans="2:2" x14ac:dyDescent="0.25">
      <c r="B65" t="s">
        <v>384</v>
      </c>
    </row>
    <row r="66" spans="2:2" x14ac:dyDescent="0.25">
      <c r="B66" t="s">
        <v>385</v>
      </c>
    </row>
    <row r="67" spans="2:2" x14ac:dyDescent="0.25">
      <c r="B67" t="s">
        <v>386</v>
      </c>
    </row>
    <row r="68" spans="2:2" x14ac:dyDescent="0.25">
      <c r="B68" t="s">
        <v>387</v>
      </c>
    </row>
    <row r="69" spans="2:2" x14ac:dyDescent="0.25">
      <c r="B69" t="s">
        <v>388</v>
      </c>
    </row>
    <row r="70" spans="2:2" x14ac:dyDescent="0.25">
      <c r="B70" t="s">
        <v>389</v>
      </c>
    </row>
    <row r="71" spans="2:2" x14ac:dyDescent="0.25">
      <c r="B71" t="s">
        <v>390</v>
      </c>
    </row>
    <row r="72" spans="2:2" x14ac:dyDescent="0.25">
      <c r="B72" t="s">
        <v>391</v>
      </c>
    </row>
    <row r="73" spans="2:2" x14ac:dyDescent="0.25">
      <c r="B73" t="s">
        <v>392</v>
      </c>
    </row>
    <row r="74" spans="2:2" x14ac:dyDescent="0.25">
      <c r="B74" t="s">
        <v>393</v>
      </c>
    </row>
    <row r="75" spans="2:2" x14ac:dyDescent="0.25">
      <c r="B75" t="s">
        <v>394</v>
      </c>
    </row>
    <row r="76" spans="2:2" x14ac:dyDescent="0.25">
      <c r="B76" t="s">
        <v>342</v>
      </c>
    </row>
    <row r="77" spans="2:2" x14ac:dyDescent="0.25">
      <c r="B77" t="s">
        <v>395</v>
      </c>
    </row>
    <row r="78" spans="2:2" x14ac:dyDescent="0.25">
      <c r="B78" t="s">
        <v>396</v>
      </c>
    </row>
    <row r="79" spans="2:2" x14ac:dyDescent="0.25">
      <c r="B79" t="s">
        <v>329</v>
      </c>
    </row>
    <row r="80" spans="2:2" x14ac:dyDescent="0.25">
      <c r="B80" t="s">
        <v>397</v>
      </c>
    </row>
    <row r="81" spans="2:2" x14ac:dyDescent="0.25">
      <c r="B81" t="s">
        <v>398</v>
      </c>
    </row>
    <row r="82" spans="2:2" x14ac:dyDescent="0.25">
      <c r="B82" t="s">
        <v>399</v>
      </c>
    </row>
    <row r="83" spans="2:2" x14ac:dyDescent="0.25">
      <c r="B83" t="s">
        <v>400</v>
      </c>
    </row>
    <row r="84" spans="2:2" x14ac:dyDescent="0.25">
      <c r="B84" t="s">
        <v>401</v>
      </c>
    </row>
    <row r="85" spans="2:2" x14ac:dyDescent="0.25">
      <c r="B85" t="s">
        <v>402</v>
      </c>
    </row>
    <row r="86" spans="2:2" x14ac:dyDescent="0.25">
      <c r="B86" t="s">
        <v>403</v>
      </c>
    </row>
    <row r="87" spans="2:2" x14ac:dyDescent="0.25">
      <c r="B87" t="s">
        <v>404</v>
      </c>
    </row>
    <row r="88" spans="2:2" x14ac:dyDescent="0.25">
      <c r="B88" t="s">
        <v>405</v>
      </c>
    </row>
    <row r="89" spans="2:2" x14ac:dyDescent="0.25">
      <c r="B89" t="s">
        <v>406</v>
      </c>
    </row>
    <row r="90" spans="2:2" x14ac:dyDescent="0.25">
      <c r="B90" t="s">
        <v>407</v>
      </c>
    </row>
    <row r="91" spans="2:2" x14ac:dyDescent="0.25">
      <c r="B91" t="s">
        <v>408</v>
      </c>
    </row>
    <row r="92" spans="2:2" x14ac:dyDescent="0.25">
      <c r="B92" t="s">
        <v>409</v>
      </c>
    </row>
    <row r="93" spans="2:2" x14ac:dyDescent="0.25">
      <c r="B93" t="s">
        <v>347</v>
      </c>
    </row>
    <row r="94" spans="2:2" x14ac:dyDescent="0.25">
      <c r="B94" t="s">
        <v>410</v>
      </c>
    </row>
    <row r="95" spans="2:2" x14ac:dyDescent="0.25">
      <c r="B95" t="s">
        <v>411</v>
      </c>
    </row>
    <row r="96" spans="2:2" x14ac:dyDescent="0.25">
      <c r="B96" t="s">
        <v>412</v>
      </c>
    </row>
    <row r="97" spans="2:2" x14ac:dyDescent="0.25">
      <c r="B97" t="s">
        <v>413</v>
      </c>
    </row>
  </sheetData>
  <autoFilter ref="A1:D5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 filterMode="1"/>
  <dimension ref="A1:R154"/>
  <sheetViews>
    <sheetView topLeftCell="A56" zoomScale="90" zoomScaleNormal="90" workbookViewId="0">
      <selection activeCell="L23" sqref="L23"/>
    </sheetView>
  </sheetViews>
  <sheetFormatPr defaultColWidth="8.7109375" defaultRowHeight="12.75" x14ac:dyDescent="0.2"/>
  <cols>
    <col min="1" max="1" width="26.85546875" style="187" customWidth="1"/>
    <col min="2" max="2" width="32.28515625" style="166" customWidth="1"/>
    <col min="3" max="3" width="27.42578125" style="166" customWidth="1"/>
    <col min="4" max="4" width="13.85546875" style="166" customWidth="1"/>
    <col min="5" max="5" width="17" style="165" customWidth="1"/>
    <col min="6" max="6" width="33.42578125" style="166" customWidth="1"/>
    <col min="7" max="7" width="15.140625" style="166" customWidth="1"/>
    <col min="8" max="9" width="16.5703125" style="166" customWidth="1"/>
    <col min="10" max="10" width="27.85546875" style="166" bestFit="1" customWidth="1"/>
    <col min="11" max="11" width="15.28515625" style="166" customWidth="1"/>
    <col min="12" max="12" width="16.5703125" style="166" customWidth="1"/>
    <col min="13" max="13" width="16.140625" style="166" customWidth="1"/>
    <col min="14" max="14" width="17.28515625" style="166" customWidth="1"/>
    <col min="15" max="15" width="13.42578125" style="166" customWidth="1"/>
    <col min="16" max="16" width="7.5703125" style="166" customWidth="1"/>
    <col min="17" max="17" width="18.7109375" style="166" customWidth="1"/>
    <col min="18" max="18" width="12.5703125" style="166" customWidth="1"/>
    <col min="19" max="19" width="8.7109375" style="166" customWidth="1"/>
    <col min="20" max="20" width="12.42578125" style="166" customWidth="1"/>
    <col min="21" max="21" width="8.7109375" style="166"/>
    <col min="22" max="22" width="14.5703125" style="166" customWidth="1"/>
    <col min="23" max="16384" width="8.7109375" style="166"/>
  </cols>
  <sheetData>
    <row r="1" spans="1:18" ht="23.25" customHeight="1" x14ac:dyDescent="0.2">
      <c r="A1" s="195" t="str">
        <f>F23</f>
        <v>Отрасль</v>
      </c>
      <c r="B1" s="196" t="str">
        <f>D23</f>
        <v>Вложения (руб)</v>
      </c>
      <c r="C1" s="170" t="s">
        <v>426</v>
      </c>
      <c r="D1" s="165"/>
      <c r="E1" s="231" t="s">
        <v>425</v>
      </c>
      <c r="F1" s="231"/>
      <c r="G1" s="231"/>
      <c r="K1" s="230"/>
      <c r="L1" s="230"/>
      <c r="M1" s="230"/>
      <c r="N1" s="230"/>
    </row>
    <row r="2" spans="1:18" x14ac:dyDescent="0.2">
      <c r="A2" s="184" t="s">
        <v>322</v>
      </c>
      <c r="B2" s="163">
        <f>SUMIF(F24:$F$464,"Банк",D24:$D$464)</f>
        <v>20200833240.729996</v>
      </c>
      <c r="C2" s="164">
        <f t="shared" ref="C2:C16" si="0">B2/$B$17</f>
        <v>0.28911605481032177</v>
      </c>
      <c r="D2" s="165"/>
      <c r="E2" s="166"/>
      <c r="I2" s="219" t="s">
        <v>481</v>
      </c>
      <c r="J2" s="219"/>
    </row>
    <row r="3" spans="1:18" x14ac:dyDescent="0.2">
      <c r="A3" s="184" t="s">
        <v>510</v>
      </c>
      <c r="B3" s="163">
        <f>SUMIF(F24:$F$464,"Страны",D24:$D$464)</f>
        <v>423410014.21999997</v>
      </c>
      <c r="C3" s="164">
        <f t="shared" si="0"/>
        <v>6.0598803732337999E-3</v>
      </c>
      <c r="D3" s="165"/>
      <c r="E3" s="166"/>
      <c r="J3" s="175" t="str">
        <f>D23</f>
        <v>Вложения (руб)</v>
      </c>
    </row>
    <row r="4" spans="1:18" ht="25.5" x14ac:dyDescent="0.2">
      <c r="A4" s="184" t="s">
        <v>404</v>
      </c>
      <c r="B4" s="163">
        <f>SUMIF($F$24:$F$464,"Электроэнергетика и теплоэнергетика",$D$24:$D$464)</f>
        <v>1094796509.0900002</v>
      </c>
      <c r="C4" s="164">
        <f t="shared" si="0"/>
        <v>1.5668821367725683E-2</v>
      </c>
      <c r="D4" s="165"/>
      <c r="E4" s="166"/>
      <c r="I4" s="181" t="s">
        <v>80</v>
      </c>
      <c r="J4" s="163">
        <f>SUMIF($H$24:$H$244,I4,$D$24:$D$244)</f>
        <v>1554926185.7</v>
      </c>
    </row>
    <row r="5" spans="1:18" x14ac:dyDescent="0.2">
      <c r="A5" s="184" t="s">
        <v>342</v>
      </c>
      <c r="B5" s="163">
        <f>SUMIF($F$24:$F$464,"Топливная промышленность",$D$24:$D$464)</f>
        <v>14861170972.140003</v>
      </c>
      <c r="C5" s="164">
        <f t="shared" si="0"/>
        <v>0.21269435127377578</v>
      </c>
      <c r="D5" s="165"/>
      <c r="E5" s="166"/>
      <c r="I5" s="162" t="s">
        <v>82</v>
      </c>
      <c r="J5" s="163">
        <f t="shared" ref="J5:J14" si="1">SUMIF($H$24:$H$244,I5,$D$24:$D$244)</f>
        <v>0</v>
      </c>
    </row>
    <row r="6" spans="1:18" x14ac:dyDescent="0.2">
      <c r="A6" s="184" t="s">
        <v>329</v>
      </c>
      <c r="B6" s="163">
        <f>SUMIF($F$24:$F$464,"Транспорт",$D$24:$D$464)</f>
        <v>2326831120.98</v>
      </c>
      <c r="C6" s="164">
        <f t="shared" si="0"/>
        <v>3.3301806212192954E-2</v>
      </c>
      <c r="D6" s="165"/>
      <c r="E6" s="166"/>
      <c r="I6" s="162" t="s">
        <v>84</v>
      </c>
      <c r="J6" s="163">
        <f t="shared" si="1"/>
        <v>12137831012.210001</v>
      </c>
      <c r="L6" s="219" t="s">
        <v>485</v>
      </c>
      <c r="M6" s="219"/>
      <c r="N6" s="219"/>
      <c r="O6" s="179"/>
      <c r="P6" s="219" t="s">
        <v>486</v>
      </c>
      <c r="Q6" s="219"/>
      <c r="R6" s="219"/>
    </row>
    <row r="7" spans="1:18" x14ac:dyDescent="0.2">
      <c r="A7" s="184" t="s">
        <v>400</v>
      </c>
      <c r="B7" s="163">
        <f>SUMIF($F$24:$F$464,"Связь и телекоммуникации",$D$24:$D$464)</f>
        <v>233066091.22</v>
      </c>
      <c r="C7" s="164">
        <f t="shared" si="0"/>
        <v>3.3356618512016367E-3</v>
      </c>
      <c r="D7" s="165"/>
      <c r="E7" s="219" t="s">
        <v>484</v>
      </c>
      <c r="F7" s="219"/>
      <c r="G7" s="219"/>
      <c r="I7" s="162" t="s">
        <v>86</v>
      </c>
      <c r="J7" s="163">
        <f t="shared" si="1"/>
        <v>31676722447.540001</v>
      </c>
      <c r="M7" s="165" t="str">
        <f>D23</f>
        <v>Вложения (руб)</v>
      </c>
      <c r="N7" s="166" t="s">
        <v>301</v>
      </c>
      <c r="P7" s="174"/>
      <c r="Q7" s="175" t="str">
        <f>D23</f>
        <v>Вложения (руб)</v>
      </c>
      <c r="R7" s="174" t="str">
        <f>N7</f>
        <v>Доля</v>
      </c>
    </row>
    <row r="8" spans="1:18" ht="25.5" x14ac:dyDescent="0.2">
      <c r="A8" s="184" t="s">
        <v>405</v>
      </c>
      <c r="B8" s="163">
        <f>SUMIF($F$24:$F$464,"Горнодобывающая промышленность",$D$24:$D$464)</f>
        <v>1586869344.1299999</v>
      </c>
      <c r="C8" s="164">
        <f t="shared" si="0"/>
        <v>2.271140991101658E-2</v>
      </c>
      <c r="D8" s="165"/>
      <c r="E8" s="166"/>
      <c r="F8" s="175" t="str">
        <f>D23</f>
        <v>Вложения (руб)</v>
      </c>
      <c r="G8" s="174" t="s">
        <v>427</v>
      </c>
      <c r="H8" s="174"/>
      <c r="I8" s="181" t="s">
        <v>88</v>
      </c>
      <c r="J8" s="163">
        <f t="shared" si="1"/>
        <v>10900057368</v>
      </c>
      <c r="L8" s="162">
        <v>1</v>
      </c>
      <c r="M8" s="163">
        <f>SUMIF($J$24:$J$283,L8,$D$24:$D$283)</f>
        <v>50066727136.579987</v>
      </c>
      <c r="N8" s="164">
        <f>M8/$M$12</f>
        <v>0.72089405481918478</v>
      </c>
      <c r="P8" s="162">
        <v>1</v>
      </c>
      <c r="Q8" s="163">
        <f>SUMIF($I$24:$I$283,P8,$D$24:$D$283)</f>
        <v>266504200</v>
      </c>
      <c r="R8" s="164">
        <f>Q8/$Q$11</f>
        <v>0.63432584126585168</v>
      </c>
    </row>
    <row r="9" spans="1:18" x14ac:dyDescent="0.2">
      <c r="A9" s="184" t="s">
        <v>385</v>
      </c>
      <c r="B9" s="163">
        <f>SUMIF($F$24:$F$464,"Финансовый лизинг",$D$24:$D$464)</f>
        <v>3453463546.4900002</v>
      </c>
      <c r="C9" s="164">
        <f t="shared" si="0"/>
        <v>4.9426265941313725E-2</v>
      </c>
      <c r="D9" s="165"/>
      <c r="E9" s="162" t="s">
        <v>423</v>
      </c>
      <c r="F9" s="163">
        <f>SUMIF($B$24:$B$244,"акции обыкновенные",D24:$D$244)+SUMIF($B$24:$B$244,"акции привилегированные",$D$24:$D$244)</f>
        <v>420137700</v>
      </c>
      <c r="G9" s="164">
        <f>F9/$F$11</f>
        <v>6.0130467319620831E-3</v>
      </c>
      <c r="H9" s="177"/>
      <c r="I9" s="182" t="s">
        <v>90</v>
      </c>
      <c r="J9" s="163">
        <f t="shared" si="1"/>
        <v>2019569873.6500001</v>
      </c>
      <c r="L9" s="162">
        <v>2</v>
      </c>
      <c r="M9" s="163">
        <f>SUMIF($J$24:$J$283,L9,$D$24:$D$283)</f>
        <v>15765384865.959999</v>
      </c>
      <c r="N9" s="164">
        <f t="shared" ref="N9:N11" si="2">M9/$M$12</f>
        <v>0.22700050256537016</v>
      </c>
      <c r="P9" s="162">
        <v>2</v>
      </c>
      <c r="Q9" s="163">
        <f>SUMIF($I$24:$I$283,P9,$D$24:$D$283)</f>
        <v>123971000</v>
      </c>
      <c r="R9" s="164">
        <f>Q9/$Q$11</f>
        <v>0.29507230605584789</v>
      </c>
    </row>
    <row r="10" spans="1:18" x14ac:dyDescent="0.2">
      <c r="A10" s="184" t="s">
        <v>398</v>
      </c>
      <c r="B10" s="163">
        <f>SUMIF($F$24:$F$464,"Цветная и черная металлургия",$D$24:$D$464)</f>
        <v>1779568877.0800002</v>
      </c>
      <c r="C10" s="164">
        <f t="shared" si="0"/>
        <v>2.546934212432574E-2</v>
      </c>
      <c r="D10" s="165"/>
      <c r="E10" s="162" t="s">
        <v>424</v>
      </c>
      <c r="F10" s="163">
        <f>SUMIF($B$24:$B$244,"корпоративные еврооблигации",D24:$D$244)+SUMIF($B$24:$B$244,"корпоративные рублевые облигации",D24:$D$244)+SUMIF($B$24:$B$244,"облигации РФ",D24:$D$244)+SUMIF($B$24:$B$244,"госеврооблигации",D24:$D$244)</f>
        <v>69450880891.419998</v>
      </c>
      <c r="G10" s="164">
        <f>F10/$F$11</f>
        <v>0.99398695326803788</v>
      </c>
      <c r="H10" s="177"/>
      <c r="I10" s="182" t="s">
        <v>92</v>
      </c>
      <c r="J10" s="163">
        <f t="shared" si="1"/>
        <v>9975842351.4500027</v>
      </c>
      <c r="L10" s="162">
        <v>3</v>
      </c>
      <c r="M10" s="163">
        <f t="shared" ref="M10:M11" si="3">SUMIF($J$24:$J$283,L10,$D$24:$D$283)</f>
        <v>2789130266.4200001</v>
      </c>
      <c r="N10" s="164">
        <f t="shared" si="2"/>
        <v>4.0159753636250441E-2</v>
      </c>
      <c r="P10" s="162">
        <v>3</v>
      </c>
      <c r="Q10" s="163">
        <f t="shared" ref="Q10" si="4">SUMIF($I$24:$I$283,P10,$D$24:$D$283)</f>
        <v>29662500</v>
      </c>
      <c r="R10" s="164">
        <f>Q10/$Q$11</f>
        <v>7.0601852678300478E-2</v>
      </c>
    </row>
    <row r="11" spans="1:18" ht="25.5" x14ac:dyDescent="0.2">
      <c r="A11" s="184" t="s">
        <v>384</v>
      </c>
      <c r="B11" s="163">
        <f>SUMIF($F$24:$F$464,"Химическая и нефтехимическая промышленность",$D$24:$D$464)</f>
        <v>0</v>
      </c>
      <c r="C11" s="164">
        <f t="shared" si="0"/>
        <v>0</v>
      </c>
      <c r="D11" s="165"/>
      <c r="E11" s="166"/>
      <c r="F11" s="172">
        <f>SUM(F9:F10)</f>
        <v>69871018591.419998</v>
      </c>
      <c r="I11" s="181" t="s">
        <v>94</v>
      </c>
      <c r="J11" s="163">
        <f t="shared" si="1"/>
        <v>749352329.97000003</v>
      </c>
      <c r="L11" s="162">
        <v>4</v>
      </c>
      <c r="M11" s="163">
        <f t="shared" si="3"/>
        <v>829638622.46000004</v>
      </c>
      <c r="N11" s="164">
        <f t="shared" si="2"/>
        <v>1.1945688979194707E-2</v>
      </c>
      <c r="Q11" s="172">
        <f>SUM(Q8:Q10)</f>
        <v>420137700</v>
      </c>
    </row>
    <row r="12" spans="1:18" x14ac:dyDescent="0.2">
      <c r="A12" s="184" t="s">
        <v>411</v>
      </c>
      <c r="B12" s="163">
        <f>SUMIF($F$24:$F$464,"Инвестиционная деятельность",$D$24:$D$464)</f>
        <v>9230084791.5900002</v>
      </c>
      <c r="C12" s="164">
        <f t="shared" si="0"/>
        <v>0.1321017637593655</v>
      </c>
      <c r="D12" s="165"/>
      <c r="E12" s="167" t="s">
        <v>19</v>
      </c>
      <c r="F12" s="168">
        <f>B17-F11</f>
        <v>0</v>
      </c>
      <c r="I12" s="181" t="s">
        <v>96</v>
      </c>
      <c r="J12" s="163">
        <f t="shared" si="1"/>
        <v>423410014.21999997</v>
      </c>
      <c r="M12" s="172">
        <f>SUM(M8:M11)</f>
        <v>69450880891.419983</v>
      </c>
      <c r="P12" s="180" t="s">
        <v>19</v>
      </c>
      <c r="Q12" s="173">
        <f>Q11-F9</f>
        <v>0</v>
      </c>
    </row>
    <row r="13" spans="1:18" x14ac:dyDescent="0.2">
      <c r="A13" s="184" t="s">
        <v>390</v>
      </c>
      <c r="B13" s="163">
        <f>SUMIF($F$24:$F$464,"Строительство жилых зданий",$D$24:$D$464)</f>
        <v>944357835.61000001</v>
      </c>
      <c r="C13" s="164">
        <f t="shared" si="0"/>
        <v>1.3515730193261631E-2</v>
      </c>
      <c r="D13" s="165"/>
      <c r="E13" s="166"/>
      <c r="I13" s="181" t="s">
        <v>98</v>
      </c>
      <c r="J13" s="163">
        <f t="shared" si="1"/>
        <v>0</v>
      </c>
      <c r="L13" s="167" t="s">
        <v>19</v>
      </c>
      <c r="M13" s="166">
        <f>F10-M12</f>
        <v>0</v>
      </c>
    </row>
    <row r="14" spans="1:18" x14ac:dyDescent="0.2">
      <c r="A14" s="184" t="s">
        <v>336</v>
      </c>
      <c r="B14" s="163">
        <f>SUMIF($F$24:$F$464,"ОФЗ",$D$24:$D$464)</f>
        <v>13059546886.460001</v>
      </c>
      <c r="C14" s="164">
        <f t="shared" si="0"/>
        <v>0.18690935311573781</v>
      </c>
      <c r="D14" s="165"/>
      <c r="E14" s="166"/>
      <c r="F14" s="165"/>
      <c r="I14" s="181" t="s">
        <v>129</v>
      </c>
      <c r="J14" s="163">
        <f t="shared" si="1"/>
        <v>13169308.68</v>
      </c>
    </row>
    <row r="15" spans="1:18" ht="38.25" x14ac:dyDescent="0.2">
      <c r="A15" s="184" t="s">
        <v>395</v>
      </c>
      <c r="B15" s="163">
        <f>SUMIF($F$24:$F$464,"Лесная и лесоперерабатывающая промышленность",$D$24:$D$464)</f>
        <v>631699861.67999995</v>
      </c>
      <c r="C15" s="164">
        <f t="shared" si="0"/>
        <v>9.0409425025552905E-3</v>
      </c>
      <c r="D15" s="165"/>
      <c r="E15" s="166"/>
      <c r="F15" s="165"/>
      <c r="I15" s="181"/>
      <c r="J15" s="163">
        <f>SUM(J4:J14)</f>
        <v>69450880891.419998</v>
      </c>
    </row>
    <row r="16" spans="1:18" ht="25.5" x14ac:dyDescent="0.2">
      <c r="A16" s="184" t="s">
        <v>399</v>
      </c>
      <c r="B16" s="163">
        <f>SUMIF($F$24:$F$464,"Профессиональные услуги, сервис",$D$24:$D$464)</f>
        <v>45319500</v>
      </c>
      <c r="C16" s="164">
        <f t="shared" si="0"/>
        <v>6.4861656397213491E-4</v>
      </c>
      <c r="D16" s="165"/>
      <c r="E16" s="166"/>
      <c r="F16" s="165"/>
      <c r="I16" s="167" t="s">
        <v>19</v>
      </c>
      <c r="J16" s="163">
        <f>J15-F10</f>
        <v>0</v>
      </c>
    </row>
    <row r="17" spans="1:14" x14ac:dyDescent="0.2">
      <c r="A17" s="185"/>
      <c r="B17" s="201">
        <f>SUM(B2:B16)</f>
        <v>69871018591.419998</v>
      </c>
      <c r="C17" s="169">
        <f>SUM(C2:C14)</f>
        <v>0.99031044093347242</v>
      </c>
      <c r="D17" s="165"/>
      <c r="E17" s="166"/>
      <c r="J17" s="163"/>
    </row>
    <row r="18" spans="1:14" x14ac:dyDescent="0.2">
      <c r="A18" s="186" t="s">
        <v>19</v>
      </c>
      <c r="B18" s="168">
        <f>SUM(D24:D152)-B17</f>
        <v>0</v>
      </c>
      <c r="D18" s="165"/>
      <c r="E18" s="167"/>
      <c r="F18" s="173"/>
      <c r="J18" s="172"/>
    </row>
    <row r="19" spans="1:14" x14ac:dyDescent="0.2">
      <c r="D19" s="165"/>
      <c r="E19" s="166"/>
      <c r="J19" s="168"/>
    </row>
    <row r="20" spans="1:14" x14ac:dyDescent="0.2">
      <c r="D20" s="165"/>
      <c r="E20" s="166"/>
      <c r="I20" s="167"/>
      <c r="J20" s="168"/>
    </row>
    <row r="21" spans="1:14" x14ac:dyDescent="0.2">
      <c r="D21" s="165"/>
      <c r="E21" s="166"/>
      <c r="I21" s="167"/>
      <c r="J21" s="167"/>
    </row>
    <row r="22" spans="1:14" x14ac:dyDescent="0.2">
      <c r="D22" s="165">
        <f>SUBTOTAL(9,D24:D120)</f>
        <v>53500844381.670013</v>
      </c>
      <c r="E22" s="165">
        <f>D75+D78</f>
        <v>244344185.70000002</v>
      </c>
      <c r="F22" s="210">
        <f>E22/D22</f>
        <v>4.5671089591945782E-3</v>
      </c>
    </row>
    <row r="23" spans="1:14" x14ac:dyDescent="0.2">
      <c r="A23" s="183" t="s">
        <v>118</v>
      </c>
      <c r="B23" s="162" t="s">
        <v>339</v>
      </c>
      <c r="C23" s="162" t="s">
        <v>52</v>
      </c>
      <c r="D23" s="163" t="s">
        <v>119</v>
      </c>
      <c r="E23" s="162" t="s">
        <v>114</v>
      </c>
      <c r="F23" s="162" t="s">
        <v>324</v>
      </c>
      <c r="G23" s="170" t="s">
        <v>420</v>
      </c>
      <c r="H23" s="176" t="s">
        <v>266</v>
      </c>
      <c r="I23" s="176" t="s">
        <v>482</v>
      </c>
      <c r="J23" s="176" t="s">
        <v>483</v>
      </c>
      <c r="L23" s="176" t="str">
        <f>E23</f>
        <v>Эмитент</v>
      </c>
      <c r="M23" s="176" t="s">
        <v>421</v>
      </c>
      <c r="N23" s="176" t="s">
        <v>428</v>
      </c>
    </row>
    <row r="24" spans="1:14" hidden="1" x14ac:dyDescent="0.2">
      <c r="A24" s="188" t="s">
        <v>491</v>
      </c>
      <c r="B24" s="189" t="s">
        <v>340</v>
      </c>
      <c r="C24" s="189" t="s">
        <v>341</v>
      </c>
      <c r="D24" s="190">
        <v>20406000</v>
      </c>
      <c r="E24" s="189" t="s">
        <v>253</v>
      </c>
      <c r="F24" s="194" t="str">
        <f>VLOOKUP(E24,'Справочник отрасли'!$A:$D,4,0)</f>
        <v>Банк</v>
      </c>
      <c r="G24" s="192">
        <f t="shared" ref="G24:G55" si="5">D24/$B$17</f>
        <v>2.9205241903408879E-4</v>
      </c>
      <c r="H24" s="191"/>
      <c r="I24" s="193">
        <f>VLOOKUP(C24,'Справочник эшелоны акции'!$G$6:$H$30,2,0)</f>
        <v>1</v>
      </c>
      <c r="J24" s="193" t="e">
        <f>VLOOKUP(A24,'Эшелоны результат'!$A$3:$H$83,8,FALSE)</f>
        <v>#N/A</v>
      </c>
      <c r="K24" s="166" t="s">
        <v>623</v>
      </c>
      <c r="L24" s="162" t="s">
        <v>253</v>
      </c>
      <c r="M24" s="197">
        <f>SUMIF($E$24:$E$420,L24,$D$24:$D$420)</f>
        <v>828241299.35000002</v>
      </c>
      <c r="N24" s="198">
        <f>M24/$M$75</f>
        <v>1.1853860385136939E-2</v>
      </c>
    </row>
    <row r="25" spans="1:14" hidden="1" x14ac:dyDescent="0.2">
      <c r="A25" s="188" t="s">
        <v>492</v>
      </c>
      <c r="B25" s="189" t="s">
        <v>340</v>
      </c>
      <c r="C25" s="189" t="s">
        <v>368</v>
      </c>
      <c r="D25" s="190">
        <v>9789500</v>
      </c>
      <c r="E25" s="189" t="s">
        <v>379</v>
      </c>
      <c r="F25" s="194" t="str">
        <f>VLOOKUP(E25,'Справочник отрасли'!$A:$D,4,0)</f>
        <v>Электроэнергетика и теплоэнергетика</v>
      </c>
      <c r="G25" s="192">
        <f t="shared" si="5"/>
        <v>1.4010816211576066E-4</v>
      </c>
      <c r="H25" s="191"/>
      <c r="I25" s="193">
        <f>VLOOKUP(C25,'Справочник эшелоны акции'!$G$6:$H$30,2,0)</f>
        <v>3</v>
      </c>
      <c r="J25" s="193" t="e">
        <f>VLOOKUP(A25,'Эшелоны результат'!$A$3:$H$83,8,FALSE)</f>
        <v>#N/A</v>
      </c>
      <c r="K25" s="166" t="s">
        <v>623</v>
      </c>
      <c r="L25" s="162" t="s">
        <v>379</v>
      </c>
      <c r="M25" s="197">
        <f t="shared" ref="M25:M74" si="6">SUMIF($E$24:$E$420,L25,$D$24:$D$420)</f>
        <v>9789500</v>
      </c>
      <c r="N25" s="198">
        <f t="shared" ref="N25:N74" si="7">M25/$M$75</f>
        <v>1.4010816211576066E-4</v>
      </c>
    </row>
    <row r="26" spans="1:14" hidden="1" x14ac:dyDescent="0.2">
      <c r="A26" s="188" t="s">
        <v>493</v>
      </c>
      <c r="B26" s="189" t="s">
        <v>340</v>
      </c>
      <c r="C26" s="189" t="s">
        <v>369</v>
      </c>
      <c r="D26" s="190">
        <f>181387500-14511000</f>
        <v>166876500</v>
      </c>
      <c r="E26" s="189" t="s">
        <v>117</v>
      </c>
      <c r="F26" s="194" t="str">
        <f>VLOOKUP(E26,'Справочник отрасли'!$A:$D,4,0)</f>
        <v>Топливная промышленность</v>
      </c>
      <c r="G26" s="192">
        <f t="shared" si="5"/>
        <v>2.3883507549221855E-3</v>
      </c>
      <c r="H26" s="191"/>
      <c r="I26" s="193">
        <f>VLOOKUP(C26,'Справочник эшелоны акции'!$G$6:$H$30,2,0)</f>
        <v>1</v>
      </c>
      <c r="J26" s="193" t="e">
        <f>VLOOKUP(A26,'Эшелоны результат'!$A$3:$H$83,8,FALSE)</f>
        <v>#N/A</v>
      </c>
      <c r="K26" s="166" t="s">
        <v>623</v>
      </c>
      <c r="L26" s="162" t="s">
        <v>117</v>
      </c>
      <c r="M26" s="197">
        <f t="shared" si="6"/>
        <v>166876500</v>
      </c>
      <c r="N26" s="198">
        <f t="shared" si="7"/>
        <v>2.3883507549221855E-3</v>
      </c>
    </row>
    <row r="27" spans="1:14" hidden="1" x14ac:dyDescent="0.2">
      <c r="A27" s="188" t="s">
        <v>493</v>
      </c>
      <c r="B27" s="189" t="s">
        <v>340</v>
      </c>
      <c r="C27" s="199" t="s">
        <v>369</v>
      </c>
      <c r="D27" s="200"/>
      <c r="E27" s="189" t="s">
        <v>117</v>
      </c>
      <c r="F27" s="194" t="str">
        <f>VLOOKUP(E27,'Справочник отрасли'!$A:$D,4,0)</f>
        <v>Топливная промышленность</v>
      </c>
      <c r="G27" s="192">
        <f t="shared" si="5"/>
        <v>0</v>
      </c>
      <c r="H27" s="191"/>
      <c r="I27" s="193">
        <f>VLOOKUP(C27,'Справочник эшелоны акции'!$G$6:$H$30,2,0)</f>
        <v>1</v>
      </c>
      <c r="J27" s="193" t="e">
        <f>VLOOKUP(A27,'Эшелоны результат'!$A$3:$H$83,8,FALSE)</f>
        <v>#N/A</v>
      </c>
      <c r="K27" s="166" t="s">
        <v>623</v>
      </c>
      <c r="L27" s="162" t="s">
        <v>250</v>
      </c>
      <c r="M27" s="197">
        <f t="shared" si="6"/>
        <v>4898804962.750001</v>
      </c>
      <c r="N27" s="198">
        <f t="shared" si="7"/>
        <v>7.0112116031918886E-2</v>
      </c>
    </row>
    <row r="28" spans="1:14" hidden="1" x14ac:dyDescent="0.2">
      <c r="A28" s="188" t="s">
        <v>494</v>
      </c>
      <c r="B28" s="189" t="s">
        <v>340</v>
      </c>
      <c r="C28" s="189" t="s">
        <v>343</v>
      </c>
      <c r="D28" s="190">
        <f>50872000-6359000</f>
        <v>44513000</v>
      </c>
      <c r="E28" s="189" t="s">
        <v>250</v>
      </c>
      <c r="F28" s="194" t="str">
        <f>VLOOKUP(E28,'Справочник отрасли'!$A:$D,4,0)</f>
        <v>Топливная промышленность</v>
      </c>
      <c r="G28" s="192">
        <f t="shared" si="5"/>
        <v>6.370738669246493E-4</v>
      </c>
      <c r="H28" s="191"/>
      <c r="I28" s="193">
        <f>VLOOKUP(C28,'Справочник эшелоны акции'!$G$6:$H$30,2,0)</f>
        <v>2</v>
      </c>
      <c r="J28" s="193" t="e">
        <f>VLOOKUP(A28,'Эшелоны результат'!$A$3:$H$83,8,FALSE)</f>
        <v>#N/A</v>
      </c>
      <c r="K28" s="166" t="s">
        <v>623</v>
      </c>
      <c r="L28" s="162" t="s">
        <v>116</v>
      </c>
      <c r="M28" s="197">
        <f t="shared" si="6"/>
        <v>898146533.79000008</v>
      </c>
      <c r="N28" s="198">
        <f t="shared" si="7"/>
        <v>1.2854350085291164E-2</v>
      </c>
    </row>
    <row r="29" spans="1:14" hidden="1" x14ac:dyDescent="0.2">
      <c r="A29" s="188" t="s">
        <v>494</v>
      </c>
      <c r="B29" s="189" t="s">
        <v>340</v>
      </c>
      <c r="C29" s="199" t="s">
        <v>343</v>
      </c>
      <c r="D29" s="200"/>
      <c r="E29" s="189" t="s">
        <v>250</v>
      </c>
      <c r="F29" s="194" t="str">
        <f>VLOOKUP(E29,'Справочник отрасли'!$A:$D,4,0)</f>
        <v>Топливная промышленность</v>
      </c>
      <c r="G29" s="192">
        <f t="shared" si="5"/>
        <v>0</v>
      </c>
      <c r="H29" s="191"/>
      <c r="I29" s="193">
        <f>VLOOKUP(C29,'Справочник эшелоны акции'!$G$6:$H$30,2,0)</f>
        <v>2</v>
      </c>
      <c r="J29" s="193" t="e">
        <f>VLOOKUP(A29,'Эшелоны результат'!$A$3:$H$83,8,FALSE)</f>
        <v>#N/A</v>
      </c>
      <c r="K29" s="166" t="s">
        <v>623</v>
      </c>
      <c r="L29" s="162" t="s">
        <v>380</v>
      </c>
      <c r="M29" s="197">
        <f t="shared" si="6"/>
        <v>21268000</v>
      </c>
      <c r="N29" s="198">
        <f t="shared" si="7"/>
        <v>3.0438943683313733E-4</v>
      </c>
    </row>
    <row r="30" spans="1:14" hidden="1" x14ac:dyDescent="0.2">
      <c r="A30" s="188" t="s">
        <v>495</v>
      </c>
      <c r="B30" s="189" t="s">
        <v>340</v>
      </c>
      <c r="C30" s="189" t="s">
        <v>344</v>
      </c>
      <c r="D30" s="190">
        <f>95508000-36080800</f>
        <v>59427200</v>
      </c>
      <c r="E30" s="189" t="s">
        <v>116</v>
      </c>
      <c r="F30" s="194" t="str">
        <f>VLOOKUP(E30,'Справочник отрасли'!$A:$D,4,0)</f>
        <v>Топливная промышленность</v>
      </c>
      <c r="G30" s="192">
        <f t="shared" si="5"/>
        <v>8.5052717418517107E-4</v>
      </c>
      <c r="H30" s="191"/>
      <c r="I30" s="193">
        <f>VLOOKUP(C30,'Справочник эшелоны акции'!$G$6:$H$30,2,0)</f>
        <v>1</v>
      </c>
      <c r="J30" s="193" t="e">
        <f>VLOOKUP(A30,'Эшелоны результат'!$A$3:$H$83,8,FALSE)</f>
        <v>#N/A</v>
      </c>
      <c r="K30" s="166" t="s">
        <v>623</v>
      </c>
      <c r="L30" s="162" t="s">
        <v>383</v>
      </c>
      <c r="M30" s="197">
        <f t="shared" si="6"/>
        <v>19794500</v>
      </c>
      <c r="N30" s="198">
        <f t="shared" si="7"/>
        <v>2.8330057868128345E-4</v>
      </c>
    </row>
    <row r="31" spans="1:14" hidden="1" x14ac:dyDescent="0.2">
      <c r="A31" s="188" t="s">
        <v>495</v>
      </c>
      <c r="B31" s="189" t="s">
        <v>340</v>
      </c>
      <c r="C31" s="199" t="s">
        <v>344</v>
      </c>
      <c r="D31" s="200"/>
      <c r="E31" s="189" t="s">
        <v>116</v>
      </c>
      <c r="F31" s="194" t="str">
        <f>VLOOKUP(E31,'Справочник отрасли'!$A:$D,4,0)</f>
        <v>Топливная промышленность</v>
      </c>
      <c r="G31" s="192">
        <f t="shared" si="5"/>
        <v>0</v>
      </c>
      <c r="H31" s="191"/>
      <c r="I31" s="193">
        <f>VLOOKUP(C31,'Справочник эшелоны акции'!$G$6:$H$30,2,0)</f>
        <v>1</v>
      </c>
      <c r="J31" s="193" t="e">
        <f>VLOOKUP(A31,'Эшелоны результат'!$A$3:$H$83,8,FALSE)</f>
        <v>#N/A</v>
      </c>
      <c r="K31" s="166" t="s">
        <v>623</v>
      </c>
      <c r="L31" s="162" t="s">
        <v>245</v>
      </c>
      <c r="M31" s="197">
        <f t="shared" si="6"/>
        <v>2969389790.6000004</v>
      </c>
      <c r="N31" s="198">
        <f t="shared" si="7"/>
        <v>4.2498160903648753E-2</v>
      </c>
    </row>
    <row r="32" spans="1:14" hidden="1" x14ac:dyDescent="0.2">
      <c r="A32" s="188" t="s">
        <v>496</v>
      </c>
      <c r="B32" s="189" t="s">
        <v>340</v>
      </c>
      <c r="C32" s="189" t="s">
        <v>370</v>
      </c>
      <c r="D32" s="190">
        <f>31370300-10102300</f>
        <v>21268000</v>
      </c>
      <c r="E32" s="189" t="s">
        <v>380</v>
      </c>
      <c r="F32" s="194" t="str">
        <f>VLOOKUP(E32,'Справочник отрасли'!$A:$D,4,0)</f>
        <v>Электроэнергетика и теплоэнергетика</v>
      </c>
      <c r="G32" s="192">
        <f t="shared" si="5"/>
        <v>3.0438943683313733E-4</v>
      </c>
      <c r="H32" s="191"/>
      <c r="I32" s="193">
        <f>VLOOKUP(C32,'Справочник эшелоны акции'!$G$6:$H$30,2,0)</f>
        <v>2</v>
      </c>
      <c r="J32" s="193" t="e">
        <f>VLOOKUP(A32,'Эшелоны результат'!$A$3:$H$83,8,FALSE)</f>
        <v>#N/A</v>
      </c>
      <c r="K32" s="166" t="s">
        <v>623</v>
      </c>
      <c r="L32" s="162" t="s">
        <v>235</v>
      </c>
      <c r="M32" s="197">
        <f t="shared" si="6"/>
        <v>836895234.13999999</v>
      </c>
      <c r="N32" s="198">
        <f t="shared" si="7"/>
        <v>1.1977716240747187E-2</v>
      </c>
    </row>
    <row r="33" spans="1:14" hidden="1" x14ac:dyDescent="0.2">
      <c r="A33" s="188" t="s">
        <v>496</v>
      </c>
      <c r="B33" s="189" t="s">
        <v>340</v>
      </c>
      <c r="C33" s="199" t="s">
        <v>370</v>
      </c>
      <c r="D33" s="200"/>
      <c r="E33" s="189" t="s">
        <v>380</v>
      </c>
      <c r="F33" s="194" t="str">
        <f>VLOOKUP(E33,'Справочник отрасли'!$A:$D,4,0)</f>
        <v>Электроэнергетика и теплоэнергетика</v>
      </c>
      <c r="G33" s="192">
        <f t="shared" si="5"/>
        <v>0</v>
      </c>
      <c r="H33" s="191"/>
      <c r="I33" s="193">
        <f>VLOOKUP(C33,'Справочник эшелоны акции'!$G$6:$H$30,2,0)</f>
        <v>2</v>
      </c>
      <c r="J33" s="193" t="e">
        <f>VLOOKUP(A33,'Эшелоны результат'!$A$3:$H$83,8,FALSE)</f>
        <v>#N/A</v>
      </c>
      <c r="K33" s="166" t="s">
        <v>623</v>
      </c>
      <c r="L33" s="162" t="s">
        <v>233</v>
      </c>
      <c r="M33" s="197">
        <f t="shared" si="6"/>
        <v>3091827887.9000001</v>
      </c>
      <c r="N33" s="198">
        <f t="shared" si="7"/>
        <v>4.4250505434590436E-2</v>
      </c>
    </row>
    <row r="34" spans="1:14" hidden="1" x14ac:dyDescent="0.2">
      <c r="A34" s="188" t="s">
        <v>527</v>
      </c>
      <c r="B34" s="189" t="s">
        <v>340</v>
      </c>
      <c r="C34" s="189" t="s">
        <v>530</v>
      </c>
      <c r="D34" s="190">
        <f>37789500-17995000</f>
        <v>19794500</v>
      </c>
      <c r="E34" s="189" t="s">
        <v>383</v>
      </c>
      <c r="F34" s="194" t="str">
        <f>VLOOKUP(E34,'Справочник отрасли'!$A:$D,4,0)</f>
        <v>Топливная промышленность</v>
      </c>
      <c r="G34" s="192">
        <f t="shared" si="5"/>
        <v>2.8330057868128345E-4</v>
      </c>
      <c r="H34" s="191"/>
      <c r="I34" s="193">
        <f>VLOOKUP(C34,'Справочник эшелоны акции'!$G$6:$H$30,2,0)</f>
        <v>1</v>
      </c>
      <c r="J34" s="193" t="e">
        <f>VLOOKUP(A34,'Эшелоны результат'!$A$3:$H$83,8,FALSE)</f>
        <v>#N/A</v>
      </c>
      <c r="K34" s="166" t="s">
        <v>623</v>
      </c>
      <c r="L34" s="162" t="s">
        <v>234</v>
      </c>
      <c r="M34" s="197">
        <f t="shared" si="6"/>
        <v>240770623.59</v>
      </c>
      <c r="N34" s="198">
        <f t="shared" si="7"/>
        <v>3.4459297780949495E-3</v>
      </c>
    </row>
    <row r="35" spans="1:14" hidden="1" x14ac:dyDescent="0.2">
      <c r="A35" s="188" t="s">
        <v>527</v>
      </c>
      <c r="B35" s="189" t="s">
        <v>340</v>
      </c>
      <c r="C35" s="199" t="s">
        <v>530</v>
      </c>
      <c r="D35" s="200"/>
      <c r="E35" s="189" t="s">
        <v>383</v>
      </c>
      <c r="F35" s="194" t="str">
        <f>VLOOKUP(E35,'Справочник отрасли'!$A:$D,4,0)</f>
        <v>Топливная промышленность</v>
      </c>
      <c r="G35" s="192">
        <f t="shared" si="5"/>
        <v>0</v>
      </c>
      <c r="H35" s="191"/>
      <c r="I35" s="193">
        <f>VLOOKUP(C35,'Справочник эшелоны акции'!$G$6:$H$30,2,0)</f>
        <v>1</v>
      </c>
      <c r="J35" s="193" t="e">
        <f>VLOOKUP(A35,'Эшелоны результат'!$A$3:$H$83,8,FALSE)</f>
        <v>#N/A</v>
      </c>
      <c r="K35" s="166" t="s">
        <v>623</v>
      </c>
      <c r="L35" s="162" t="s">
        <v>236</v>
      </c>
      <c r="M35" s="197">
        <f t="shared" si="6"/>
        <v>337404318.69</v>
      </c>
      <c r="N35" s="198">
        <f t="shared" si="7"/>
        <v>4.8289594955387193E-3</v>
      </c>
    </row>
    <row r="36" spans="1:14" hidden="1" x14ac:dyDescent="0.2">
      <c r="A36" s="188" t="s">
        <v>156</v>
      </c>
      <c r="B36" s="189" t="s">
        <v>345</v>
      </c>
      <c r="C36" s="189" t="s">
        <v>200</v>
      </c>
      <c r="D36" s="190">
        <v>412587538</v>
      </c>
      <c r="E36" s="189" t="s">
        <v>245</v>
      </c>
      <c r="F36" s="194" t="str">
        <f>VLOOKUP(E36,'Справочник отрасли'!$A:$D,4,0)</f>
        <v>Банк</v>
      </c>
      <c r="G36" s="192">
        <f t="shared" si="5"/>
        <v>5.9049881670204364E-3</v>
      </c>
      <c r="H36" s="191" t="s">
        <v>88</v>
      </c>
      <c r="I36" s="193" t="e">
        <f>VLOOKUP(C36,'Справочник эшелоны акции'!$G$6:$H$30,2,0)</f>
        <v>#N/A</v>
      </c>
      <c r="J36" s="193">
        <f>VLOOKUP(A36,'Эшелоны результат'!$A$3:$H$83,8,FALSE)</f>
        <v>1</v>
      </c>
      <c r="K36" s="166" t="s">
        <v>624</v>
      </c>
      <c r="L36" s="162" t="s">
        <v>237</v>
      </c>
      <c r="M36" s="197">
        <f t="shared" si="6"/>
        <v>2135454709.3700001</v>
      </c>
      <c r="N36" s="198">
        <f t="shared" si="7"/>
        <v>3.0562810624779255E-2</v>
      </c>
    </row>
    <row r="37" spans="1:14" hidden="1" x14ac:dyDescent="0.2">
      <c r="A37" s="188" t="s">
        <v>471</v>
      </c>
      <c r="B37" s="189" t="s">
        <v>345</v>
      </c>
      <c r="C37" s="189" t="s">
        <v>316</v>
      </c>
      <c r="D37" s="190">
        <v>152277025.38</v>
      </c>
      <c r="E37" s="189" t="s">
        <v>235</v>
      </c>
      <c r="F37" s="194" t="str">
        <f>VLOOKUP(E37,'Справочник отрасли'!$A:$D,4,0)</f>
        <v>Горнодобывающая промышленность</v>
      </c>
      <c r="G37" s="192">
        <f t="shared" si="5"/>
        <v>2.1794018242450421E-3</v>
      </c>
      <c r="H37" s="191" t="s">
        <v>86</v>
      </c>
      <c r="I37" s="193" t="e">
        <f>VLOOKUP(C37,'Справочник эшелоны акции'!$G$6:$H$30,2,0)</f>
        <v>#N/A</v>
      </c>
      <c r="J37" s="193">
        <f>VLOOKUP(A37,'Эшелоны результат'!$A$3:$H$83,8,FALSE)</f>
        <v>1</v>
      </c>
      <c r="K37" s="166" t="s">
        <v>624</v>
      </c>
      <c r="L37" s="162" t="s">
        <v>238</v>
      </c>
      <c r="M37" s="197">
        <f t="shared" si="6"/>
        <v>2695133594.2600002</v>
      </c>
      <c r="N37" s="198">
        <f t="shared" si="7"/>
        <v>3.8572982741530502E-2</v>
      </c>
    </row>
    <row r="38" spans="1:14" x14ac:dyDescent="0.2">
      <c r="A38" s="188" t="s">
        <v>146</v>
      </c>
      <c r="B38" s="189" t="s">
        <v>345</v>
      </c>
      <c r="C38" s="189" t="s">
        <v>190</v>
      </c>
      <c r="D38" s="190">
        <v>76001062.579999998</v>
      </c>
      <c r="E38" s="189" t="s">
        <v>233</v>
      </c>
      <c r="F38" s="194" t="str">
        <f>VLOOKUP(E38,'Справочник отрасли'!$A:$D,4,0)</f>
        <v>Финансовый лизинг</v>
      </c>
      <c r="G38" s="192">
        <f t="shared" si="5"/>
        <v>1.0877337143805823E-3</v>
      </c>
      <c r="H38" s="191" t="s">
        <v>90</v>
      </c>
      <c r="I38" s="193" t="e">
        <f>VLOOKUP(C38,'Справочник эшелоны акции'!$G$6:$H$30,2,0)</f>
        <v>#N/A</v>
      </c>
      <c r="J38" s="193">
        <f>VLOOKUP(A38,'Эшелоны результат'!$A$3:$H$83,8,FALSE)</f>
        <v>2</v>
      </c>
      <c r="K38" s="166" t="s">
        <v>625</v>
      </c>
      <c r="L38" s="162" t="s">
        <v>239</v>
      </c>
      <c r="M38" s="197">
        <f t="shared" si="6"/>
        <v>705046951.09000003</v>
      </c>
      <c r="N38" s="198">
        <f t="shared" si="7"/>
        <v>1.0090692325710251E-2</v>
      </c>
    </row>
    <row r="39" spans="1:14" x14ac:dyDescent="0.2">
      <c r="A39" s="188" t="s">
        <v>147</v>
      </c>
      <c r="B39" s="189" t="s">
        <v>345</v>
      </c>
      <c r="C39" s="189" t="s">
        <v>191</v>
      </c>
      <c r="D39" s="190">
        <v>133779389.06</v>
      </c>
      <c r="E39" s="189" t="s">
        <v>234</v>
      </c>
      <c r="F39" s="194" t="str">
        <f>VLOOKUP(E39,'Справочник отрасли'!$A:$D,4,0)</f>
        <v>Цветная и черная металлургия</v>
      </c>
      <c r="G39" s="192">
        <f t="shared" si="5"/>
        <v>1.9146620695812758E-3</v>
      </c>
      <c r="H39" s="191" t="s">
        <v>88</v>
      </c>
      <c r="I39" s="193" t="e">
        <f>VLOOKUP(C39,'Справочник эшелоны акции'!$G$6:$H$30,2,0)</f>
        <v>#N/A</v>
      </c>
      <c r="J39" s="193">
        <f>VLOOKUP(A39,'Эшелоны результат'!$A$3:$H$83,8,FALSE)</f>
        <v>1</v>
      </c>
      <c r="K39" s="166" t="s">
        <v>625</v>
      </c>
      <c r="L39" s="162" t="s">
        <v>113</v>
      </c>
      <c r="M39" s="197">
        <f t="shared" si="6"/>
        <v>233066091.22</v>
      </c>
      <c r="N39" s="198">
        <f t="shared" si="7"/>
        <v>3.3356618512016367E-3</v>
      </c>
    </row>
    <row r="40" spans="1:14" x14ac:dyDescent="0.2">
      <c r="A40" s="188" t="s">
        <v>148</v>
      </c>
      <c r="B40" s="189" t="s">
        <v>345</v>
      </c>
      <c r="C40" s="189" t="s">
        <v>192</v>
      </c>
      <c r="D40" s="190">
        <v>337404318.69</v>
      </c>
      <c r="E40" s="189" t="s">
        <v>236</v>
      </c>
      <c r="F40" s="194" t="str">
        <f>VLOOKUP(E40,'Справочник отрасли'!$A:$D,4,0)</f>
        <v>Транспорт</v>
      </c>
      <c r="G40" s="192">
        <f t="shared" si="5"/>
        <v>4.8289594955387193E-3</v>
      </c>
      <c r="H40" s="191" t="s">
        <v>90</v>
      </c>
      <c r="I40" s="193" t="e">
        <f>VLOOKUP(C40,'Справочник эшелоны акции'!$G$6:$H$30,2,0)</f>
        <v>#N/A</v>
      </c>
      <c r="J40" s="193">
        <f>VLOOKUP(A40,'Эшелоны результат'!$A$3:$H$83,8,FALSE)</f>
        <v>2</v>
      </c>
      <c r="K40" s="166" t="s">
        <v>625</v>
      </c>
      <c r="L40" s="162" t="s">
        <v>240</v>
      </c>
      <c r="M40" s="197">
        <f t="shared" si="6"/>
        <v>571069696.25999999</v>
      </c>
      <c r="N40" s="198">
        <f t="shared" si="7"/>
        <v>8.1731983842887046E-3</v>
      </c>
    </row>
    <row r="41" spans="1:14" x14ac:dyDescent="0.2">
      <c r="A41" s="188" t="s">
        <v>149</v>
      </c>
      <c r="B41" s="189" t="s">
        <v>345</v>
      </c>
      <c r="C41" s="189" t="s">
        <v>193</v>
      </c>
      <c r="D41" s="190">
        <v>1949888390.8800001</v>
      </c>
      <c r="E41" s="189" t="s">
        <v>237</v>
      </c>
      <c r="F41" s="194" t="str">
        <f>VLOOKUP(E41,'Справочник отрасли'!$A:$D,4,0)</f>
        <v>Банк</v>
      </c>
      <c r="G41" s="192">
        <f t="shared" si="5"/>
        <v>2.7906969587522829E-2</v>
      </c>
      <c r="H41" s="191" t="s">
        <v>92</v>
      </c>
      <c r="I41" s="193" t="e">
        <f>VLOOKUP(C41,'Справочник эшелоны акции'!$G$6:$H$30,2,0)</f>
        <v>#N/A</v>
      </c>
      <c r="J41" s="193">
        <f>VLOOKUP(A41,'Эшелоны результат'!$A$3:$H$83,8,FALSE)</f>
        <v>2</v>
      </c>
      <c r="K41" s="166" t="s">
        <v>625</v>
      </c>
      <c r="L41" s="162" t="s">
        <v>241</v>
      </c>
      <c r="M41" s="197">
        <f t="shared" si="6"/>
        <v>298040358.56999999</v>
      </c>
      <c r="N41" s="198">
        <f t="shared" si="7"/>
        <v>4.2655791282052193E-3</v>
      </c>
    </row>
    <row r="42" spans="1:14" x14ac:dyDescent="0.2">
      <c r="A42" s="188" t="s">
        <v>150</v>
      </c>
      <c r="B42" s="189" t="s">
        <v>345</v>
      </c>
      <c r="C42" s="189" t="s">
        <v>194</v>
      </c>
      <c r="D42" s="190">
        <v>1565059560.9600005</v>
      </c>
      <c r="E42" s="189" t="s">
        <v>238</v>
      </c>
      <c r="F42" s="194" t="str">
        <f>VLOOKUP(E42,'Справочник отрасли'!$A:$D,4,0)</f>
        <v>Банк</v>
      </c>
      <c r="G42" s="192">
        <f t="shared" si="5"/>
        <v>2.2399266427070325E-2</v>
      </c>
      <c r="H42" s="191" t="s">
        <v>92</v>
      </c>
      <c r="I42" s="193" t="e">
        <f>VLOOKUP(C42,'Справочник эшелоны акции'!$G$6:$H$30,2,0)</f>
        <v>#N/A</v>
      </c>
      <c r="J42" s="193">
        <f>VLOOKUP(A42,'Эшелоны результат'!$A$3:$H$83,8,FALSE)</f>
        <v>2</v>
      </c>
      <c r="K42" s="166" t="s">
        <v>625</v>
      </c>
      <c r="L42" s="162" t="s">
        <v>246</v>
      </c>
      <c r="M42" s="197">
        <f t="shared" si="6"/>
        <v>1185420587.9300001</v>
      </c>
      <c r="N42" s="198">
        <f t="shared" si="7"/>
        <v>1.6965840942750575E-2</v>
      </c>
    </row>
    <row r="43" spans="1:14" x14ac:dyDescent="0.2">
      <c r="A43" s="188" t="s">
        <v>151</v>
      </c>
      <c r="B43" s="189" t="s">
        <v>345</v>
      </c>
      <c r="C43" s="189" t="s">
        <v>195</v>
      </c>
      <c r="D43" s="190">
        <v>66237312.219999999</v>
      </c>
      <c r="E43" s="189" t="s">
        <v>239</v>
      </c>
      <c r="F43" s="194" t="str">
        <f>VLOOKUP(E43,'Справочник отрасли'!$A:$D,4,0)</f>
        <v>Цветная и черная металлургия</v>
      </c>
      <c r="G43" s="192">
        <f t="shared" si="5"/>
        <v>9.4799408331702479E-4</v>
      </c>
      <c r="H43" s="191" t="s">
        <v>94</v>
      </c>
      <c r="I43" s="193" t="e">
        <f>VLOOKUP(C43,'Справочник эшелоны акции'!$G$6:$H$30,2,0)</f>
        <v>#N/A</v>
      </c>
      <c r="J43" s="193">
        <f>VLOOKUP(A43,'Эшелоны результат'!$A$3:$H$83,8,FALSE)</f>
        <v>2</v>
      </c>
      <c r="K43" s="166" t="s">
        <v>625</v>
      </c>
      <c r="L43" s="162" t="s">
        <v>112</v>
      </c>
      <c r="M43" s="197">
        <f t="shared" si="6"/>
        <v>749974109.99000001</v>
      </c>
      <c r="N43" s="198">
        <f t="shared" si="7"/>
        <v>1.0733693670269395E-2</v>
      </c>
    </row>
    <row r="44" spans="1:14" x14ac:dyDescent="0.2">
      <c r="A44" s="188" t="s">
        <v>152</v>
      </c>
      <c r="B44" s="189" t="s">
        <v>345</v>
      </c>
      <c r="C44" s="189" t="s">
        <v>196</v>
      </c>
      <c r="D44" s="190">
        <v>233066091.22</v>
      </c>
      <c r="E44" s="189" t="s">
        <v>113</v>
      </c>
      <c r="F44" s="194" t="str">
        <f>VLOOKUP(E44,'Справочник отрасли'!$A:$D,4,0)</f>
        <v>Связь и телекоммуникации</v>
      </c>
      <c r="G44" s="192">
        <f t="shared" si="5"/>
        <v>3.3356618512016367E-3</v>
      </c>
      <c r="H44" s="191" t="s">
        <v>90</v>
      </c>
      <c r="I44" s="193" t="e">
        <f>VLOOKUP(C44,'Справочник эшелоны акции'!$G$6:$H$30,2,0)</f>
        <v>#N/A</v>
      </c>
      <c r="J44" s="193">
        <f>VLOOKUP(A44,'Эшелоны результат'!$A$3:$H$83,8,FALSE)</f>
        <v>2</v>
      </c>
      <c r="K44" s="166" t="s">
        <v>625</v>
      </c>
      <c r="L44" s="162" t="s">
        <v>249</v>
      </c>
      <c r="M44" s="197">
        <f t="shared" si="6"/>
        <v>6111680934.4599991</v>
      </c>
      <c r="N44" s="198">
        <f t="shared" si="7"/>
        <v>8.7470900777887037E-2</v>
      </c>
    </row>
    <row r="45" spans="1:14" x14ac:dyDescent="0.2">
      <c r="A45" s="188" t="s">
        <v>153</v>
      </c>
      <c r="B45" s="189" t="s">
        <v>345</v>
      </c>
      <c r="C45" s="189" t="s">
        <v>197</v>
      </c>
      <c r="D45" s="190">
        <v>571069696.25999999</v>
      </c>
      <c r="E45" s="189" t="s">
        <v>240</v>
      </c>
      <c r="F45" s="194" t="str">
        <f>VLOOKUP(E45,'Справочник отрасли'!$A:$D,4,0)</f>
        <v>Транспорт</v>
      </c>
      <c r="G45" s="192">
        <f t="shared" si="5"/>
        <v>8.1731983842887046E-3</v>
      </c>
      <c r="H45" s="191" t="s">
        <v>90</v>
      </c>
      <c r="I45" s="193" t="e">
        <f>VLOOKUP(C45,'Справочник эшелоны акции'!$G$6:$H$30,2,0)</f>
        <v>#N/A</v>
      </c>
      <c r="J45" s="193">
        <f>VLOOKUP(A45,'Эшелоны результат'!$A$3:$H$83,8,FALSE)</f>
        <v>2</v>
      </c>
      <c r="K45" s="166" t="s">
        <v>625</v>
      </c>
      <c r="L45" s="162" t="s">
        <v>251</v>
      </c>
      <c r="M45" s="197">
        <f t="shared" si="6"/>
        <v>8146259125.6000023</v>
      </c>
      <c r="N45" s="198">
        <f t="shared" si="7"/>
        <v>0.11658995803734203</v>
      </c>
    </row>
    <row r="46" spans="1:14" x14ac:dyDescent="0.2">
      <c r="A46" s="188" t="s">
        <v>154</v>
      </c>
      <c r="B46" s="189" t="s">
        <v>345</v>
      </c>
      <c r="C46" s="189" t="s">
        <v>198</v>
      </c>
      <c r="D46" s="190">
        <v>298040358.56999999</v>
      </c>
      <c r="E46" s="189" t="s">
        <v>241</v>
      </c>
      <c r="F46" s="194" t="str">
        <f>VLOOKUP(E46,'Справочник отрасли'!$A:$D,4,0)</f>
        <v>Цветная и черная металлургия</v>
      </c>
      <c r="G46" s="192">
        <f t="shared" si="5"/>
        <v>4.2655791282052193E-3</v>
      </c>
      <c r="H46" s="191" t="s">
        <v>92</v>
      </c>
      <c r="I46" s="193" t="e">
        <f>VLOOKUP(C46,'Справочник эшелоны акции'!$G$6:$H$30,2,0)</f>
        <v>#N/A</v>
      </c>
      <c r="J46" s="193">
        <f>VLOOKUP(A46,'Эшелоны результат'!$A$3:$H$83,8,FALSE)</f>
        <v>2</v>
      </c>
      <c r="K46" s="166" t="s">
        <v>625</v>
      </c>
      <c r="L46" s="162" t="s">
        <v>487</v>
      </c>
      <c r="M46" s="197">
        <f t="shared" si="6"/>
        <v>423410014.21999997</v>
      </c>
      <c r="N46" s="198">
        <f t="shared" si="7"/>
        <v>6.0598803732337999E-3</v>
      </c>
    </row>
    <row r="47" spans="1:14" x14ac:dyDescent="0.2">
      <c r="A47" s="188" t="s">
        <v>155</v>
      </c>
      <c r="B47" s="189" t="s">
        <v>345</v>
      </c>
      <c r="C47" s="189" t="s">
        <v>199</v>
      </c>
      <c r="D47" s="190">
        <v>756709204.89999998</v>
      </c>
      <c r="E47" s="189" t="s">
        <v>233</v>
      </c>
      <c r="F47" s="194" t="str">
        <f>VLOOKUP(E47,'Справочник отрасли'!$A:$D,4,0)</f>
        <v>Финансовый лизинг</v>
      </c>
      <c r="G47" s="192">
        <f t="shared" si="5"/>
        <v>1.0830086925238016E-2</v>
      </c>
      <c r="H47" s="191" t="s">
        <v>90</v>
      </c>
      <c r="I47" s="193" t="e">
        <f>VLOOKUP(C47,'Справочник эшелоны акции'!$G$6:$H$30,2,0)</f>
        <v>#N/A</v>
      </c>
      <c r="J47" s="193">
        <f>VLOOKUP(A47,'Эшелоны результат'!$A$3:$H$83,8,FALSE)</f>
        <v>2</v>
      </c>
      <c r="K47" s="166" t="s">
        <v>625</v>
      </c>
      <c r="L47" s="162" t="s">
        <v>304</v>
      </c>
      <c r="M47" s="197">
        <f t="shared" si="6"/>
        <v>60195540.750000007</v>
      </c>
      <c r="N47" s="198">
        <f t="shared" si="7"/>
        <v>8.6152373277970052E-4</v>
      </c>
    </row>
    <row r="48" spans="1:14" x14ac:dyDescent="0.2">
      <c r="A48" s="188" t="s">
        <v>156</v>
      </c>
      <c r="B48" s="189" t="s">
        <v>345</v>
      </c>
      <c r="C48" s="189" t="s">
        <v>200</v>
      </c>
      <c r="D48" s="190">
        <v>1431443274.5700002</v>
      </c>
      <c r="E48" s="189" t="s">
        <v>245</v>
      </c>
      <c r="F48" s="194" t="str">
        <f>VLOOKUP(E48,'Справочник отрасли'!$A:$D,4,0)</f>
        <v>Банк</v>
      </c>
      <c r="G48" s="192">
        <f t="shared" si="5"/>
        <v>2.0486938696865915E-2</v>
      </c>
      <c r="H48" s="191" t="s">
        <v>88</v>
      </c>
      <c r="I48" s="193" t="e">
        <f>VLOOKUP(C48,'Справочник эшелоны акции'!$G$6:$H$30,2,0)</f>
        <v>#N/A</v>
      </c>
      <c r="J48" s="193">
        <f>VLOOKUP(A48,'Эшелоны результат'!$A$3:$H$83,8,FALSE)</f>
        <v>1</v>
      </c>
      <c r="K48" s="166" t="s">
        <v>625</v>
      </c>
      <c r="L48" s="162" t="s">
        <v>255</v>
      </c>
      <c r="M48" s="197">
        <f t="shared" si="6"/>
        <v>106823904.58999999</v>
      </c>
      <c r="N48" s="198">
        <f t="shared" si="7"/>
        <v>1.5288728680866507E-3</v>
      </c>
    </row>
    <row r="49" spans="1:14" x14ac:dyDescent="0.2">
      <c r="A49" s="188" t="s">
        <v>157</v>
      </c>
      <c r="B49" s="189" t="s">
        <v>345</v>
      </c>
      <c r="C49" s="189" t="s">
        <v>201</v>
      </c>
      <c r="D49" s="190">
        <v>873078510.00999999</v>
      </c>
      <c r="E49" s="189" t="s">
        <v>246</v>
      </c>
      <c r="F49" s="194" t="str">
        <f>VLOOKUP(E49,'Справочник отрасли'!$A:$D,4,0)</f>
        <v>Банк</v>
      </c>
      <c r="G49" s="192">
        <f t="shared" si="5"/>
        <v>1.2495574382784395E-2</v>
      </c>
      <c r="H49" s="191" t="s">
        <v>92</v>
      </c>
      <c r="I49" s="193" t="e">
        <f>VLOOKUP(C49,'Справочник эшелоны акции'!$G$6:$H$30,2,0)</f>
        <v>#N/A</v>
      </c>
      <c r="J49" s="193">
        <f>VLOOKUP(A49,'Эшелоны результат'!$A$3:$H$83,8,FALSE)</f>
        <v>2</v>
      </c>
      <c r="K49" s="166" t="s">
        <v>625</v>
      </c>
      <c r="L49" s="162" t="s">
        <v>306</v>
      </c>
      <c r="M49" s="197">
        <f t="shared" si="6"/>
        <v>13169308.68</v>
      </c>
      <c r="N49" s="198">
        <f t="shared" si="7"/>
        <v>1.8848027330200051E-4</v>
      </c>
    </row>
    <row r="50" spans="1:14" x14ac:dyDescent="0.2">
      <c r="A50" s="188" t="s">
        <v>158</v>
      </c>
      <c r="B50" s="189" t="s">
        <v>345</v>
      </c>
      <c r="C50" s="189" t="s">
        <v>202</v>
      </c>
      <c r="D50" s="190">
        <v>1130074033.3</v>
      </c>
      <c r="E50" s="189" t="s">
        <v>238</v>
      </c>
      <c r="F50" s="194" t="str">
        <f>VLOOKUP(E50,'Справочник отрасли'!$A:$D,4,0)</f>
        <v>Банк</v>
      </c>
      <c r="G50" s="192">
        <f t="shared" si="5"/>
        <v>1.6173716314460178E-2</v>
      </c>
      <c r="H50" s="191" t="s">
        <v>92</v>
      </c>
      <c r="I50" s="193" t="e">
        <f>VLOOKUP(C50,'Справочник эшелоны акции'!$G$6:$H$30,2,0)</f>
        <v>#N/A</v>
      </c>
      <c r="J50" s="193">
        <f>VLOOKUP(A50,'Эшелоны результат'!$A$3:$H$83,8,FALSE)</f>
        <v>2</v>
      </c>
      <c r="K50" s="166" t="s">
        <v>625</v>
      </c>
      <c r="L50" s="162" t="s">
        <v>257</v>
      </c>
      <c r="M50" s="197">
        <f t="shared" si="6"/>
        <v>2167328841.9499998</v>
      </c>
      <c r="N50" s="198">
        <f t="shared" si="7"/>
        <v>3.1018995939128085E-2</v>
      </c>
    </row>
    <row r="51" spans="1:14" x14ac:dyDescent="0.2">
      <c r="A51" s="188" t="s">
        <v>159</v>
      </c>
      <c r="B51" s="189" t="s">
        <v>345</v>
      </c>
      <c r="C51" s="189" t="s">
        <v>203</v>
      </c>
      <c r="D51" s="190">
        <v>146033396.30000001</v>
      </c>
      <c r="E51" s="189" t="s">
        <v>116</v>
      </c>
      <c r="F51" s="194" t="str">
        <f>VLOOKUP(E51,'Справочник отрасли'!$A:$D,4,0)</f>
        <v>Топливная промышленность</v>
      </c>
      <c r="G51" s="192">
        <f t="shared" si="5"/>
        <v>2.090042470311612E-3</v>
      </c>
      <c r="H51" s="191" t="s">
        <v>84</v>
      </c>
      <c r="I51" s="193" t="e">
        <f>VLOOKUP(C51,'Справочник эшелоны акции'!$G$6:$H$30,2,0)</f>
        <v>#N/A</v>
      </c>
      <c r="J51" s="193">
        <f>VLOOKUP(A51,'Эшелоны результат'!$A$3:$H$83,8,FALSE)</f>
        <v>1</v>
      </c>
      <c r="K51" s="166" t="s">
        <v>625</v>
      </c>
      <c r="L51" s="162" t="s">
        <v>308</v>
      </c>
      <c r="M51" s="197">
        <f t="shared" si="6"/>
        <v>230748640</v>
      </c>
      <c r="N51" s="198">
        <f t="shared" si="7"/>
        <v>3.3024942909353179E-3</v>
      </c>
    </row>
    <row r="52" spans="1:14" x14ac:dyDescent="0.2">
      <c r="A52" s="188" t="s">
        <v>160</v>
      </c>
      <c r="B52" s="189" t="s">
        <v>345</v>
      </c>
      <c r="C52" s="189" t="s">
        <v>204</v>
      </c>
      <c r="D52" s="190">
        <v>229229926.66999999</v>
      </c>
      <c r="E52" s="189" t="s">
        <v>112</v>
      </c>
      <c r="F52" s="194" t="str">
        <f>VLOOKUP(E52,'Справочник отрасли'!$A:$D,4,0)</f>
        <v>Горнодобывающая промышленность</v>
      </c>
      <c r="G52" s="192">
        <f t="shared" si="5"/>
        <v>3.2807583357336214E-3</v>
      </c>
      <c r="H52" s="191" t="s">
        <v>84</v>
      </c>
      <c r="I52" s="193" t="e">
        <f>VLOOKUP(C52,'Справочник эшелоны акции'!$G$6:$H$30,2,0)</f>
        <v>#N/A</v>
      </c>
      <c r="J52" s="193">
        <f>VLOOKUP(A52,'Эшелоны результат'!$A$3:$H$83,8,FALSE)</f>
        <v>1</v>
      </c>
      <c r="K52" s="166" t="s">
        <v>625</v>
      </c>
      <c r="L52" s="162" t="s">
        <v>261</v>
      </c>
      <c r="M52" s="197">
        <f t="shared" si="6"/>
        <v>2137674736.8800001</v>
      </c>
      <c r="N52" s="198">
        <f t="shared" si="7"/>
        <v>3.0594583848567246E-2</v>
      </c>
    </row>
    <row r="53" spans="1:14" x14ac:dyDescent="0.2">
      <c r="A53" s="188" t="s">
        <v>161</v>
      </c>
      <c r="B53" s="189" t="s">
        <v>345</v>
      </c>
      <c r="C53" s="189" t="s">
        <v>205</v>
      </c>
      <c r="D53" s="190">
        <v>6111680934.4599991</v>
      </c>
      <c r="E53" s="189" t="s">
        <v>249</v>
      </c>
      <c r="F53" s="194" t="str">
        <f>VLOOKUP(E53,'Справочник отрасли'!$A:$D,4,0)</f>
        <v>Банк</v>
      </c>
      <c r="G53" s="192">
        <f t="shared" si="5"/>
        <v>8.7470900777887037E-2</v>
      </c>
      <c r="H53" s="191" t="s">
        <v>86</v>
      </c>
      <c r="I53" s="193" t="e">
        <f>VLOOKUP(C53,'Справочник эшелоны акции'!$G$6:$H$30,2,0)</f>
        <v>#N/A</v>
      </c>
      <c r="J53" s="193">
        <f>VLOOKUP(A53,'Эшелоны результат'!$A$3:$H$83,8,FALSE)</f>
        <v>1</v>
      </c>
      <c r="K53" s="166" t="s">
        <v>625</v>
      </c>
      <c r="L53" s="162" t="s">
        <v>310</v>
      </c>
      <c r="M53" s="197">
        <f t="shared" si="6"/>
        <v>323004389.94</v>
      </c>
      <c r="N53" s="198">
        <f t="shared" si="7"/>
        <v>4.6228664824368854E-3</v>
      </c>
    </row>
    <row r="54" spans="1:14" x14ac:dyDescent="0.2">
      <c r="A54" s="188" t="s">
        <v>162</v>
      </c>
      <c r="B54" s="189" t="s">
        <v>345</v>
      </c>
      <c r="C54" s="189" t="s">
        <v>206</v>
      </c>
      <c r="D54" s="190">
        <v>4854291962.750001</v>
      </c>
      <c r="E54" s="189" t="s">
        <v>250</v>
      </c>
      <c r="F54" s="194" t="str">
        <f>VLOOKUP(E54,'Справочник отрасли'!$A:$D,4,0)</f>
        <v>Топливная промышленность</v>
      </c>
      <c r="G54" s="192">
        <f t="shared" si="5"/>
        <v>6.9475042164994241E-2</v>
      </c>
      <c r="H54" s="191" t="s">
        <v>84</v>
      </c>
      <c r="I54" s="193" t="e">
        <f>VLOOKUP(C54,'Справочник эшелоны акции'!$G$6:$H$30,2,0)</f>
        <v>#N/A</v>
      </c>
      <c r="J54" s="193">
        <f>VLOOKUP(A54,'Эшелоны результат'!$A$3:$H$83,8,FALSE)</f>
        <v>1</v>
      </c>
      <c r="K54" s="166" t="s">
        <v>625</v>
      </c>
      <c r="L54" s="162" t="s">
        <v>313</v>
      </c>
      <c r="M54" s="197">
        <f t="shared" si="6"/>
        <v>673099350</v>
      </c>
      <c r="N54" s="198">
        <f t="shared" si="7"/>
        <v>9.6334555237563846E-3</v>
      </c>
    </row>
    <row r="55" spans="1:14" x14ac:dyDescent="0.2">
      <c r="A55" s="188" t="s">
        <v>163</v>
      </c>
      <c r="B55" s="189" t="s">
        <v>345</v>
      </c>
      <c r="C55" s="189" t="s">
        <v>207</v>
      </c>
      <c r="D55" s="190">
        <v>185566318.49000001</v>
      </c>
      <c r="E55" s="189" t="s">
        <v>237</v>
      </c>
      <c r="F55" s="194" t="str">
        <f>VLOOKUP(E55,'Справочник отрасли'!$A:$D,4,0)</f>
        <v>Банк</v>
      </c>
      <c r="G55" s="192">
        <f t="shared" si="5"/>
        <v>2.6558410372564275E-3</v>
      </c>
      <c r="H55" s="191" t="s">
        <v>92</v>
      </c>
      <c r="I55" s="193" t="e">
        <f>VLOOKUP(C55,'Справочник эшелоны акции'!$G$6:$H$30,2,0)</f>
        <v>#N/A</v>
      </c>
      <c r="J55" s="193">
        <f>VLOOKUP(A55,'Эшелоны результат'!$A$3:$H$83,8,FALSE)</f>
        <v>2</v>
      </c>
      <c r="K55" s="166" t="s">
        <v>625</v>
      </c>
      <c r="L55" s="162" t="s">
        <v>256</v>
      </c>
      <c r="M55" s="197">
        <f t="shared" si="6"/>
        <v>1554926185.7</v>
      </c>
      <c r="N55" s="198">
        <f t="shared" si="7"/>
        <v>2.225423669279299E-2</v>
      </c>
    </row>
    <row r="56" spans="1:14" x14ac:dyDescent="0.2">
      <c r="A56" s="188" t="s">
        <v>164</v>
      </c>
      <c r="B56" s="189" t="s">
        <v>345</v>
      </c>
      <c r="C56" s="189" t="s">
        <v>208</v>
      </c>
      <c r="D56" s="190">
        <v>8146259125.6000023</v>
      </c>
      <c r="E56" s="189" t="s">
        <v>251</v>
      </c>
      <c r="F56" s="194" t="str">
        <f>VLOOKUP(E56,'Справочник отрасли'!$A:$D,4,0)</f>
        <v>Топливная промышленность</v>
      </c>
      <c r="G56" s="192">
        <f t="shared" ref="G56:G88" si="8">D56/$B$17</f>
        <v>0.11658995803734203</v>
      </c>
      <c r="H56" s="191" t="s">
        <v>86</v>
      </c>
      <c r="I56" s="193" t="e">
        <f>VLOOKUP(C56,'Справочник эшелоны акции'!$G$6:$H$30,2,0)</f>
        <v>#N/A</v>
      </c>
      <c r="J56" s="193">
        <f>VLOOKUP(A56,'Эшелоны результат'!$A$3:$H$83,8,FALSE)</f>
        <v>1</v>
      </c>
      <c r="K56" s="166" t="s">
        <v>625</v>
      </c>
      <c r="L56" s="162" t="s">
        <v>262</v>
      </c>
      <c r="M56" s="197">
        <f t="shared" si="6"/>
        <v>257134738.95999998</v>
      </c>
      <c r="N56" s="198">
        <f t="shared" si="7"/>
        <v>3.6801343982635964E-3</v>
      </c>
    </row>
    <row r="57" spans="1:14" x14ac:dyDescent="0.2">
      <c r="A57" s="188" t="s">
        <v>165</v>
      </c>
      <c r="B57" s="189" t="s">
        <v>345</v>
      </c>
      <c r="C57" s="189" t="s">
        <v>209</v>
      </c>
      <c r="D57" s="190">
        <v>684618208.75999999</v>
      </c>
      <c r="E57" s="189" t="s">
        <v>235</v>
      </c>
      <c r="F57" s="194" t="str">
        <f>VLOOKUP(E57,'Справочник отрасли'!$A:$D,4,0)</f>
        <v>Горнодобывающая промышленность</v>
      </c>
      <c r="G57" s="192">
        <f t="shared" si="8"/>
        <v>9.7983144165021459E-3</v>
      </c>
      <c r="H57" s="191" t="s">
        <v>86</v>
      </c>
      <c r="I57" s="193" t="e">
        <f>VLOOKUP(C57,'Справочник эшелоны акции'!$G$6:$H$30,2,0)</f>
        <v>#N/A</v>
      </c>
      <c r="J57" s="193">
        <f>VLOOKUP(A57,'Эшелоны результат'!$A$3:$H$83,8,FALSE)</f>
        <v>1</v>
      </c>
      <c r="K57" s="166" t="s">
        <v>625</v>
      </c>
      <c r="L57" s="162" t="s">
        <v>533</v>
      </c>
      <c r="M57" s="197">
        <f t="shared" si="6"/>
        <v>45319500</v>
      </c>
      <c r="N57" s="198">
        <f t="shared" si="7"/>
        <v>6.4861656397213491E-4</v>
      </c>
    </row>
    <row r="58" spans="1:14" x14ac:dyDescent="0.2">
      <c r="A58" s="188" t="s">
        <v>166</v>
      </c>
      <c r="B58" s="189" t="s">
        <v>345</v>
      </c>
      <c r="C58" s="189" t="s">
        <v>210</v>
      </c>
      <c r="D58" s="190">
        <v>520744183.31999999</v>
      </c>
      <c r="E58" s="189" t="s">
        <v>112</v>
      </c>
      <c r="F58" s="194" t="str">
        <f>VLOOKUP(E58,'Справочник отрасли'!$A:$D,4,0)</f>
        <v>Горнодобывающая промышленность</v>
      </c>
      <c r="G58" s="192">
        <f t="shared" si="8"/>
        <v>7.4529353345357723E-3</v>
      </c>
      <c r="H58" s="191" t="s">
        <v>84</v>
      </c>
      <c r="I58" s="193" t="e">
        <f>VLOOKUP(C58,'Справочник эшелоны акции'!$G$6:$H$30,2,0)</f>
        <v>#N/A</v>
      </c>
      <c r="J58" s="193">
        <f>VLOOKUP(A58,'Эшелоны результат'!$A$3:$H$83,8,FALSE)</f>
        <v>1</v>
      </c>
      <c r="K58" s="166" t="s">
        <v>625</v>
      </c>
      <c r="L58" s="162" t="s">
        <v>6</v>
      </c>
      <c r="M58" s="197">
        <f t="shared" si="6"/>
        <v>44305378.879999995</v>
      </c>
      <c r="N58" s="198">
        <f t="shared" si="7"/>
        <v>6.3410237567998755E-4</v>
      </c>
    </row>
    <row r="59" spans="1:14" x14ac:dyDescent="0.2">
      <c r="A59" s="188" t="s">
        <v>167</v>
      </c>
      <c r="B59" s="189" t="s">
        <v>345</v>
      </c>
      <c r="C59" s="189" t="s">
        <v>211</v>
      </c>
      <c r="D59" s="190">
        <v>57262533.060000002</v>
      </c>
      <c r="E59" s="189" t="s">
        <v>116</v>
      </c>
      <c r="F59" s="194" t="str">
        <f>VLOOKUP(E59,'Справочник отрасли'!$A:$D,4,0)</f>
        <v>Топливная промышленность</v>
      </c>
      <c r="G59" s="192">
        <f t="shared" si="8"/>
        <v>8.1954627561464676E-4</v>
      </c>
      <c r="H59" s="191" t="s">
        <v>84</v>
      </c>
      <c r="I59" s="193" t="e">
        <f>VLOOKUP(C59,'Справочник эшелоны акции'!$G$6:$H$30,2,0)</f>
        <v>#N/A</v>
      </c>
      <c r="J59" s="193">
        <f>VLOOKUP(A59,'Эшелоны результат'!$A$3:$H$83,8,FALSE)</f>
        <v>1</v>
      </c>
      <c r="K59" s="166" t="s">
        <v>625</v>
      </c>
      <c r="L59" s="162" t="s">
        <v>7</v>
      </c>
      <c r="M59" s="197">
        <f t="shared" si="6"/>
        <v>944357835.61000001</v>
      </c>
      <c r="N59" s="198">
        <f t="shared" si="7"/>
        <v>1.3515730193261631E-2</v>
      </c>
    </row>
    <row r="60" spans="1:14" x14ac:dyDescent="0.2">
      <c r="A60" s="188" t="s">
        <v>168</v>
      </c>
      <c r="B60" s="189" t="s">
        <v>345</v>
      </c>
      <c r="C60" s="189" t="s">
        <v>212</v>
      </c>
      <c r="D60" s="190">
        <v>807835299.35000002</v>
      </c>
      <c r="E60" s="189" t="s">
        <v>253</v>
      </c>
      <c r="F60" s="194" t="str">
        <f>VLOOKUP(E60,'Справочник отрасли'!$A:$D,4,0)</f>
        <v>Банк</v>
      </c>
      <c r="G60" s="192">
        <f t="shared" si="8"/>
        <v>1.1561807966102849E-2</v>
      </c>
      <c r="H60" s="191" t="s">
        <v>86</v>
      </c>
      <c r="I60" s="193" t="e">
        <f>VLOOKUP(C60,'Справочник эшелоны акции'!$G$6:$H$30,2,0)</f>
        <v>#N/A</v>
      </c>
      <c r="J60" s="193">
        <f>VLOOKUP(A60,'Эшелоны результат'!$A$3:$H$83,8,FALSE)</f>
        <v>1</v>
      </c>
      <c r="K60" s="166" t="s">
        <v>625</v>
      </c>
      <c r="L60" s="162" t="s">
        <v>258</v>
      </c>
      <c r="M60" s="197">
        <f t="shared" si="6"/>
        <v>1552493431.3699999</v>
      </c>
      <c r="N60" s="198">
        <f t="shared" si="7"/>
        <v>2.2219418904544819E-2</v>
      </c>
    </row>
    <row r="61" spans="1:14" x14ac:dyDescent="0.2">
      <c r="A61" s="188" t="s">
        <v>489</v>
      </c>
      <c r="B61" s="189" t="s">
        <v>345</v>
      </c>
      <c r="C61" s="189" t="s">
        <v>488</v>
      </c>
      <c r="D61" s="190">
        <v>423410014.21999997</v>
      </c>
      <c r="E61" s="189" t="s">
        <v>487</v>
      </c>
      <c r="F61" s="194" t="str">
        <f>VLOOKUP(E61,'Справочник отрасли'!$A:$D,4,0)</f>
        <v>Страны</v>
      </c>
      <c r="G61" s="192">
        <f t="shared" si="8"/>
        <v>6.0598803732337999E-3</v>
      </c>
      <c r="H61" s="191" t="s">
        <v>96</v>
      </c>
      <c r="I61" s="193" t="e">
        <f>VLOOKUP(C61,'Справочник эшелоны акции'!$G$6:$H$30,2,0)</f>
        <v>#N/A</v>
      </c>
      <c r="J61" s="193">
        <f>VLOOKUP(A61,'Эшелоны результат'!$A$3:$H$83,8,FALSE)</f>
        <v>2</v>
      </c>
      <c r="K61" s="166" t="s">
        <v>625</v>
      </c>
      <c r="L61" s="162" t="s">
        <v>259</v>
      </c>
      <c r="M61" s="197">
        <f t="shared" si="6"/>
        <v>4911911904.0799999</v>
      </c>
      <c r="N61" s="198">
        <f t="shared" si="7"/>
        <v>7.0299703698368174E-2</v>
      </c>
    </row>
    <row r="62" spans="1:14" x14ac:dyDescent="0.2">
      <c r="A62" s="188" t="s">
        <v>362</v>
      </c>
      <c r="B62" s="189" t="s">
        <v>345</v>
      </c>
      <c r="C62" s="189" t="s">
        <v>513</v>
      </c>
      <c r="D62" s="190">
        <v>635423404.43000007</v>
      </c>
      <c r="E62" s="189" t="s">
        <v>116</v>
      </c>
      <c r="F62" s="194" t="str">
        <f>VLOOKUP(E62,'Справочник отрасли'!$A:$D,4,0)</f>
        <v>Топливная промышленность</v>
      </c>
      <c r="G62" s="192">
        <f t="shared" si="8"/>
        <v>9.0942341651797324E-3</v>
      </c>
      <c r="H62" s="191" t="s">
        <v>88</v>
      </c>
      <c r="I62" s="193" t="e">
        <f>VLOOKUP(C62,'Справочник эшелоны акции'!$G$6:$H$30,2,0)</f>
        <v>#N/A</v>
      </c>
      <c r="J62" s="193">
        <f>VLOOKUP(A62,'Эшелоны результат'!$A$3:$H$83,8,FALSE)</f>
        <v>1</v>
      </c>
      <c r="K62" s="166" t="s">
        <v>625</v>
      </c>
      <c r="L62" s="162" t="s">
        <v>260</v>
      </c>
      <c r="M62" s="197">
        <f t="shared" si="6"/>
        <v>507515773.16000003</v>
      </c>
      <c r="N62" s="198">
        <f t="shared" si="7"/>
        <v>7.2636091957921133E-3</v>
      </c>
    </row>
    <row r="63" spans="1:14" hidden="1" x14ac:dyDescent="0.2">
      <c r="A63" s="188" t="s">
        <v>472</v>
      </c>
      <c r="B63" s="189" t="s">
        <v>348</v>
      </c>
      <c r="C63" s="189" t="s">
        <v>303</v>
      </c>
      <c r="D63" s="190">
        <v>60195540.750000007</v>
      </c>
      <c r="E63" s="189" t="s">
        <v>304</v>
      </c>
      <c r="F63" s="194" t="str">
        <f>VLOOKUP(E63,'Справочник отрасли'!$A:$D,4,0)</f>
        <v>Финансовый лизинг</v>
      </c>
      <c r="G63" s="192">
        <f t="shared" si="8"/>
        <v>8.6152373277970052E-4</v>
      </c>
      <c r="H63" s="191" t="s">
        <v>86</v>
      </c>
      <c r="I63" s="193" t="e">
        <f>VLOOKUP(C63,'Справочник эшелоны акции'!$G$6:$H$30,2,0)</f>
        <v>#N/A</v>
      </c>
      <c r="J63" s="193">
        <f>VLOOKUP(A63,'Эшелоны результат'!$A$3:$H$83,8,FALSE)</f>
        <v>1</v>
      </c>
      <c r="K63" s="166" t="s">
        <v>624</v>
      </c>
      <c r="L63" s="162" t="s">
        <v>526</v>
      </c>
      <c r="M63" s="197">
        <f t="shared" si="6"/>
        <v>631699861.67999995</v>
      </c>
      <c r="N63" s="198">
        <f t="shared" si="7"/>
        <v>9.0409425025552905E-3</v>
      </c>
    </row>
    <row r="64" spans="1:14" hidden="1" x14ac:dyDescent="0.2">
      <c r="A64" s="188" t="s">
        <v>171</v>
      </c>
      <c r="B64" s="189" t="s">
        <v>348</v>
      </c>
      <c r="C64" s="189" t="s">
        <v>215</v>
      </c>
      <c r="D64" s="190">
        <v>1062829.78</v>
      </c>
      <c r="E64" s="189" t="s">
        <v>255</v>
      </c>
      <c r="F64" s="194" t="str">
        <f>VLOOKUP(E64,'Справочник отрасли'!$A:$D,4,0)</f>
        <v>Банк</v>
      </c>
      <c r="G64" s="192">
        <f t="shared" si="8"/>
        <v>1.5211310804198197E-5</v>
      </c>
      <c r="H64" s="191" t="s">
        <v>86</v>
      </c>
      <c r="I64" s="193" t="e">
        <f>VLOOKUP(C64,'Справочник эшелоны акции'!$G$6:$H$30,2,0)</f>
        <v>#N/A</v>
      </c>
      <c r="J64" s="193">
        <f>VLOOKUP(A64,'Эшелоны результат'!$A$3:$H$83,8,FALSE)</f>
        <v>4</v>
      </c>
      <c r="K64" s="166" t="s">
        <v>624</v>
      </c>
      <c r="L64" s="162" t="s">
        <v>248</v>
      </c>
      <c r="M64" s="197">
        <f t="shared" si="6"/>
        <v>1418357106.03</v>
      </c>
      <c r="N64" s="198">
        <f t="shared" si="7"/>
        <v>2.0299648332365531E-2</v>
      </c>
    </row>
    <row r="65" spans="1:14" hidden="1" x14ac:dyDescent="0.2">
      <c r="A65" s="188" t="s">
        <v>473</v>
      </c>
      <c r="B65" s="189" t="s">
        <v>348</v>
      </c>
      <c r="C65" s="189" t="s">
        <v>305</v>
      </c>
      <c r="D65" s="190">
        <v>13169308.68</v>
      </c>
      <c r="E65" s="189" t="s">
        <v>306</v>
      </c>
      <c r="F65" s="194" t="str">
        <f>VLOOKUP(E65,'Справочник отрасли'!$A:$D,4,0)</f>
        <v>Инвестиционная деятельность</v>
      </c>
      <c r="G65" s="192">
        <f t="shared" si="8"/>
        <v>1.8848027330200051E-4</v>
      </c>
      <c r="H65" s="191" t="s">
        <v>129</v>
      </c>
      <c r="I65" s="193" t="e">
        <f>VLOOKUP(C65,'Справочник эшелоны акции'!$G$6:$H$30,2,0)</f>
        <v>#N/A</v>
      </c>
      <c r="J65" s="193">
        <f>VLOOKUP(A65,'Эшелоны результат'!$A$3:$H$83,8,FALSE)</f>
        <v>4</v>
      </c>
      <c r="K65" s="166" t="s">
        <v>624</v>
      </c>
      <c r="L65" s="162" t="s">
        <v>263</v>
      </c>
      <c r="M65" s="197">
        <f t="shared" si="6"/>
        <v>1063739009.09</v>
      </c>
      <c r="N65" s="198">
        <f t="shared" si="7"/>
        <v>1.5224323768776783E-2</v>
      </c>
    </row>
    <row r="66" spans="1:14" hidden="1" x14ac:dyDescent="0.2">
      <c r="A66" s="188" t="s">
        <v>172</v>
      </c>
      <c r="B66" s="189" t="s">
        <v>348</v>
      </c>
      <c r="C66" s="189" t="s">
        <v>216</v>
      </c>
      <c r="D66" s="190">
        <v>36979895.279999994</v>
      </c>
      <c r="E66" s="189" t="s">
        <v>245</v>
      </c>
      <c r="F66" s="194" t="str">
        <f>VLOOKUP(E66,'Справочник отрасли'!$A:$D,4,0)</f>
        <v>Банк</v>
      </c>
      <c r="G66" s="192">
        <f t="shared" si="8"/>
        <v>5.2925942723469957E-4</v>
      </c>
      <c r="H66" s="191" t="s">
        <v>88</v>
      </c>
      <c r="I66" s="193" t="e">
        <f>VLOOKUP(C66,'Справочник эшелоны акции'!$G$6:$H$30,2,0)</f>
        <v>#N/A</v>
      </c>
      <c r="J66" s="193">
        <f>VLOOKUP(A66,'Эшелоны результат'!$A$3:$H$83,8,FALSE)</f>
        <v>2</v>
      </c>
      <c r="K66" s="166" t="s">
        <v>624</v>
      </c>
      <c r="L66" s="162" t="s">
        <v>367</v>
      </c>
      <c r="M66" s="197">
        <f t="shared" si="6"/>
        <v>535710943.82999998</v>
      </c>
      <c r="N66" s="198">
        <f t="shared" si="7"/>
        <v>7.6671408923153165E-3</v>
      </c>
    </row>
    <row r="67" spans="1:14" hidden="1" x14ac:dyDescent="0.2">
      <c r="A67" s="188" t="s">
        <v>174</v>
      </c>
      <c r="B67" s="189" t="s">
        <v>348</v>
      </c>
      <c r="C67" s="189" t="s">
        <v>218</v>
      </c>
      <c r="D67" s="190">
        <v>168779711.74999997</v>
      </c>
      <c r="E67" s="189" t="s">
        <v>257</v>
      </c>
      <c r="F67" s="194" t="str">
        <f>VLOOKUP(E67,'Справочник отрасли'!$A:$D,4,0)</f>
        <v>Инвестиционная деятельность</v>
      </c>
      <c r="G67" s="192">
        <f t="shared" si="8"/>
        <v>2.4155896844292712E-3</v>
      </c>
      <c r="H67" s="191" t="s">
        <v>92</v>
      </c>
      <c r="I67" s="193" t="e">
        <f>VLOOKUP(C67,'Справочник эшелоны акции'!$G$6:$H$30,2,0)</f>
        <v>#N/A</v>
      </c>
      <c r="J67" s="193">
        <f>VLOOKUP(A67,'Эшелоны результат'!$A$3:$H$83,8,FALSE)</f>
        <v>2</v>
      </c>
      <c r="K67" s="166" t="s">
        <v>624</v>
      </c>
      <c r="L67" s="162" t="s">
        <v>264</v>
      </c>
      <c r="M67" s="197">
        <f t="shared" si="6"/>
        <v>13059546886.460001</v>
      </c>
      <c r="N67" s="198">
        <f t="shared" si="7"/>
        <v>0.18690935311573781</v>
      </c>
    </row>
    <row r="68" spans="1:14" hidden="1" x14ac:dyDescent="0.2">
      <c r="A68" s="188" t="s">
        <v>178</v>
      </c>
      <c r="B68" s="189" t="s">
        <v>348</v>
      </c>
      <c r="C68" s="189" t="s">
        <v>220</v>
      </c>
      <c r="D68" s="190">
        <v>55148745.759999976</v>
      </c>
      <c r="E68" s="189" t="s">
        <v>257</v>
      </c>
      <c r="F68" s="194" t="str">
        <f>VLOOKUP(E68,'Справочник отрасли'!$A:$D,4,0)</f>
        <v>Инвестиционная деятельность</v>
      </c>
      <c r="G68" s="192">
        <f t="shared" si="8"/>
        <v>7.8929357080779864E-4</v>
      </c>
      <c r="H68" s="191" t="s">
        <v>92</v>
      </c>
      <c r="I68" s="193" t="e">
        <f>VLOOKUP(C68,'Справочник эшелоны акции'!$G$6:$H$30,2,0)</f>
        <v>#N/A</v>
      </c>
      <c r="J68" s="193">
        <f>VLOOKUP(A68,'Эшелоны результат'!$A$3:$H$83,8,FALSE)</f>
        <v>2</v>
      </c>
      <c r="K68" s="166" t="s">
        <v>624</v>
      </c>
      <c r="L68" s="162" t="s">
        <v>139</v>
      </c>
      <c r="M68" s="197">
        <f t="shared" si="6"/>
        <v>4762000</v>
      </c>
      <c r="N68" s="198">
        <f t="shared" si="7"/>
        <v>6.8154151692655627E-5</v>
      </c>
    </row>
    <row r="69" spans="1:14" hidden="1" x14ac:dyDescent="0.2">
      <c r="A69" s="188" t="s">
        <v>474</v>
      </c>
      <c r="B69" s="189" t="s">
        <v>348</v>
      </c>
      <c r="C69" s="189" t="s">
        <v>307</v>
      </c>
      <c r="D69" s="190">
        <v>230748640</v>
      </c>
      <c r="E69" s="189" t="s">
        <v>308</v>
      </c>
      <c r="F69" s="194" t="str">
        <f>VLOOKUP(E69,'Справочник отрасли'!$A:$D,4,0)</f>
        <v>Банк</v>
      </c>
      <c r="G69" s="192">
        <f t="shared" si="8"/>
        <v>3.3024942909353179E-3</v>
      </c>
      <c r="H69" s="191" t="s">
        <v>92</v>
      </c>
      <c r="I69" s="193" t="e">
        <f>VLOOKUP(C69,'Справочник эшелоны акции'!$G$6:$H$30,2,0)</f>
        <v>#N/A</v>
      </c>
      <c r="J69" s="193">
        <f>VLOOKUP(A69,'Эшелоны результат'!$A$3:$H$83,8,FALSE)</f>
        <v>2</v>
      </c>
      <c r="K69" s="166" t="s">
        <v>624</v>
      </c>
      <c r="L69" s="162" t="s">
        <v>382</v>
      </c>
      <c r="M69" s="197">
        <f t="shared" si="6"/>
        <v>53428000</v>
      </c>
      <c r="N69" s="198">
        <f t="shared" si="7"/>
        <v>7.6466611017118955E-4</v>
      </c>
    </row>
    <row r="70" spans="1:14" hidden="1" x14ac:dyDescent="0.2">
      <c r="A70" s="188" t="s">
        <v>184</v>
      </c>
      <c r="B70" s="189" t="s">
        <v>348</v>
      </c>
      <c r="C70" s="189" t="s">
        <v>226</v>
      </c>
      <c r="D70" s="190">
        <v>6399796.4799999986</v>
      </c>
      <c r="E70" s="189" t="s">
        <v>261</v>
      </c>
      <c r="F70" s="194" t="str">
        <f>VLOOKUP(E70,'Справочник отрасли'!$A:$D,4,0)</f>
        <v>Инвестиционная деятельность</v>
      </c>
      <c r="G70" s="192">
        <f t="shared" si="8"/>
        <v>9.1594435132306466E-5</v>
      </c>
      <c r="H70" s="191" t="s">
        <v>88</v>
      </c>
      <c r="I70" s="193" t="e">
        <f>VLOOKUP(C70,'Справочник эшелоны акции'!$G$6:$H$30,2,0)</f>
        <v>#N/A</v>
      </c>
      <c r="J70" s="193">
        <f>VLOOKUP(A70,'Эшелоны результат'!$A$3:$H$83,8,FALSE)</f>
        <v>1</v>
      </c>
      <c r="K70" s="166" t="s">
        <v>624</v>
      </c>
      <c r="L70" s="162"/>
      <c r="M70" s="197">
        <f t="shared" si="6"/>
        <v>0</v>
      </c>
      <c r="N70" s="198">
        <f t="shared" si="7"/>
        <v>0</v>
      </c>
    </row>
    <row r="71" spans="1:14" hidden="1" x14ac:dyDescent="0.2">
      <c r="A71" s="188" t="s">
        <v>475</v>
      </c>
      <c r="B71" s="189" t="s">
        <v>348</v>
      </c>
      <c r="C71" s="189" t="s">
        <v>309</v>
      </c>
      <c r="D71" s="190">
        <v>8597859.3899999987</v>
      </c>
      <c r="E71" s="189" t="s">
        <v>310</v>
      </c>
      <c r="F71" s="194" t="str">
        <f>VLOOKUP(E71,'Справочник отрасли'!$A:$D,4,0)</f>
        <v>Банк</v>
      </c>
      <c r="G71" s="192">
        <f t="shared" si="8"/>
        <v>1.2305329968462483E-4</v>
      </c>
      <c r="H71" s="191" t="s">
        <v>86</v>
      </c>
      <c r="I71" s="193" t="e">
        <f>VLOOKUP(C71,'Справочник эшелоны акции'!$G$6:$H$30,2,0)</f>
        <v>#N/A</v>
      </c>
      <c r="J71" s="193">
        <f>VLOOKUP(A71,'Эшелоны результат'!$A$3:$H$83,8,FALSE)</f>
        <v>2</v>
      </c>
      <c r="K71" s="166" t="s">
        <v>624</v>
      </c>
      <c r="L71" s="162"/>
      <c r="M71" s="197">
        <f t="shared" si="6"/>
        <v>0</v>
      </c>
      <c r="N71" s="198">
        <f t="shared" si="7"/>
        <v>0</v>
      </c>
    </row>
    <row r="72" spans="1:14" hidden="1" x14ac:dyDescent="0.2">
      <c r="A72" s="188" t="s">
        <v>476</v>
      </c>
      <c r="B72" s="189" t="s">
        <v>348</v>
      </c>
      <c r="C72" s="189" t="s">
        <v>311</v>
      </c>
      <c r="D72" s="190">
        <v>314406530.55000001</v>
      </c>
      <c r="E72" s="189" t="s">
        <v>310</v>
      </c>
      <c r="F72" s="194" t="str">
        <f>VLOOKUP(E72,'Справочник отрасли'!$A:$D,4,0)</f>
        <v>Банк</v>
      </c>
      <c r="G72" s="192">
        <f t="shared" si="8"/>
        <v>4.4998131827522605E-3</v>
      </c>
      <c r="H72" s="191" t="s">
        <v>86</v>
      </c>
      <c r="I72" s="193" t="e">
        <f>VLOOKUP(C72,'Справочник эшелоны акции'!$G$6:$H$30,2,0)</f>
        <v>#N/A</v>
      </c>
      <c r="J72" s="193">
        <f>VLOOKUP(A72,'Эшелоны результат'!$A$3:$H$83,8,FALSE)</f>
        <v>2</v>
      </c>
      <c r="K72" s="166" t="s">
        <v>624</v>
      </c>
      <c r="L72" s="162"/>
      <c r="M72" s="197">
        <f t="shared" si="6"/>
        <v>0</v>
      </c>
      <c r="N72" s="198">
        <f t="shared" si="7"/>
        <v>0</v>
      </c>
    </row>
    <row r="73" spans="1:14" hidden="1" x14ac:dyDescent="0.2">
      <c r="A73" s="188" t="s">
        <v>477</v>
      </c>
      <c r="B73" s="189" t="s">
        <v>348</v>
      </c>
      <c r="C73" s="189" t="s">
        <v>312</v>
      </c>
      <c r="D73" s="190">
        <v>513905000</v>
      </c>
      <c r="E73" s="189" t="s">
        <v>313</v>
      </c>
      <c r="F73" s="194" t="str">
        <f>VLOOKUP(E73,'Справочник отрасли'!$A:$D,4,0)</f>
        <v>Топливная промышленность</v>
      </c>
      <c r="G73" s="192">
        <f t="shared" si="8"/>
        <v>7.3550523573318333E-3</v>
      </c>
      <c r="H73" s="191" t="s">
        <v>86</v>
      </c>
      <c r="I73" s="193" t="e">
        <f>VLOOKUP(C73,'Справочник эшелоны акции'!$G$6:$H$30,2,0)</f>
        <v>#N/A</v>
      </c>
      <c r="J73" s="193">
        <f>VLOOKUP(A73,'Эшелоны результат'!$A$3:$H$83,8,FALSE)</f>
        <v>1</v>
      </c>
      <c r="K73" s="166" t="s">
        <v>624</v>
      </c>
      <c r="L73" s="162"/>
      <c r="M73" s="197">
        <f t="shared" si="6"/>
        <v>0</v>
      </c>
      <c r="N73" s="198">
        <f t="shared" si="7"/>
        <v>0</v>
      </c>
    </row>
    <row r="74" spans="1:14" hidden="1" x14ac:dyDescent="0.2">
      <c r="A74" s="188" t="s">
        <v>478</v>
      </c>
      <c r="B74" s="189" t="s">
        <v>348</v>
      </c>
      <c r="C74" s="189" t="s">
        <v>314</v>
      </c>
      <c r="D74" s="190">
        <v>139321350</v>
      </c>
      <c r="E74" s="189" t="s">
        <v>313</v>
      </c>
      <c r="F74" s="194" t="str">
        <f>VLOOKUP(E74,'Справочник отрасли'!$A:$D,4,0)</f>
        <v>Топливная промышленность</v>
      </c>
      <c r="G74" s="192">
        <f t="shared" si="8"/>
        <v>1.9939790890225887E-3</v>
      </c>
      <c r="H74" s="191" t="s">
        <v>86</v>
      </c>
      <c r="I74" s="193" t="e">
        <f>VLOOKUP(C74,'Справочник эшелоны акции'!$G$6:$H$30,2,0)</f>
        <v>#N/A</v>
      </c>
      <c r="J74" s="193">
        <f>VLOOKUP(A74,'Эшелоны результат'!$A$3:$H$83,8,FALSE)</f>
        <v>1</v>
      </c>
      <c r="K74" s="166" t="s">
        <v>624</v>
      </c>
      <c r="L74" s="162"/>
      <c r="M74" s="197">
        <f t="shared" si="6"/>
        <v>0</v>
      </c>
      <c r="N74" s="198">
        <f t="shared" si="7"/>
        <v>0</v>
      </c>
    </row>
    <row r="75" spans="1:14" ht="15" hidden="1" x14ac:dyDescent="0.25">
      <c r="A75" s="188" t="s">
        <v>187</v>
      </c>
      <c r="B75" s="209" t="s">
        <v>348</v>
      </c>
      <c r="C75" s="189" t="s">
        <v>229</v>
      </c>
      <c r="D75" s="190">
        <v>187910810.70000002</v>
      </c>
      <c r="E75" s="189" t="s">
        <v>256</v>
      </c>
      <c r="F75" s="194" t="str">
        <f>VLOOKUP(E75,'Справочник отрасли'!$A:$D,4,0)</f>
        <v>Банк</v>
      </c>
      <c r="G75" s="192">
        <f t="shared" si="8"/>
        <v>2.6893956104867066E-3</v>
      </c>
      <c r="H75" s="191" t="s">
        <v>80</v>
      </c>
      <c r="I75" s="193" t="e">
        <f>VLOOKUP(C75,'Справочник эшелоны акции'!$G$6:$H$30,2,0)</f>
        <v>#N/A</v>
      </c>
      <c r="J75" s="193">
        <f>VLOOKUP(A75,'Эшелоны результат'!$A$3:$H$83,8,FALSE)</f>
        <v>3</v>
      </c>
      <c r="K75" s="166" t="s">
        <v>624</v>
      </c>
      <c r="L75"/>
      <c r="M75" s="172">
        <f>SUM(M24:M74)</f>
        <v>69871018591.419998</v>
      </c>
    </row>
    <row r="76" spans="1:14" hidden="1" x14ac:dyDescent="0.2">
      <c r="A76" s="188" t="s">
        <v>188</v>
      </c>
      <c r="B76" s="189" t="s">
        <v>348</v>
      </c>
      <c r="C76" s="189" t="s">
        <v>230</v>
      </c>
      <c r="D76" s="190">
        <v>45567758.299999997</v>
      </c>
      <c r="E76" s="189" t="s">
        <v>262</v>
      </c>
      <c r="F76" s="194" t="str">
        <f>VLOOKUP(E76,'Справочник отрасли'!$A:$D,4,0)</f>
        <v>Финансовый лизинг</v>
      </c>
      <c r="G76" s="192">
        <f t="shared" si="8"/>
        <v>6.5216965801605784E-4</v>
      </c>
      <c r="H76" s="191" t="s">
        <v>88</v>
      </c>
      <c r="I76" s="193" t="e">
        <f>VLOOKUP(C76,'Справочник эшелоны акции'!$G$6:$H$30,2,0)</f>
        <v>#N/A</v>
      </c>
      <c r="J76" s="193">
        <f>VLOOKUP(A76,'Эшелоны результат'!$A$3:$H$83,8,FALSE)</f>
        <v>1</v>
      </c>
      <c r="K76" s="166" t="s">
        <v>624</v>
      </c>
      <c r="L76" s="171"/>
      <c r="M76" s="168">
        <f>M75-B17</f>
        <v>0</v>
      </c>
    </row>
    <row r="77" spans="1:14" ht="15" hidden="1" x14ac:dyDescent="0.25">
      <c r="A77" s="188" t="s">
        <v>479</v>
      </c>
      <c r="B77" s="189" t="s">
        <v>348</v>
      </c>
      <c r="C77" s="189" t="s">
        <v>317</v>
      </c>
      <c r="D77" s="190">
        <v>615366000</v>
      </c>
      <c r="E77" s="189" t="s">
        <v>257</v>
      </c>
      <c r="F77" s="194" t="str">
        <f>VLOOKUP(E77,'Справочник отрасли'!$A:$D,4,0)</f>
        <v>Инвестиционная деятельность</v>
      </c>
      <c r="G77" s="192">
        <f t="shared" si="8"/>
        <v>8.8071708757880562E-3</v>
      </c>
      <c r="H77" s="191" t="s">
        <v>92</v>
      </c>
      <c r="I77" s="193" t="e">
        <f>VLOOKUP(C77,'Справочник эшелоны акции'!$G$6:$H$30,2,0)</f>
        <v>#N/A</v>
      </c>
      <c r="J77" s="193">
        <f>VLOOKUP(A77,'Эшелоны результат'!$A$3:$H$83,8,FALSE)</f>
        <v>2</v>
      </c>
      <c r="K77" s="166" t="s">
        <v>624</v>
      </c>
      <c r="L77"/>
    </row>
    <row r="78" spans="1:14" ht="15" hidden="1" x14ac:dyDescent="0.25">
      <c r="A78" s="188" t="s">
        <v>480</v>
      </c>
      <c r="B78" s="209" t="s">
        <v>348</v>
      </c>
      <c r="C78" s="189" t="s">
        <v>318</v>
      </c>
      <c r="D78" s="190">
        <v>56433375</v>
      </c>
      <c r="E78" s="189" t="s">
        <v>256</v>
      </c>
      <c r="F78" s="194" t="str">
        <f>VLOOKUP(E78,'Справочник отрасли'!$A:$D,4,0)</f>
        <v>Банк</v>
      </c>
      <c r="G78" s="192">
        <f t="shared" si="8"/>
        <v>8.0767929447259968E-4</v>
      </c>
      <c r="H78" s="191" t="s">
        <v>80</v>
      </c>
      <c r="I78" s="193" t="e">
        <f>VLOOKUP(C78,'Справочник эшелоны акции'!$G$6:$H$30,2,0)</f>
        <v>#N/A</v>
      </c>
      <c r="J78" s="193">
        <f>VLOOKUP(A78,'Эшелоны результат'!$A$3:$H$83,8,FALSE)</f>
        <v>4</v>
      </c>
      <c r="K78" s="166" t="s">
        <v>624</v>
      </c>
      <c r="L78"/>
    </row>
    <row r="79" spans="1:14" ht="15" hidden="1" x14ac:dyDescent="0.25">
      <c r="A79" s="188" t="s">
        <v>528</v>
      </c>
      <c r="B79" s="189" t="s">
        <v>348</v>
      </c>
      <c r="C79" s="189" t="s">
        <v>531</v>
      </c>
      <c r="D79" s="190">
        <v>607892534.19000006</v>
      </c>
      <c r="E79" s="189" t="s">
        <v>257</v>
      </c>
      <c r="F79" s="194" t="str">
        <f>VLOOKUP(E79,'Справочник отрасли'!$A:$D,4,0)</f>
        <v>Инвестиционная деятельность</v>
      </c>
      <c r="G79" s="192">
        <f t="shared" si="8"/>
        <v>8.7002099932839382E-3</v>
      </c>
      <c r="H79" s="191" t="s">
        <v>92</v>
      </c>
      <c r="I79" s="193" t="e">
        <f>VLOOKUP(C79,'Справочник эшелоны акции'!$G$6:$H$30,2,0)</f>
        <v>#N/A</v>
      </c>
      <c r="J79" s="193">
        <f>VLOOKUP(A79,'Эшелоны результат'!$A$3:$H$83,8,FALSE)</f>
        <v>4</v>
      </c>
      <c r="K79" s="166" t="s">
        <v>624</v>
      </c>
      <c r="L79"/>
    </row>
    <row r="80" spans="1:14" ht="15" hidden="1" x14ac:dyDescent="0.25">
      <c r="A80" s="188" t="s">
        <v>529</v>
      </c>
      <c r="B80" s="209" t="s">
        <v>348</v>
      </c>
      <c r="C80" s="189" t="s">
        <v>532</v>
      </c>
      <c r="D80" s="190">
        <v>45319500</v>
      </c>
      <c r="E80" s="189" t="s">
        <v>533</v>
      </c>
      <c r="F80" s="194" t="str">
        <f>VLOOKUP(E80,'Справочник отрасли'!$A:$D,4,0)</f>
        <v>Профессиональные услуги, сервис</v>
      </c>
      <c r="G80" s="192">
        <f t="shared" si="8"/>
        <v>6.4861656397213491E-4</v>
      </c>
      <c r="H80" s="191" t="s">
        <v>90</v>
      </c>
      <c r="I80" s="193" t="e">
        <f>VLOOKUP(C80,'Справочник эшелоны акции'!$G$6:$H$30,2,0)</f>
        <v>#N/A</v>
      </c>
      <c r="J80" s="193">
        <f>VLOOKUP(A80,'Эшелоны результат'!$A$3:$H$83,8,FALSE)</f>
        <v>4</v>
      </c>
      <c r="K80" s="166" t="s">
        <v>624</v>
      </c>
      <c r="L80"/>
    </row>
    <row r="81" spans="1:12" ht="15" x14ac:dyDescent="0.25">
      <c r="A81" s="188" t="s">
        <v>169</v>
      </c>
      <c r="B81" s="189" t="s">
        <v>348</v>
      </c>
      <c r="C81" s="189" t="s">
        <v>213</v>
      </c>
      <c r="D81" s="190">
        <v>218528804.15000001</v>
      </c>
      <c r="E81" s="189" t="s">
        <v>233</v>
      </c>
      <c r="F81" s="194" t="str">
        <f>VLOOKUP(E81,'Справочник отрасли'!$A:$D,4,0)</f>
        <v>Финансовый лизинг</v>
      </c>
      <c r="G81" s="192">
        <f t="shared" si="8"/>
        <v>3.1276029540642028E-3</v>
      </c>
      <c r="H81" s="191" t="s">
        <v>88</v>
      </c>
      <c r="I81" s="193" t="e">
        <f>VLOOKUP(C81,'Справочник эшелоны акции'!$G$6:$H$30,2,0)</f>
        <v>#N/A</v>
      </c>
      <c r="J81" s="193">
        <f>VLOOKUP(A81,'Эшелоны результат'!$A$3:$H$83,8,FALSE)</f>
        <v>1</v>
      </c>
      <c r="K81" s="166" t="s">
        <v>625</v>
      </c>
      <c r="L81"/>
    </row>
    <row r="82" spans="1:12" ht="15" x14ac:dyDescent="0.25">
      <c r="A82" s="188" t="s">
        <v>170</v>
      </c>
      <c r="B82" s="189" t="s">
        <v>348</v>
      </c>
      <c r="C82" s="189" t="s">
        <v>214</v>
      </c>
      <c r="D82" s="190">
        <v>106991234.53</v>
      </c>
      <c r="E82" s="189" t="s">
        <v>234</v>
      </c>
      <c r="F82" s="194" t="str">
        <f>VLOOKUP(E82,'Справочник отрасли'!$A:$D,4,0)</f>
        <v>Цветная и черная металлургия</v>
      </c>
      <c r="G82" s="192">
        <f t="shared" si="8"/>
        <v>1.5312677085136737E-3</v>
      </c>
      <c r="H82" s="191" t="s">
        <v>88</v>
      </c>
      <c r="I82" s="193" t="e">
        <f>VLOOKUP(C82,'Справочник эшелоны акции'!$G$6:$H$30,2,0)</f>
        <v>#N/A</v>
      </c>
      <c r="J82" s="193">
        <f>VLOOKUP(A82,'Эшелоны результат'!$A$3:$H$83,8,FALSE)</f>
        <v>1</v>
      </c>
      <c r="K82" s="166" t="s">
        <v>625</v>
      </c>
      <c r="L82"/>
    </row>
    <row r="83" spans="1:12" ht="15" x14ac:dyDescent="0.25">
      <c r="A83" s="188" t="s">
        <v>171</v>
      </c>
      <c r="B83" s="189" t="s">
        <v>348</v>
      </c>
      <c r="C83" s="189" t="s">
        <v>215</v>
      </c>
      <c r="D83" s="190">
        <v>105761074.80999999</v>
      </c>
      <c r="E83" s="189" t="s">
        <v>255</v>
      </c>
      <c r="F83" s="194" t="str">
        <f>VLOOKUP(E83,'Справочник отрасли'!$A:$D,4,0)</f>
        <v>Банк</v>
      </c>
      <c r="G83" s="192">
        <f t="shared" si="8"/>
        <v>1.5136615572824525E-3</v>
      </c>
      <c r="H83" s="191" t="s">
        <v>86</v>
      </c>
      <c r="I83" s="193" t="e">
        <f>VLOOKUP(C83,'Справочник эшелоны акции'!$G$6:$H$30,2,0)</f>
        <v>#N/A</v>
      </c>
      <c r="J83" s="193">
        <f>VLOOKUP(A83,'Эшелоны результат'!$A$3:$H$83,8,FALSE)</f>
        <v>4</v>
      </c>
      <c r="K83" s="166" t="s">
        <v>625</v>
      </c>
      <c r="L83"/>
    </row>
    <row r="84" spans="1:12" ht="15" x14ac:dyDescent="0.25">
      <c r="A84" s="188" t="s">
        <v>172</v>
      </c>
      <c r="B84" s="189" t="s">
        <v>348</v>
      </c>
      <c r="C84" s="189" t="s">
        <v>216</v>
      </c>
      <c r="D84" s="190">
        <v>52418171.059999995</v>
      </c>
      <c r="E84" s="189" t="s">
        <v>245</v>
      </c>
      <c r="F84" s="194" t="str">
        <f>VLOOKUP(E84,'Справочник отрасли'!$A:$D,4,0)</f>
        <v>Банк</v>
      </c>
      <c r="G84" s="192">
        <f t="shared" si="8"/>
        <v>7.5021335192667173E-4</v>
      </c>
      <c r="H84" s="191" t="s">
        <v>88</v>
      </c>
      <c r="I84" s="193" t="e">
        <f>VLOOKUP(C84,'Справочник эшелоны акции'!$G$6:$H$30,2,0)</f>
        <v>#N/A</v>
      </c>
      <c r="J84" s="193">
        <f>VLOOKUP(A84,'Эшелоны результат'!$A$3:$H$83,8,FALSE)</f>
        <v>2</v>
      </c>
      <c r="K84" s="166" t="s">
        <v>625</v>
      </c>
      <c r="L84"/>
    </row>
    <row r="85" spans="1:12" ht="15" x14ac:dyDescent="0.25">
      <c r="A85" s="188" t="s">
        <v>173</v>
      </c>
      <c r="B85" s="189" t="s">
        <v>348</v>
      </c>
      <c r="C85" s="189" t="s">
        <v>217</v>
      </c>
      <c r="D85" s="190">
        <v>486362328.94999999</v>
      </c>
      <c r="E85" s="189" t="s">
        <v>233</v>
      </c>
      <c r="F85" s="194" t="str">
        <f>VLOOKUP(E85,'Справочник отрасли'!$A:$D,4,0)</f>
        <v>Финансовый лизинг</v>
      </c>
      <c r="G85" s="192">
        <f t="shared" si="8"/>
        <v>6.9608592912330063E-3</v>
      </c>
      <c r="H85" s="191" t="s">
        <v>88</v>
      </c>
      <c r="I85" s="193" t="e">
        <f>VLOOKUP(C85,'Справочник эшелоны акции'!$G$6:$H$30,2,0)</f>
        <v>#N/A</v>
      </c>
      <c r="J85" s="193">
        <f>VLOOKUP(A85,'Эшелоны результат'!$A$3:$H$83,8,FALSE)</f>
        <v>1</v>
      </c>
      <c r="K85" s="166" t="s">
        <v>625</v>
      </c>
      <c r="L85"/>
    </row>
    <row r="86" spans="1:12" ht="15" x14ac:dyDescent="0.25">
      <c r="A86" s="188" t="s">
        <v>515</v>
      </c>
      <c r="B86" s="189" t="s">
        <v>348</v>
      </c>
      <c r="C86" s="189" t="s">
        <v>514</v>
      </c>
      <c r="D86" s="190">
        <v>576446691.16999996</v>
      </c>
      <c r="E86" s="189" t="s">
        <v>233</v>
      </c>
      <c r="F86" s="194" t="str">
        <f>VLOOKUP(E86,'Справочник отрасли'!$A:$D,4,0)</f>
        <v>Финансовый лизинг</v>
      </c>
      <c r="G86" s="192">
        <f t="shared" si="8"/>
        <v>8.2501543957852978E-3</v>
      </c>
      <c r="H86" s="191" t="s">
        <v>88</v>
      </c>
      <c r="I86" s="193" t="e">
        <f>VLOOKUP(C86,'Справочник эшелоны акции'!$G$6:$H$30,2,0)</f>
        <v>#N/A</v>
      </c>
      <c r="J86" s="193">
        <f>VLOOKUP(A86,'Эшелоны результат'!$A$3:$H$83,8,FALSE)</f>
        <v>1</v>
      </c>
      <c r="K86" s="166" t="s">
        <v>625</v>
      </c>
      <c r="L86"/>
    </row>
    <row r="87" spans="1:12" ht="15" x14ac:dyDescent="0.25">
      <c r="A87" s="188" t="s">
        <v>174</v>
      </c>
      <c r="B87" s="189" t="s">
        <v>348</v>
      </c>
      <c r="C87" s="189" t="s">
        <v>218</v>
      </c>
      <c r="D87" s="190">
        <v>574833879.84000003</v>
      </c>
      <c r="E87" s="189" t="s">
        <v>257</v>
      </c>
      <c r="F87" s="194" t="str">
        <f>VLOOKUP(E87,'Справочник отрасли'!$A:$D,4,0)</f>
        <v>Инвестиционная деятельность</v>
      </c>
      <c r="G87" s="192">
        <f t="shared" si="8"/>
        <v>8.2270717019515202E-3</v>
      </c>
      <c r="H87" s="191" t="s">
        <v>92</v>
      </c>
      <c r="I87" s="193" t="e">
        <f>VLOOKUP(C87,'Справочник эшелоны акции'!$G$6:$H$30,2,0)</f>
        <v>#N/A</v>
      </c>
      <c r="J87" s="193">
        <f>VLOOKUP(A87,'Эшелоны результат'!$A$3:$H$83,8,FALSE)</f>
        <v>2</v>
      </c>
      <c r="K87" s="166" t="s">
        <v>625</v>
      </c>
      <c r="L87"/>
    </row>
    <row r="88" spans="1:12" ht="15" x14ac:dyDescent="0.25">
      <c r="A88" s="188" t="s">
        <v>175</v>
      </c>
      <c r="B88" s="189" t="s">
        <v>348</v>
      </c>
      <c r="C88" s="189" t="s">
        <v>110</v>
      </c>
      <c r="D88" s="190">
        <v>44305378.879999995</v>
      </c>
      <c r="E88" s="189" t="s">
        <v>6</v>
      </c>
      <c r="F88" s="194" t="str">
        <f>VLOOKUP(E88,'Справочник отрасли'!$A:$D,4,0)</f>
        <v>Финансовый лизинг</v>
      </c>
      <c r="G88" s="192">
        <f t="shared" si="8"/>
        <v>6.3410237567998755E-4</v>
      </c>
      <c r="H88" s="191" t="s">
        <v>94</v>
      </c>
      <c r="I88" s="193" t="e">
        <f>VLOOKUP(C88,'Справочник эшелоны акции'!$G$6:$H$30,2,0)</f>
        <v>#N/A</v>
      </c>
      <c r="J88" s="193">
        <f>VLOOKUP(A88,'Эшелоны результат'!$A$3:$H$83,8,FALSE)</f>
        <v>2</v>
      </c>
      <c r="K88" s="166" t="s">
        <v>625</v>
      </c>
      <c r="L88"/>
    </row>
    <row r="89" spans="1:12" ht="15" x14ac:dyDescent="0.25">
      <c r="A89" s="188" t="s">
        <v>176</v>
      </c>
      <c r="B89" s="189" t="s">
        <v>348</v>
      </c>
      <c r="C89" s="189" t="s">
        <v>219</v>
      </c>
      <c r="D89" s="190">
        <v>603123445.32000005</v>
      </c>
      <c r="E89" s="189" t="s">
        <v>233</v>
      </c>
      <c r="F89" s="194" t="str">
        <f>VLOOKUP(E89,'Справочник отрасли'!$A:$D,4,0)</f>
        <v>Финансовый лизинг</v>
      </c>
      <c r="G89" s="192">
        <f t="shared" ref="G89:G116" si="9">D89/$B$17</f>
        <v>8.6319543850769363E-3</v>
      </c>
      <c r="H89" s="191" t="s">
        <v>88</v>
      </c>
      <c r="I89" s="193" t="e">
        <f>VLOOKUP(C89,'Справочник эшелоны акции'!$G$6:$H$30,2,0)</f>
        <v>#N/A</v>
      </c>
      <c r="J89" s="193">
        <f>VLOOKUP(A89,'Эшелоны результат'!$A$3:$H$83,8,FALSE)</f>
        <v>1</v>
      </c>
      <c r="K89" s="166" t="s">
        <v>625</v>
      </c>
      <c r="L89"/>
    </row>
    <row r="90" spans="1:12" ht="15" x14ac:dyDescent="0.25">
      <c r="A90" s="188" t="s">
        <v>177</v>
      </c>
      <c r="B90" s="189" t="s">
        <v>348</v>
      </c>
      <c r="C90" s="189" t="s">
        <v>111</v>
      </c>
      <c r="D90" s="190">
        <v>944357835.61000001</v>
      </c>
      <c r="E90" s="189" t="s">
        <v>7</v>
      </c>
      <c r="F90" s="194" t="str">
        <f>VLOOKUP(E90,'Справочник отрасли'!$A:$D,4,0)</f>
        <v>Строительство жилых зданий</v>
      </c>
      <c r="G90" s="192">
        <f t="shared" si="9"/>
        <v>1.3515730193261631E-2</v>
      </c>
      <c r="H90" s="191" t="s">
        <v>92</v>
      </c>
      <c r="I90" s="193" t="e">
        <f>VLOOKUP(C90,'Справочник эшелоны акции'!$G$6:$H$30,2,0)</f>
        <v>#N/A</v>
      </c>
      <c r="J90" s="193">
        <f>VLOOKUP(A90,'Эшелоны результат'!$A$3:$H$83,8,FALSE)</f>
        <v>2</v>
      </c>
      <c r="K90" s="166" t="s">
        <v>625</v>
      </c>
      <c r="L90"/>
    </row>
    <row r="91" spans="1:12" ht="15" x14ac:dyDescent="0.25">
      <c r="A91" s="188" t="s">
        <v>178</v>
      </c>
      <c r="B91" s="189" t="s">
        <v>348</v>
      </c>
      <c r="C91" s="189" t="s">
        <v>220</v>
      </c>
      <c r="D91" s="190">
        <v>145307970.41</v>
      </c>
      <c r="E91" s="189" t="s">
        <v>257</v>
      </c>
      <c r="F91" s="194" t="str">
        <f>VLOOKUP(E91,'Справочник отрасли'!$A:$D,4,0)</f>
        <v>Инвестиционная деятельность</v>
      </c>
      <c r="G91" s="192">
        <f t="shared" si="9"/>
        <v>2.0796601128675041E-3</v>
      </c>
      <c r="H91" s="191" t="s">
        <v>92</v>
      </c>
      <c r="I91" s="193" t="e">
        <f>VLOOKUP(C91,'Справочник эшелоны акции'!$G$6:$H$30,2,0)</f>
        <v>#N/A</v>
      </c>
      <c r="J91" s="193">
        <f>VLOOKUP(A91,'Эшелоны результат'!$A$3:$H$83,8,FALSE)</f>
        <v>2</v>
      </c>
      <c r="K91" s="166" t="s">
        <v>625</v>
      </c>
      <c r="L91"/>
    </row>
    <row r="92" spans="1:12" ht="15" x14ac:dyDescent="0.25">
      <c r="A92" s="188" t="s">
        <v>179</v>
      </c>
      <c r="B92" s="189" t="s">
        <v>348</v>
      </c>
      <c r="C92" s="189" t="s">
        <v>221</v>
      </c>
      <c r="D92" s="190">
        <v>374656350.82999998</v>
      </c>
      <c r="E92" s="189" t="s">
        <v>233</v>
      </c>
      <c r="F92" s="194" t="str">
        <f>VLOOKUP(E92,'Справочник отрасли'!$A:$D,4,0)</f>
        <v>Финансовый лизинг</v>
      </c>
      <c r="G92" s="192">
        <f t="shared" si="9"/>
        <v>5.3621137688123948E-3</v>
      </c>
      <c r="H92" s="191" t="s">
        <v>88</v>
      </c>
      <c r="I92" s="193" t="e">
        <f>VLOOKUP(C92,'Справочник эшелоны акции'!$G$6:$H$30,2,0)</f>
        <v>#N/A</v>
      </c>
      <c r="J92" s="193">
        <f>VLOOKUP(A92,'Эшелоны результат'!$A$3:$H$83,8,FALSE)</f>
        <v>1</v>
      </c>
      <c r="K92" s="166" t="s">
        <v>625</v>
      </c>
      <c r="L92"/>
    </row>
    <row r="93" spans="1:12" ht="15" x14ac:dyDescent="0.25">
      <c r="A93" s="188" t="s">
        <v>180</v>
      </c>
      <c r="B93" s="189" t="s">
        <v>348</v>
      </c>
      <c r="C93" s="189" t="s">
        <v>222</v>
      </c>
      <c r="D93" s="190">
        <v>1552493431.3699999</v>
      </c>
      <c r="E93" s="189" t="s">
        <v>258</v>
      </c>
      <c r="F93" s="194" t="str">
        <f>VLOOKUP(E93,'Справочник отрасли'!$A:$D,4,0)</f>
        <v>Банк</v>
      </c>
      <c r="G93" s="192">
        <f t="shared" si="9"/>
        <v>2.2219418904544819E-2</v>
      </c>
      <c r="H93" s="191" t="s">
        <v>88</v>
      </c>
      <c r="I93" s="193" t="e">
        <f>VLOOKUP(C93,'Справочник эшелоны акции'!$G$6:$H$30,2,0)</f>
        <v>#N/A</v>
      </c>
      <c r="J93" s="193">
        <f>VLOOKUP(A93,'Эшелоны результат'!$A$3:$H$83,8,FALSE)</f>
        <v>1</v>
      </c>
      <c r="K93" s="166" t="s">
        <v>625</v>
      </c>
      <c r="L93"/>
    </row>
    <row r="94" spans="1:12" ht="15" x14ac:dyDescent="0.25">
      <c r="A94" s="188" t="s">
        <v>181</v>
      </c>
      <c r="B94" s="189" t="s">
        <v>348</v>
      </c>
      <c r="C94" s="189" t="s">
        <v>223</v>
      </c>
      <c r="D94" s="190">
        <v>1290637455.72</v>
      </c>
      <c r="E94" s="189" t="s">
        <v>259</v>
      </c>
      <c r="F94" s="194" t="str">
        <f>VLOOKUP(E94,'Справочник отрасли'!$A:$D,4,0)</f>
        <v>Инвестиционная деятельность</v>
      </c>
      <c r="G94" s="192">
        <f t="shared" si="9"/>
        <v>1.8471713762571187E-2</v>
      </c>
      <c r="H94" s="191" t="s">
        <v>84</v>
      </c>
      <c r="I94" s="193" t="e">
        <f>VLOOKUP(C94,'Справочник эшелоны акции'!$G$6:$H$30,2,0)</f>
        <v>#N/A</v>
      </c>
      <c r="J94" s="193">
        <f>VLOOKUP(A94,'Эшелоны результат'!$A$3:$H$83,8,FALSE)</f>
        <v>3</v>
      </c>
      <c r="K94" s="166" t="s">
        <v>625</v>
      </c>
      <c r="L94"/>
    </row>
    <row r="95" spans="1:12" ht="15" x14ac:dyDescent="0.25">
      <c r="A95" s="188" t="s">
        <v>182</v>
      </c>
      <c r="B95" s="189" t="s">
        <v>348</v>
      </c>
      <c r="C95" s="189" t="s">
        <v>224</v>
      </c>
      <c r="D95" s="190">
        <v>1035960911.6900001</v>
      </c>
      <c r="E95" s="189" t="s">
        <v>245</v>
      </c>
      <c r="F95" s="194" t="str">
        <f>VLOOKUP(E95,'Справочник отрасли'!$A:$D,4,0)</f>
        <v>Банк</v>
      </c>
      <c r="G95" s="192">
        <f t="shared" si="9"/>
        <v>1.4826761260601026E-2</v>
      </c>
      <c r="H95" s="191" t="s">
        <v>88</v>
      </c>
      <c r="I95" s="193" t="e">
        <f>VLOOKUP(C95,'Справочник эшелоны акции'!$G$6:$H$30,2,0)</f>
        <v>#N/A</v>
      </c>
      <c r="J95" s="193">
        <f>VLOOKUP(A95,'Эшелоны результат'!$A$3:$H$83,8,FALSE)</f>
        <v>1</v>
      </c>
      <c r="K95" s="166" t="s">
        <v>625</v>
      </c>
      <c r="L95"/>
    </row>
    <row r="96" spans="1:12" ht="15" x14ac:dyDescent="0.25">
      <c r="A96" s="188" t="s">
        <v>183</v>
      </c>
      <c r="B96" s="189" t="s">
        <v>348</v>
      </c>
      <c r="C96" s="189" t="s">
        <v>225</v>
      </c>
      <c r="D96" s="190">
        <v>507515773.16000003</v>
      </c>
      <c r="E96" s="189" t="s">
        <v>260</v>
      </c>
      <c r="F96" s="194" t="str">
        <f>VLOOKUP(E96,'Справочник отрасли'!$A:$D,4,0)</f>
        <v>Банк</v>
      </c>
      <c r="G96" s="192">
        <f t="shared" si="9"/>
        <v>7.2636091957921133E-3</v>
      </c>
      <c r="H96" s="191" t="s">
        <v>86</v>
      </c>
      <c r="I96" s="193" t="e">
        <f>VLOOKUP(C96,'Справочник эшелоны акции'!$G$6:$H$30,2,0)</f>
        <v>#N/A</v>
      </c>
      <c r="J96" s="193">
        <f>VLOOKUP(A96,'Эшелоны результат'!$A$3:$H$83,8,FALSE)</f>
        <v>2</v>
      </c>
      <c r="K96" s="166" t="s">
        <v>625</v>
      </c>
      <c r="L96"/>
    </row>
    <row r="97" spans="1:12" ht="15" x14ac:dyDescent="0.25">
      <c r="A97" s="188" t="s">
        <v>517</v>
      </c>
      <c r="B97" s="189" t="s">
        <v>348</v>
      </c>
      <c r="C97" s="189" t="s">
        <v>516</v>
      </c>
      <c r="D97" s="190">
        <v>2116087792.79</v>
      </c>
      <c r="E97" s="189" t="s">
        <v>259</v>
      </c>
      <c r="F97" s="194" t="str">
        <f>VLOOKUP(E97,'Справочник отрасли'!$A:$D,4,0)</f>
        <v>Инвестиционная деятельность</v>
      </c>
      <c r="G97" s="192">
        <f t="shared" si="9"/>
        <v>3.028562965661203E-2</v>
      </c>
      <c r="H97" s="191" t="s">
        <v>84</v>
      </c>
      <c r="I97" s="193" t="e">
        <f>VLOOKUP(C97,'Справочник эшелоны акции'!$G$6:$H$30,2,0)</f>
        <v>#N/A</v>
      </c>
      <c r="J97" s="193">
        <f>VLOOKUP(A97,'Эшелоны результат'!$A$3:$H$83,8,FALSE)</f>
        <v>2</v>
      </c>
      <c r="K97" s="166" t="s">
        <v>625</v>
      </c>
      <c r="L97"/>
    </row>
    <row r="98" spans="1:12" ht="15" x14ac:dyDescent="0.25">
      <c r="A98" s="188" t="s">
        <v>184</v>
      </c>
      <c r="B98" s="189" t="s">
        <v>348</v>
      </c>
      <c r="C98" s="189" t="s">
        <v>226</v>
      </c>
      <c r="D98" s="190">
        <v>2131274940.4000001</v>
      </c>
      <c r="E98" s="189" t="s">
        <v>261</v>
      </c>
      <c r="F98" s="194" t="str">
        <f>VLOOKUP(E98,'Справочник отрасли'!$A:$D,4,0)</f>
        <v>Инвестиционная деятельность</v>
      </c>
      <c r="G98" s="192">
        <f t="shared" si="9"/>
        <v>3.050298941343494E-2</v>
      </c>
      <c r="H98" s="191" t="s">
        <v>88</v>
      </c>
      <c r="I98" s="193" t="e">
        <f>VLOOKUP(C98,'Справочник эшелоны акции'!$G$6:$H$30,2,0)</f>
        <v>#N/A</v>
      </c>
      <c r="J98" s="193">
        <f>VLOOKUP(A98,'Эшелоны результат'!$A$3:$H$83,8,FALSE)</f>
        <v>1</v>
      </c>
      <c r="K98" s="166" t="s">
        <v>625</v>
      </c>
      <c r="L98"/>
    </row>
    <row r="99" spans="1:12" ht="15" x14ac:dyDescent="0.25">
      <c r="A99" s="188" t="s">
        <v>519</v>
      </c>
      <c r="B99" s="189" t="s">
        <v>348</v>
      </c>
      <c r="C99" s="189" t="s">
        <v>518</v>
      </c>
      <c r="D99" s="190">
        <v>631699861.67999995</v>
      </c>
      <c r="E99" s="189" t="s">
        <v>526</v>
      </c>
      <c r="F99" s="194" t="str">
        <f>VLOOKUP(E99,'Справочник отрасли'!$A:$D,4,0)</f>
        <v>Лесная и лесоперерабатывающая промышленность</v>
      </c>
      <c r="G99" s="192">
        <f t="shared" si="9"/>
        <v>9.0409425025552905E-3</v>
      </c>
      <c r="H99" s="191" t="s">
        <v>92</v>
      </c>
      <c r="I99" s="193" t="e">
        <f>VLOOKUP(C99,'Справочник эшелоны акции'!$G$6:$H$30,2,0)</f>
        <v>#N/A</v>
      </c>
      <c r="J99" s="193">
        <f>VLOOKUP(A99,'Эшелоны результат'!$A$3:$H$83,8,FALSE)</f>
        <v>2</v>
      </c>
      <c r="K99" s="166" t="s">
        <v>625</v>
      </c>
      <c r="L99"/>
    </row>
    <row r="100" spans="1:12" ht="15" x14ac:dyDescent="0.25">
      <c r="A100" s="188" t="s">
        <v>185</v>
      </c>
      <c r="B100" s="189" t="s">
        <v>348</v>
      </c>
      <c r="C100" s="189" t="s">
        <v>227</v>
      </c>
      <c r="D100" s="190">
        <v>1418357106.03</v>
      </c>
      <c r="E100" s="189" t="s">
        <v>248</v>
      </c>
      <c r="F100" s="194" t="str">
        <f>VLOOKUP(E100,'Справочник отрасли'!$A:$D,4,0)</f>
        <v>Транспорт</v>
      </c>
      <c r="G100" s="192">
        <f t="shared" si="9"/>
        <v>2.0299648332365531E-2</v>
      </c>
      <c r="H100" s="191" t="s">
        <v>84</v>
      </c>
      <c r="I100" s="193" t="e">
        <f>VLOOKUP(C100,'Справочник эшелоны акции'!$G$6:$H$30,2,0)</f>
        <v>#N/A</v>
      </c>
      <c r="J100" s="193">
        <f>VLOOKUP(A100,'Эшелоны результат'!$A$3:$H$83,8,FALSE)</f>
        <v>1</v>
      </c>
      <c r="K100" s="166" t="s">
        <v>625</v>
      </c>
      <c r="L100"/>
    </row>
    <row r="101" spans="1:12" ht="15" x14ac:dyDescent="0.25">
      <c r="A101" s="188" t="s">
        <v>521</v>
      </c>
      <c r="B101" s="189" t="s">
        <v>348</v>
      </c>
      <c r="C101" s="189" t="s">
        <v>520</v>
      </c>
      <c r="D101" s="190">
        <v>1505186655.5699999</v>
      </c>
      <c r="E101" s="189" t="s">
        <v>315</v>
      </c>
      <c r="F101" s="194" t="str">
        <f>VLOOKUP(E101,'Справочник отрасли'!$A:$D,4,0)</f>
        <v>Инвестиционная деятельность</v>
      </c>
      <c r="G101" s="192">
        <f t="shared" si="9"/>
        <v>2.154236027918496E-2</v>
      </c>
      <c r="H101" s="191" t="s">
        <v>84</v>
      </c>
      <c r="I101" s="193" t="e">
        <f>VLOOKUP(C101,'Справочник эшелоны акции'!$G$6:$H$30,2,0)</f>
        <v>#N/A</v>
      </c>
      <c r="J101" s="193">
        <f>VLOOKUP(A101,'Эшелоны результат'!$A$3:$H$83,8,FALSE)</f>
        <v>1</v>
      </c>
      <c r="K101" s="166" t="s">
        <v>625</v>
      </c>
      <c r="L101"/>
    </row>
    <row r="102" spans="1:12" ht="15" x14ac:dyDescent="0.25">
      <c r="A102" s="188" t="s">
        <v>186</v>
      </c>
      <c r="B102" s="189" t="s">
        <v>348</v>
      </c>
      <c r="C102" s="189" t="s">
        <v>228</v>
      </c>
      <c r="D102" s="190">
        <v>312342077.92000002</v>
      </c>
      <c r="E102" s="189" t="s">
        <v>246</v>
      </c>
      <c r="F102" s="194" t="str">
        <f>VLOOKUP(E102,'Справочник отрасли'!$A:$D,4,0)</f>
        <v>Банк</v>
      </c>
      <c r="G102" s="192">
        <f t="shared" si="9"/>
        <v>4.470266559966179E-3</v>
      </c>
      <c r="H102" s="191" t="s">
        <v>88</v>
      </c>
      <c r="I102" s="193" t="e">
        <f>VLOOKUP(C102,'Справочник эшелоны акции'!$G$6:$H$30,2,0)</f>
        <v>#N/A</v>
      </c>
      <c r="J102" s="193">
        <f>VLOOKUP(A102,'Эшелоны результат'!$A$3:$H$83,8,FALSE)</f>
        <v>1</v>
      </c>
      <c r="K102" s="166" t="s">
        <v>625</v>
      </c>
      <c r="L102"/>
    </row>
    <row r="103" spans="1:12" ht="15" x14ac:dyDescent="0.25">
      <c r="A103" s="188" t="s">
        <v>187</v>
      </c>
      <c r="B103" s="189" t="s">
        <v>348</v>
      </c>
      <c r="C103" s="189" t="s">
        <v>229</v>
      </c>
      <c r="D103" s="190">
        <v>1310582000</v>
      </c>
      <c r="E103" s="189" t="s">
        <v>256</v>
      </c>
      <c r="F103" s="194" t="str">
        <f>VLOOKUP(E103,'Справочник отрасли'!$A:$D,4,0)</f>
        <v>Банк</v>
      </c>
      <c r="G103" s="192">
        <f t="shared" si="9"/>
        <v>1.8757161787833682E-2</v>
      </c>
      <c r="H103" s="191" t="s">
        <v>80</v>
      </c>
      <c r="I103" s="193" t="e">
        <f>VLOOKUP(C103,'Справочник эшелоны акции'!$G$6:$H$30,2,0)</f>
        <v>#N/A</v>
      </c>
      <c r="J103" s="193">
        <f>VLOOKUP(A103,'Эшелоны результат'!$A$3:$H$83,8,FALSE)</f>
        <v>3</v>
      </c>
      <c r="K103" s="166" t="s">
        <v>625</v>
      </c>
      <c r="L103"/>
    </row>
    <row r="104" spans="1:12" ht="15" x14ac:dyDescent="0.25">
      <c r="A104" s="188" t="s">
        <v>523</v>
      </c>
      <c r="B104" s="189" t="s">
        <v>348</v>
      </c>
      <c r="C104" s="189" t="s">
        <v>522</v>
      </c>
      <c r="D104" s="190">
        <v>638809638.87</v>
      </c>
      <c r="E104" s="189" t="s">
        <v>239</v>
      </c>
      <c r="F104" s="194" t="str">
        <f>VLOOKUP(E104,'Справочник отрасли'!$A:$D,4,0)</f>
        <v>Цветная и черная металлургия</v>
      </c>
      <c r="G104" s="192">
        <f t="shared" si="9"/>
        <v>9.1426982423932247E-3</v>
      </c>
      <c r="H104" s="191" t="s">
        <v>94</v>
      </c>
      <c r="I104" s="193" t="e">
        <f>VLOOKUP(C104,'Справочник эшелоны акции'!$G$6:$H$30,2,0)</f>
        <v>#N/A</v>
      </c>
      <c r="J104" s="193">
        <f>VLOOKUP(A104,'Эшелоны результат'!$A$3:$H$83,8,FALSE)</f>
        <v>2</v>
      </c>
      <c r="K104" s="166" t="s">
        <v>625</v>
      </c>
      <c r="L104"/>
    </row>
    <row r="105" spans="1:12" ht="15" x14ac:dyDescent="0.25">
      <c r="A105" s="188" t="s">
        <v>188</v>
      </c>
      <c r="B105" s="189" t="s">
        <v>348</v>
      </c>
      <c r="C105" s="189" t="s">
        <v>230</v>
      </c>
      <c r="D105" s="190">
        <v>211566980.66</v>
      </c>
      <c r="E105" s="189" t="s">
        <v>262</v>
      </c>
      <c r="F105" s="194" t="str">
        <f>VLOOKUP(E105,'Справочник отрасли'!$A:$D,4,0)</f>
        <v>Финансовый лизинг</v>
      </c>
      <c r="G105" s="192">
        <f t="shared" si="9"/>
        <v>3.0279647402475388E-3</v>
      </c>
      <c r="H105" s="191" t="s">
        <v>88</v>
      </c>
      <c r="I105" s="193" t="e">
        <f>VLOOKUP(C105,'Справочник эшелоны акции'!$G$6:$H$30,2,0)</f>
        <v>#N/A</v>
      </c>
      <c r="J105" s="193">
        <f>VLOOKUP(A105,'Эшелоны результат'!$A$3:$H$83,8,FALSE)</f>
        <v>1</v>
      </c>
      <c r="K105" s="166" t="s">
        <v>625</v>
      </c>
      <c r="L105"/>
    </row>
    <row r="106" spans="1:12" ht="15" x14ac:dyDescent="0.25">
      <c r="A106" s="188" t="s">
        <v>189</v>
      </c>
      <c r="B106" s="189" t="s">
        <v>348</v>
      </c>
      <c r="C106" s="189" t="s">
        <v>231</v>
      </c>
      <c r="D106" s="190">
        <v>1063739009.09</v>
      </c>
      <c r="E106" s="189" t="s">
        <v>263</v>
      </c>
      <c r="F106" s="194" t="str">
        <f>VLOOKUP(E106,'Справочник отрасли'!$A:$D,4,0)</f>
        <v>Электроэнергетика и теплоэнергетика</v>
      </c>
      <c r="G106" s="192">
        <f t="shared" si="9"/>
        <v>1.5224323768776783E-2</v>
      </c>
      <c r="H106" s="191" t="s">
        <v>86</v>
      </c>
      <c r="I106" s="193" t="e">
        <f>VLOOKUP(C106,'Справочник эшелоны акции'!$G$6:$H$30,2,0)</f>
        <v>#N/A</v>
      </c>
      <c r="J106" s="193">
        <f>VLOOKUP(A106,'Эшелоны результат'!$A$3:$H$83,8,FALSE)</f>
        <v>1</v>
      </c>
      <c r="K106" s="166" t="s">
        <v>625</v>
      </c>
      <c r="L106"/>
    </row>
    <row r="107" spans="1:12" ht="15" x14ac:dyDescent="0.25">
      <c r="A107" s="188" t="s">
        <v>363</v>
      </c>
      <c r="B107" s="189" t="s">
        <v>348</v>
      </c>
      <c r="C107" s="189" t="s">
        <v>358</v>
      </c>
      <c r="D107" s="190">
        <v>214416308.63</v>
      </c>
      <c r="E107" s="189" t="s">
        <v>367</v>
      </c>
      <c r="F107" s="194" t="str">
        <f>VLOOKUP(E107,'Справочник отрасли'!$A:$D,4,0)</f>
        <v>Цветная и черная металлургия</v>
      </c>
      <c r="G107" s="192">
        <f t="shared" si="9"/>
        <v>3.0687445660958182E-3</v>
      </c>
      <c r="H107" s="191" t="s">
        <v>88</v>
      </c>
      <c r="I107" s="193" t="e">
        <f>VLOOKUP(C107,'Справочник эшелоны акции'!$G$6:$H$30,2,0)</f>
        <v>#N/A</v>
      </c>
      <c r="J107" s="193">
        <f>VLOOKUP(A107,'Эшелоны результат'!$A$3:$H$83,8,FALSE)</f>
        <v>2</v>
      </c>
      <c r="K107" s="166" t="s">
        <v>625</v>
      </c>
      <c r="L107"/>
    </row>
    <row r="108" spans="1:12" ht="15" x14ac:dyDescent="0.25">
      <c r="A108" s="188" t="s">
        <v>525</v>
      </c>
      <c r="B108" s="189" t="s">
        <v>348</v>
      </c>
      <c r="C108" s="189" t="s">
        <v>524</v>
      </c>
      <c r="D108" s="190">
        <v>321294635.19999999</v>
      </c>
      <c r="E108" s="189" t="s">
        <v>367</v>
      </c>
      <c r="F108" s="194" t="str">
        <f>VLOOKUP(E108,'Справочник отрасли'!$A:$D,4,0)</f>
        <v>Цветная и черная металлургия</v>
      </c>
      <c r="G108" s="192">
        <f t="shared" si="9"/>
        <v>4.5983963262194987E-3</v>
      </c>
      <c r="H108" s="191" t="s">
        <v>88</v>
      </c>
      <c r="I108" s="193" t="e">
        <f>VLOOKUP(C108,'Справочник эшелоны акции'!$G$6:$H$30,2,0)</f>
        <v>#N/A</v>
      </c>
      <c r="J108" s="193">
        <f>VLOOKUP(A108,'Эшелоны результат'!$A$3:$H$83,8,FALSE)</f>
        <v>1</v>
      </c>
      <c r="K108" s="166" t="s">
        <v>625</v>
      </c>
      <c r="L108"/>
    </row>
    <row r="109" spans="1:12" ht="15" hidden="1" x14ac:dyDescent="0.25">
      <c r="A109" s="188" t="s">
        <v>497</v>
      </c>
      <c r="B109" s="189" t="s">
        <v>350</v>
      </c>
      <c r="C109" s="189" t="s">
        <v>351</v>
      </c>
      <c r="D109" s="190">
        <v>113315013.59999999</v>
      </c>
      <c r="E109" s="189" t="s">
        <v>264</v>
      </c>
      <c r="F109" s="194" t="str">
        <f>VLOOKUP(E109,'Справочник отрасли'!$A:$D,4,0)</f>
        <v>ОФЗ</v>
      </c>
      <c r="G109" s="192">
        <f t="shared" si="9"/>
        <v>1.6217741759659251E-3</v>
      </c>
      <c r="H109" s="191" t="s">
        <v>86</v>
      </c>
      <c r="I109" s="193" t="e">
        <f>VLOOKUP(C109,'Справочник эшелоны акции'!$G$6:$H$30,2,0)</f>
        <v>#N/A</v>
      </c>
      <c r="J109" s="193">
        <f>VLOOKUP(A109,'Эшелоны результат'!$A$3:$H$83,8,FALSE)</f>
        <v>1</v>
      </c>
      <c r="K109" s="166" t="s">
        <v>624</v>
      </c>
      <c r="L109"/>
    </row>
    <row r="110" spans="1:12" ht="15" hidden="1" x14ac:dyDescent="0.25">
      <c r="A110" s="188" t="s">
        <v>498</v>
      </c>
      <c r="B110" s="189" t="s">
        <v>350</v>
      </c>
      <c r="C110" s="189" t="s">
        <v>352</v>
      </c>
      <c r="D110" s="190">
        <v>443892000</v>
      </c>
      <c r="E110" s="189" t="s">
        <v>264</v>
      </c>
      <c r="F110" s="194" t="str">
        <f>VLOOKUP(E110,'Справочник отрасли'!$A:$D,4,0)</f>
        <v>ОФЗ</v>
      </c>
      <c r="G110" s="192">
        <f t="shared" si="9"/>
        <v>6.3530203072566759E-3</v>
      </c>
      <c r="H110" s="191" t="s">
        <v>86</v>
      </c>
      <c r="I110" s="193" t="e">
        <f>VLOOKUP(C110,'Справочник эшелоны акции'!$G$6:$H$30,2,0)</f>
        <v>#N/A</v>
      </c>
      <c r="J110" s="193">
        <f>VLOOKUP(A110,'Эшелоны результат'!$A$3:$H$83,8,FALSE)</f>
        <v>1</v>
      </c>
      <c r="K110" s="166" t="s">
        <v>624</v>
      </c>
      <c r="L110"/>
    </row>
    <row r="111" spans="1:12" ht="15" hidden="1" x14ac:dyDescent="0.25">
      <c r="A111" s="188" t="s">
        <v>499</v>
      </c>
      <c r="B111" s="189" t="s">
        <v>350</v>
      </c>
      <c r="C111" s="189" t="s">
        <v>353</v>
      </c>
      <c r="D111" s="190">
        <v>4995370000</v>
      </c>
      <c r="E111" s="189" t="s">
        <v>264</v>
      </c>
      <c r="F111" s="194" t="str">
        <f>VLOOKUP(E111,'Справочник отрасли'!$A:$D,4,0)</f>
        <v>ОФЗ</v>
      </c>
      <c r="G111" s="192">
        <f t="shared" si="9"/>
        <v>7.149416311233539E-2</v>
      </c>
      <c r="H111" s="191" t="s">
        <v>86</v>
      </c>
      <c r="I111" s="193" t="e">
        <f>VLOOKUP(C111,'Справочник эшелоны акции'!$G$6:$H$30,2,0)</f>
        <v>#N/A</v>
      </c>
      <c r="J111" s="193">
        <f>VLOOKUP(A111,'Эшелоны результат'!$A$3:$H$83,8,FALSE)</f>
        <v>1</v>
      </c>
      <c r="K111" s="166" t="s">
        <v>624</v>
      </c>
      <c r="L111"/>
    </row>
    <row r="112" spans="1:12" ht="15" hidden="1" x14ac:dyDescent="0.25">
      <c r="A112" s="188" t="s">
        <v>500</v>
      </c>
      <c r="B112" s="189" t="s">
        <v>350</v>
      </c>
      <c r="C112" s="189" t="s">
        <v>354</v>
      </c>
      <c r="D112" s="190">
        <v>2582025000</v>
      </c>
      <c r="E112" s="189" t="s">
        <v>264</v>
      </c>
      <c r="F112" s="194" t="str">
        <f>VLOOKUP(E112,'Справочник отрасли'!$A:$D,4,0)</f>
        <v>ОФЗ</v>
      </c>
      <c r="G112" s="192">
        <f t="shared" si="9"/>
        <v>3.6954162856830987E-2</v>
      </c>
      <c r="H112" s="191" t="s">
        <v>86</v>
      </c>
      <c r="I112" s="193" t="e">
        <f>VLOOKUP(C112,'Справочник эшелоны акции'!$G$6:$H$30,2,0)</f>
        <v>#N/A</v>
      </c>
      <c r="J112" s="193">
        <f>VLOOKUP(A112,'Эшелоны результат'!$A$3:$H$83,8,FALSE)</f>
        <v>1</v>
      </c>
      <c r="K112" s="166" t="s">
        <v>624</v>
      </c>
      <c r="L112"/>
    </row>
    <row r="113" spans="1:12" ht="15" hidden="1" x14ac:dyDescent="0.25">
      <c r="A113" s="188" t="s">
        <v>501</v>
      </c>
      <c r="B113" s="189" t="s">
        <v>350</v>
      </c>
      <c r="C113" s="189" t="s">
        <v>374</v>
      </c>
      <c r="D113" s="190">
        <v>1871231840.6399999</v>
      </c>
      <c r="E113" s="189" t="s">
        <v>264</v>
      </c>
      <c r="F113" s="194" t="str">
        <f>VLOOKUP(E113,'Справочник отрасли'!$A:$D,4,0)</f>
        <v>ОФЗ</v>
      </c>
      <c r="G113" s="192">
        <f t="shared" si="9"/>
        <v>2.6781230306406081E-2</v>
      </c>
      <c r="H113" s="191" t="s">
        <v>86</v>
      </c>
      <c r="I113" s="193" t="e">
        <f>VLOOKUP(C113,'Справочник эшелоны акции'!$G$6:$H$30,2,0)</f>
        <v>#N/A</v>
      </c>
      <c r="J113" s="193">
        <f>VLOOKUP(A113,'Эшелоны результат'!$A$3:$H$83,8,FALSE)</f>
        <v>1</v>
      </c>
      <c r="K113" s="166" t="s">
        <v>624</v>
      </c>
      <c r="L113"/>
    </row>
    <row r="114" spans="1:12" ht="15" hidden="1" x14ac:dyDescent="0.25">
      <c r="A114" s="188" t="s">
        <v>502</v>
      </c>
      <c r="B114" s="189" t="s">
        <v>350</v>
      </c>
      <c r="C114" s="189" t="s">
        <v>375</v>
      </c>
      <c r="D114" s="190">
        <v>1354102300</v>
      </c>
      <c r="E114" s="189" t="s">
        <v>264</v>
      </c>
      <c r="F114" s="194" t="str">
        <f>VLOOKUP(E114,'Справочник отрасли'!$A:$D,4,0)</f>
        <v>ОФЗ</v>
      </c>
      <c r="G114" s="192">
        <f t="shared" si="9"/>
        <v>1.9380028047369567E-2</v>
      </c>
      <c r="H114" s="191" t="s">
        <v>86</v>
      </c>
      <c r="I114" s="193" t="e">
        <f>VLOOKUP(C114,'Справочник эшелоны акции'!$G$6:$H$30,2,0)</f>
        <v>#N/A</v>
      </c>
      <c r="J114" s="193">
        <f>VLOOKUP(A114,'Эшелоны результат'!$A$3:$H$83,8,FALSE)</f>
        <v>1</v>
      </c>
      <c r="K114" s="166" t="s">
        <v>624</v>
      </c>
      <c r="L114"/>
    </row>
    <row r="115" spans="1:12" ht="15" x14ac:dyDescent="0.25">
      <c r="A115" s="188" t="s">
        <v>490</v>
      </c>
      <c r="B115" s="189" t="s">
        <v>350</v>
      </c>
      <c r="C115" s="189" t="s">
        <v>359</v>
      </c>
      <c r="D115" s="190">
        <v>781580126.70000005</v>
      </c>
      <c r="E115" s="189" t="s">
        <v>264</v>
      </c>
      <c r="F115" s="194" t="str">
        <f>VLOOKUP(E115,'Справочник отрасли'!$A:$D,4,0)</f>
        <v>ОФЗ</v>
      </c>
      <c r="G115" s="192">
        <f t="shared" si="9"/>
        <v>1.1186041687332383E-2</v>
      </c>
      <c r="H115" s="191" t="s">
        <v>86</v>
      </c>
      <c r="I115" s="193" t="e">
        <f>VLOOKUP(C115,'Справочник эшелоны акции'!$G$6:$H$30,2,0)</f>
        <v>#N/A</v>
      </c>
      <c r="J115" s="193">
        <f>VLOOKUP(A115,'Эшелоны результат'!$A$3:$H$83,8,FALSE)</f>
        <v>1</v>
      </c>
      <c r="K115" s="166" t="s">
        <v>625</v>
      </c>
      <c r="L115"/>
    </row>
    <row r="116" spans="1:12" ht="15" hidden="1" x14ac:dyDescent="0.25">
      <c r="A116" s="188" t="s">
        <v>503</v>
      </c>
      <c r="B116" s="189" t="s">
        <v>355</v>
      </c>
      <c r="C116" s="189" t="s">
        <v>356</v>
      </c>
      <c r="D116" s="190">
        <f>7143000-2381000</f>
        <v>4762000</v>
      </c>
      <c r="E116" s="189" t="s">
        <v>139</v>
      </c>
      <c r="F116" s="194" t="str">
        <f>VLOOKUP(E116,'Справочник отрасли'!$A:$D,4,0)</f>
        <v>Топливная промышленность</v>
      </c>
      <c r="G116" s="192">
        <f t="shared" si="9"/>
        <v>6.8154151692655627E-5</v>
      </c>
      <c r="H116" s="191"/>
      <c r="I116" s="193">
        <f>VLOOKUP(C116,'Справочник эшелоны акции'!$G$6:$H$30,2,0)</f>
        <v>2</v>
      </c>
      <c r="J116" s="193" t="e">
        <f>VLOOKUP(A116,'Эшелоны результат'!$A$3:$H$83,8,FALSE)</f>
        <v>#N/A</v>
      </c>
      <c r="K116" s="166" t="s">
        <v>623</v>
      </c>
      <c r="L116"/>
    </row>
    <row r="117" spans="1:12" ht="15" hidden="1" x14ac:dyDescent="0.25">
      <c r="A117" s="188" t="s">
        <v>503</v>
      </c>
      <c r="B117" s="189" t="s">
        <v>355</v>
      </c>
      <c r="C117" s="199" t="s">
        <v>356</v>
      </c>
      <c r="D117" s="200"/>
      <c r="E117" s="189" t="s">
        <v>139</v>
      </c>
      <c r="F117" s="194" t="str">
        <f>VLOOKUP(E117,'Справочник отрасли'!$A:$D,4,0)</f>
        <v>Топливная промышленность</v>
      </c>
      <c r="G117" s="192">
        <f t="shared" ref="G117:G120" si="10">D117/$B$17</f>
        <v>0</v>
      </c>
      <c r="H117" s="191"/>
      <c r="I117" s="193">
        <f>VLOOKUP(C117,'Справочник эшелоны акции'!$G$6:$H$30,2,0)</f>
        <v>2</v>
      </c>
      <c r="J117" s="193" t="e">
        <f>VLOOKUP(A117,'Эшелоны результат'!$A$3:$H$83,8,FALSE)</f>
        <v>#N/A</v>
      </c>
      <c r="K117" s="166" t="s">
        <v>623</v>
      </c>
      <c r="L117"/>
    </row>
    <row r="118" spans="1:12" ht="15" hidden="1" x14ac:dyDescent="0.25">
      <c r="A118" s="188" t="s">
        <v>504</v>
      </c>
      <c r="B118" s="189" t="s">
        <v>355</v>
      </c>
      <c r="C118" s="189" t="s">
        <v>357</v>
      </c>
      <c r="D118" s="190">
        <v>19873000</v>
      </c>
      <c r="E118" s="189" t="s">
        <v>313</v>
      </c>
      <c r="F118" s="194" t="str">
        <f>VLOOKUP(E118,'Справочник отрасли'!$A:$D,4,0)</f>
        <v>Топливная промышленность</v>
      </c>
      <c r="G118" s="192">
        <f t="shared" si="10"/>
        <v>2.8442407740196247E-4</v>
      </c>
      <c r="H118" s="191"/>
      <c r="I118" s="193">
        <f>VLOOKUP(C118,'Справочник эшелоны акции'!$G$6:$H$30,2,0)</f>
        <v>3</v>
      </c>
      <c r="J118" s="193" t="e">
        <f>VLOOKUP(A118,'Эшелоны результат'!$A$3:$H$83,8,FALSE)</f>
        <v>#N/A</v>
      </c>
      <c r="K118" s="166" t="s">
        <v>623</v>
      </c>
      <c r="L118"/>
    </row>
    <row r="119" spans="1:12" ht="15" hidden="1" x14ac:dyDescent="0.25">
      <c r="A119" s="188" t="s">
        <v>505</v>
      </c>
      <c r="B119" s="189" t="s">
        <v>355</v>
      </c>
      <c r="C119" s="189" t="s">
        <v>377</v>
      </c>
      <c r="D119" s="190">
        <v>53428000</v>
      </c>
      <c r="E119" s="189" t="s">
        <v>382</v>
      </c>
      <c r="F119" s="194" t="str">
        <f>VLOOKUP(E119,'Справочник отрасли'!$A:$D,4,0)</f>
        <v>Топливная промышленность</v>
      </c>
      <c r="G119" s="192">
        <f t="shared" si="10"/>
        <v>7.6466611017118955E-4</v>
      </c>
      <c r="H119" s="191"/>
      <c r="I119" s="193">
        <f>VLOOKUP(C119,'Справочник эшелоны акции'!$G$6:$H$30,2,0)</f>
        <v>2</v>
      </c>
      <c r="J119" s="193" t="e">
        <f>VLOOKUP(A119,'Эшелоны результат'!$A$3:$H$83,8,FALSE)</f>
        <v>#N/A</v>
      </c>
      <c r="K119" s="166" t="s">
        <v>623</v>
      </c>
      <c r="L119"/>
    </row>
    <row r="120" spans="1:12" ht="15" hidden="1" x14ac:dyDescent="0.25">
      <c r="A120" s="188" t="s">
        <v>506</v>
      </c>
      <c r="B120" s="189" t="s">
        <v>507</v>
      </c>
      <c r="C120" s="189" t="s">
        <v>509</v>
      </c>
      <c r="D120" s="190">
        <v>918030605.51999998</v>
      </c>
      <c r="E120" s="189" t="s">
        <v>264</v>
      </c>
      <c r="F120" s="194" t="str">
        <f>VLOOKUP(E120,'Справочник отрасли'!$A:$D,4,0)</f>
        <v>ОФЗ</v>
      </c>
      <c r="G120" s="192">
        <f t="shared" si="10"/>
        <v>1.3138932622240777E-2</v>
      </c>
      <c r="H120" s="191" t="s">
        <v>86</v>
      </c>
      <c r="I120" s="193" t="e">
        <f>VLOOKUP(C120,'Справочник эшелоны акции'!$G$6:$H$30,2,0)</f>
        <v>#N/A</v>
      </c>
      <c r="J120" s="193">
        <f>VLOOKUP(A120,'Эшелоны результат'!$A$3:$H$83,8,FALSE)</f>
        <v>1</v>
      </c>
      <c r="K120" s="166" t="s">
        <v>624</v>
      </c>
      <c r="L120"/>
    </row>
    <row r="121" spans="1:12" ht="15" x14ac:dyDescent="0.25">
      <c r="A121" s="188"/>
      <c r="B121" s="189"/>
      <c r="C121" s="189"/>
      <c r="D121" s="190"/>
      <c r="E121" s="189"/>
      <c r="F121" s="194"/>
      <c r="G121" s="192"/>
      <c r="H121" s="191"/>
      <c r="I121" s="193"/>
      <c r="J121" s="193"/>
      <c r="L121"/>
    </row>
    <row r="122" spans="1:12" ht="15" x14ac:dyDescent="0.25">
      <c r="A122" s="188"/>
      <c r="B122" s="189"/>
      <c r="C122" s="189"/>
      <c r="D122" s="190"/>
      <c r="E122" s="189"/>
      <c r="F122" s="194"/>
      <c r="G122" s="192"/>
      <c r="H122" s="191"/>
      <c r="I122" s="193"/>
      <c r="J122" s="193"/>
      <c r="L122"/>
    </row>
    <row r="123" spans="1:12" ht="15" x14ac:dyDescent="0.25">
      <c r="A123" s="188"/>
      <c r="B123" s="189"/>
      <c r="C123" s="189"/>
      <c r="D123" s="190"/>
      <c r="E123" s="189"/>
      <c r="F123" s="194"/>
      <c r="G123" s="192"/>
      <c r="H123" s="191"/>
      <c r="I123" s="193"/>
      <c r="J123" s="193"/>
      <c r="L123"/>
    </row>
    <row r="124" spans="1:12" ht="15" x14ac:dyDescent="0.25">
      <c r="A124" s="188"/>
      <c r="B124" s="189"/>
      <c r="C124" s="189"/>
      <c r="D124" s="190"/>
      <c r="E124" s="189"/>
      <c r="F124" s="194"/>
      <c r="G124" s="192"/>
      <c r="H124" s="191"/>
      <c r="I124" s="193"/>
      <c r="J124" s="193"/>
      <c r="L124"/>
    </row>
    <row r="125" spans="1:12" ht="15" x14ac:dyDescent="0.25">
      <c r="A125" s="188"/>
      <c r="B125" s="189"/>
      <c r="C125" s="189"/>
      <c r="D125" s="190"/>
      <c r="E125" s="189"/>
      <c r="F125" s="194"/>
      <c r="G125" s="192"/>
      <c r="H125" s="191"/>
      <c r="I125" s="193"/>
      <c r="J125" s="193"/>
      <c r="L125"/>
    </row>
    <row r="126" spans="1:12" ht="15" x14ac:dyDescent="0.25">
      <c r="A126" s="188"/>
      <c r="B126" s="189"/>
      <c r="C126" s="189"/>
      <c r="D126" s="190"/>
      <c r="E126" s="189"/>
      <c r="F126" s="194"/>
      <c r="G126" s="192"/>
      <c r="H126" s="191"/>
      <c r="I126" s="193"/>
      <c r="J126" s="193"/>
      <c r="L126"/>
    </row>
    <row r="127" spans="1:12" ht="15" x14ac:dyDescent="0.25">
      <c r="A127" s="188"/>
      <c r="B127" s="189"/>
      <c r="C127" s="189"/>
      <c r="D127" s="190"/>
      <c r="E127" s="189"/>
      <c r="F127" s="194"/>
      <c r="G127" s="192"/>
      <c r="H127" s="191"/>
      <c r="I127" s="193"/>
      <c r="J127" s="193"/>
      <c r="L127"/>
    </row>
    <row r="128" spans="1:12" ht="15" x14ac:dyDescent="0.25">
      <c r="A128" s="188"/>
      <c r="B128" s="189"/>
      <c r="C128" s="189"/>
      <c r="D128" s="190"/>
      <c r="E128" s="189"/>
      <c r="F128" s="194"/>
      <c r="G128" s="192"/>
      <c r="H128" s="191"/>
      <c r="I128" s="193"/>
      <c r="J128" s="193"/>
      <c r="L128"/>
    </row>
    <row r="133" spans="4:11" ht="15" x14ac:dyDescent="0.25">
      <c r="D133" s="165"/>
      <c r="K133"/>
    </row>
    <row r="134" spans="4:11" ht="15" x14ac:dyDescent="0.25">
      <c r="K134"/>
    </row>
    <row r="135" spans="4:11" ht="15" x14ac:dyDescent="0.25">
      <c r="K135"/>
    </row>
    <row r="136" spans="4:11" ht="15" x14ac:dyDescent="0.25">
      <c r="K136"/>
    </row>
    <row r="137" spans="4:11" ht="15" x14ac:dyDescent="0.25">
      <c r="K137"/>
    </row>
    <row r="138" spans="4:11" ht="15" x14ac:dyDescent="0.25">
      <c r="K138"/>
    </row>
    <row r="139" spans="4:11" ht="15" x14ac:dyDescent="0.25">
      <c r="K139"/>
    </row>
    <row r="140" spans="4:11" ht="15" x14ac:dyDescent="0.25">
      <c r="K140"/>
    </row>
    <row r="141" spans="4:11" ht="15" x14ac:dyDescent="0.25">
      <c r="K141"/>
    </row>
    <row r="142" spans="4:11" ht="15" x14ac:dyDescent="0.25">
      <c r="K142"/>
    </row>
    <row r="143" spans="4:11" ht="15" x14ac:dyDescent="0.25">
      <c r="K143"/>
    </row>
    <row r="144" spans="4:11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</sheetData>
  <autoFilter ref="A23:V120">
    <filterColumn colId="10">
      <filters>
        <filter val="до погашения"/>
      </filters>
    </filterColumn>
  </autoFilter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4:H45"/>
  <sheetViews>
    <sheetView workbookViewId="0">
      <selection activeCell="K23" sqref="K23"/>
    </sheetView>
  </sheetViews>
  <sheetFormatPr defaultRowHeight="15" x14ac:dyDescent="0.25"/>
  <cols>
    <col min="2" max="2" width="29.7109375" customWidth="1"/>
    <col min="3" max="3" width="14.140625" customWidth="1"/>
    <col min="7" max="7" width="37.7109375" customWidth="1"/>
  </cols>
  <sheetData>
    <row r="4" spans="2:8" x14ac:dyDescent="0.25">
      <c r="B4" s="232" t="s">
        <v>470</v>
      </c>
      <c r="C4" s="232"/>
    </row>
    <row r="5" spans="2:8" x14ac:dyDescent="0.25">
      <c r="B5" t="s">
        <v>429</v>
      </c>
      <c r="C5" t="s">
        <v>444</v>
      </c>
      <c r="G5" t="str">
        <f>B5</f>
        <v>Наименование инструмента</v>
      </c>
      <c r="H5" t="str">
        <f>C5</f>
        <v>Эшелон</v>
      </c>
    </row>
    <row r="6" spans="2:8" x14ac:dyDescent="0.25">
      <c r="B6" t="s">
        <v>430</v>
      </c>
      <c r="C6">
        <v>1</v>
      </c>
      <c r="E6" s="178"/>
      <c r="G6" t="s">
        <v>341</v>
      </c>
      <c r="H6">
        <v>1</v>
      </c>
    </row>
    <row r="7" spans="2:8" x14ac:dyDescent="0.25">
      <c r="B7" t="s">
        <v>431</v>
      </c>
      <c r="C7">
        <v>1</v>
      </c>
      <c r="E7" s="178"/>
      <c r="G7" t="s">
        <v>368</v>
      </c>
      <c r="H7">
        <v>3</v>
      </c>
    </row>
    <row r="8" spans="2:8" x14ac:dyDescent="0.25">
      <c r="B8" t="s">
        <v>432</v>
      </c>
      <c r="C8">
        <v>1</v>
      </c>
      <c r="E8" s="178"/>
      <c r="G8" t="s">
        <v>369</v>
      </c>
      <c r="H8">
        <v>1</v>
      </c>
    </row>
    <row r="9" spans="2:8" x14ac:dyDescent="0.25">
      <c r="B9" t="s">
        <v>433</v>
      </c>
      <c r="C9">
        <v>1</v>
      </c>
      <c r="E9" s="178"/>
      <c r="G9" t="s">
        <v>343</v>
      </c>
      <c r="H9">
        <v>2</v>
      </c>
    </row>
    <row r="10" spans="2:8" x14ac:dyDescent="0.25">
      <c r="B10" t="s">
        <v>434</v>
      </c>
      <c r="C10">
        <v>1</v>
      </c>
      <c r="E10" s="178"/>
      <c r="G10" t="s">
        <v>344</v>
      </c>
      <c r="H10">
        <v>1</v>
      </c>
    </row>
    <row r="11" spans="2:8" x14ac:dyDescent="0.25">
      <c r="B11" t="s">
        <v>435</v>
      </c>
      <c r="C11">
        <v>1</v>
      </c>
      <c r="E11" s="178"/>
      <c r="G11" t="s">
        <v>370</v>
      </c>
      <c r="H11">
        <v>2</v>
      </c>
    </row>
    <row r="12" spans="2:8" x14ac:dyDescent="0.25">
      <c r="B12" t="s">
        <v>436</v>
      </c>
      <c r="C12">
        <v>1</v>
      </c>
      <c r="E12" s="178"/>
      <c r="G12" t="s">
        <v>371</v>
      </c>
      <c r="H12">
        <v>1</v>
      </c>
    </row>
    <row r="13" spans="2:8" x14ac:dyDescent="0.25">
      <c r="B13" t="s">
        <v>437</v>
      </c>
      <c r="C13">
        <v>1</v>
      </c>
      <c r="E13" s="178"/>
      <c r="G13" t="s">
        <v>372</v>
      </c>
      <c r="H13">
        <v>2</v>
      </c>
    </row>
    <row r="14" spans="2:8" x14ac:dyDescent="0.25">
      <c r="B14" t="s">
        <v>438</v>
      </c>
      <c r="C14">
        <v>1</v>
      </c>
      <c r="E14" s="178"/>
      <c r="G14" t="s">
        <v>373</v>
      </c>
      <c r="H14">
        <v>2</v>
      </c>
    </row>
    <row r="15" spans="2:8" x14ac:dyDescent="0.25">
      <c r="B15" t="s">
        <v>439</v>
      </c>
      <c r="C15">
        <v>1</v>
      </c>
      <c r="D15" s="2"/>
      <c r="E15" s="178"/>
      <c r="G15" t="s">
        <v>376</v>
      </c>
      <c r="H15">
        <v>2</v>
      </c>
    </row>
    <row r="16" spans="2:8" x14ac:dyDescent="0.25">
      <c r="B16" t="s">
        <v>440</v>
      </c>
      <c r="C16">
        <v>1</v>
      </c>
      <c r="E16" s="178"/>
      <c r="G16" t="s">
        <v>356</v>
      </c>
      <c r="H16">
        <v>2</v>
      </c>
    </row>
    <row r="17" spans="2:8" x14ac:dyDescent="0.25">
      <c r="B17" t="s">
        <v>441</v>
      </c>
      <c r="C17">
        <v>1</v>
      </c>
      <c r="E17" s="178"/>
      <c r="G17" t="s">
        <v>357</v>
      </c>
      <c r="H17">
        <v>3</v>
      </c>
    </row>
    <row r="18" spans="2:8" x14ac:dyDescent="0.25">
      <c r="B18" t="s">
        <v>442</v>
      </c>
      <c r="C18">
        <v>1</v>
      </c>
      <c r="E18" s="178"/>
      <c r="G18" t="s">
        <v>377</v>
      </c>
      <c r="H18">
        <v>2</v>
      </c>
    </row>
    <row r="19" spans="2:8" x14ac:dyDescent="0.25">
      <c r="B19" t="s">
        <v>443</v>
      </c>
      <c r="C19">
        <v>1</v>
      </c>
      <c r="E19" s="178"/>
      <c r="G19" t="s">
        <v>378</v>
      </c>
      <c r="H19">
        <v>1</v>
      </c>
    </row>
    <row r="20" spans="2:8" x14ac:dyDescent="0.25">
      <c r="B20" t="s">
        <v>445</v>
      </c>
      <c r="C20">
        <v>2</v>
      </c>
      <c r="E20" s="178"/>
      <c r="G20" t="s">
        <v>508</v>
      </c>
      <c r="H20">
        <v>2</v>
      </c>
    </row>
    <row r="21" spans="2:8" x14ac:dyDescent="0.25">
      <c r="B21" t="s">
        <v>446</v>
      </c>
      <c r="C21">
        <v>2</v>
      </c>
      <c r="E21" s="178"/>
      <c r="G21" t="s">
        <v>530</v>
      </c>
      <c r="H21" s="189">
        <v>1</v>
      </c>
    </row>
    <row r="22" spans="2:8" x14ac:dyDescent="0.25">
      <c r="B22" t="s">
        <v>447</v>
      </c>
      <c r="C22">
        <v>2</v>
      </c>
      <c r="E22" s="178"/>
    </row>
    <row r="23" spans="2:8" x14ac:dyDescent="0.25">
      <c r="B23" t="s">
        <v>448</v>
      </c>
      <c r="C23">
        <v>2</v>
      </c>
      <c r="E23" s="178"/>
    </row>
    <row r="24" spans="2:8" x14ac:dyDescent="0.25">
      <c r="B24" t="s">
        <v>449</v>
      </c>
      <c r="C24">
        <v>2</v>
      </c>
      <c r="E24" s="178"/>
    </row>
    <row r="25" spans="2:8" x14ac:dyDescent="0.25">
      <c r="B25" t="s">
        <v>330</v>
      </c>
      <c r="C25">
        <v>2</v>
      </c>
      <c r="E25" s="178"/>
    </row>
    <row r="26" spans="2:8" x14ac:dyDescent="0.25">
      <c r="B26" t="s">
        <v>450</v>
      </c>
      <c r="C26">
        <v>2</v>
      </c>
      <c r="E26" s="178"/>
    </row>
    <row r="27" spans="2:8" x14ac:dyDescent="0.25">
      <c r="B27" t="s">
        <v>451</v>
      </c>
      <c r="C27">
        <v>2</v>
      </c>
      <c r="E27" s="178"/>
    </row>
    <row r="28" spans="2:8" x14ac:dyDescent="0.25">
      <c r="B28" t="s">
        <v>452</v>
      </c>
      <c r="C28">
        <v>2</v>
      </c>
      <c r="E28" s="178"/>
    </row>
    <row r="29" spans="2:8" x14ac:dyDescent="0.25">
      <c r="B29" t="s">
        <v>453</v>
      </c>
      <c r="C29">
        <v>2</v>
      </c>
      <c r="E29" s="178"/>
    </row>
    <row r="30" spans="2:8" x14ac:dyDescent="0.25">
      <c r="B30" t="s">
        <v>454</v>
      </c>
      <c r="C30">
        <v>2</v>
      </c>
      <c r="E30" s="178"/>
    </row>
    <row r="31" spans="2:8" x14ac:dyDescent="0.25">
      <c r="B31" t="s">
        <v>455</v>
      </c>
      <c r="C31">
        <v>2</v>
      </c>
      <c r="E31" s="178"/>
    </row>
    <row r="32" spans="2:8" x14ac:dyDescent="0.25">
      <c r="B32" t="s">
        <v>456</v>
      </c>
      <c r="C32">
        <v>2</v>
      </c>
      <c r="E32" s="178"/>
    </row>
    <row r="33" spans="2:5" x14ac:dyDescent="0.25">
      <c r="B33" t="s">
        <v>457</v>
      </c>
      <c r="C33">
        <v>2</v>
      </c>
      <c r="E33" s="178"/>
    </row>
    <row r="34" spans="2:5" x14ac:dyDescent="0.25">
      <c r="B34" t="s">
        <v>458</v>
      </c>
      <c r="C34">
        <v>2</v>
      </c>
      <c r="E34" s="178"/>
    </row>
    <row r="35" spans="2:5" x14ac:dyDescent="0.25">
      <c r="B35" t="s">
        <v>459</v>
      </c>
      <c r="C35">
        <v>3</v>
      </c>
      <c r="E35" s="178"/>
    </row>
    <row r="36" spans="2:5" x14ac:dyDescent="0.25">
      <c r="B36" t="s">
        <v>460</v>
      </c>
      <c r="C36">
        <v>2</v>
      </c>
      <c r="E36" s="178"/>
    </row>
    <row r="37" spans="2:5" x14ac:dyDescent="0.25">
      <c r="B37" t="s">
        <v>461</v>
      </c>
      <c r="C37">
        <v>3</v>
      </c>
      <c r="E37" s="178"/>
    </row>
    <row r="38" spans="2:5" x14ac:dyDescent="0.25">
      <c r="B38" t="s">
        <v>462</v>
      </c>
      <c r="C38">
        <v>3</v>
      </c>
      <c r="E38" s="178"/>
    </row>
    <row r="39" spans="2:5" x14ac:dyDescent="0.25">
      <c r="B39" t="s">
        <v>463</v>
      </c>
      <c r="C39">
        <v>3</v>
      </c>
      <c r="E39" s="178"/>
    </row>
    <row r="40" spans="2:5" x14ac:dyDescent="0.25">
      <c r="B40" t="s">
        <v>464</v>
      </c>
      <c r="C40">
        <v>3</v>
      </c>
      <c r="E40" s="178"/>
    </row>
    <row r="41" spans="2:5" x14ac:dyDescent="0.25">
      <c r="B41" t="s">
        <v>465</v>
      </c>
      <c r="C41">
        <v>3</v>
      </c>
      <c r="E41" s="178"/>
    </row>
    <row r="42" spans="2:5" x14ac:dyDescent="0.25">
      <c r="B42" t="s">
        <v>466</v>
      </c>
      <c r="C42">
        <v>3</v>
      </c>
      <c r="E42" s="178"/>
    </row>
    <row r="43" spans="2:5" x14ac:dyDescent="0.25">
      <c r="B43" t="s">
        <v>467</v>
      </c>
      <c r="C43">
        <v>3</v>
      </c>
      <c r="E43" s="178"/>
    </row>
    <row r="44" spans="2:5" x14ac:dyDescent="0.25">
      <c r="B44" t="s">
        <v>468</v>
      </c>
      <c r="C44">
        <v>3</v>
      </c>
      <c r="E44" s="178"/>
    </row>
    <row r="45" spans="2:5" x14ac:dyDescent="0.25">
      <c r="B45" t="s">
        <v>469</v>
      </c>
      <c r="C45">
        <v>3</v>
      </c>
      <c r="E45" s="178"/>
    </row>
  </sheetData>
  <autoFilter ref="B5:C45"/>
  <mergeCells count="1">
    <mergeCell ref="B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83"/>
  <sheetViews>
    <sheetView tabSelected="1" workbookViewId="0">
      <selection activeCell="P10" sqref="P10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203"/>
    <col min="8" max="8" width="23.5703125" style="203" customWidth="1"/>
  </cols>
  <sheetData>
    <row r="1" spans="1:8" x14ac:dyDescent="0.25">
      <c r="B1" t="e">
        <f ca="1">_xll.TR($A$3:$A$83,"TR.FiDescription;DURATION;TR.CA.AmtOutstanding;TR.FiCurrency;TR.FiPricingTRPSScore","UPDFRQ=10M CH=Fd CODE=ISIN",B2)</f>
        <v>#NAME?</v>
      </c>
    </row>
    <row r="2" spans="1:8" x14ac:dyDescent="0.25">
      <c r="A2" t="s">
        <v>626</v>
      </c>
      <c r="B2" t="s">
        <v>534</v>
      </c>
      <c r="C2" t="s">
        <v>535</v>
      </c>
      <c r="D2" t="s">
        <v>536</v>
      </c>
      <c r="E2" t="s">
        <v>537</v>
      </c>
      <c r="F2" t="s">
        <v>538</v>
      </c>
      <c r="G2" s="203" t="s">
        <v>607</v>
      </c>
      <c r="H2" s="203" t="s">
        <v>444</v>
      </c>
    </row>
    <row r="3" spans="1:8" x14ac:dyDescent="0.25">
      <c r="A3" s="202" t="s">
        <v>156</v>
      </c>
      <c r="B3" t="s">
        <v>539</v>
      </c>
      <c r="C3">
        <v>18.975999999999999</v>
      </c>
      <c r="D3">
        <v>150000000</v>
      </c>
      <c r="E3" t="s">
        <v>540</v>
      </c>
      <c r="F3">
        <v>8</v>
      </c>
      <c r="G3" s="203" t="str">
        <f>VLOOKUP(A3,'Инвест политика'!$A$24:$H$128,8,FALSE)</f>
        <v>BB+</v>
      </c>
      <c r="H3" s="203">
        <f>Эшелонирование(F3,G3,C3)</f>
        <v>1</v>
      </c>
    </row>
    <row r="4" spans="1:8" x14ac:dyDescent="0.25">
      <c r="A4" s="202" t="s">
        <v>471</v>
      </c>
      <c r="B4" t="s">
        <v>541</v>
      </c>
      <c r="C4">
        <v>4.1420000000000003</v>
      </c>
      <c r="D4">
        <v>500000000</v>
      </c>
      <c r="E4" t="s">
        <v>542</v>
      </c>
      <c r="F4">
        <v>10</v>
      </c>
      <c r="G4" s="203" t="str">
        <f>VLOOKUP(A4,'Инвест политика'!$A$24:$H$128,8,FALSE)</f>
        <v>BBB-</v>
      </c>
      <c r="H4" s="204">
        <f t="shared" ref="H4:H67" si="0">Эшелонирование(F4,G4,C4)</f>
        <v>1</v>
      </c>
    </row>
    <row r="5" spans="1:8" x14ac:dyDescent="0.25">
      <c r="A5" s="202" t="s">
        <v>146</v>
      </c>
      <c r="B5" t="s">
        <v>543</v>
      </c>
      <c r="C5">
        <v>0.49199999999999999</v>
      </c>
      <c r="D5">
        <v>350000000</v>
      </c>
      <c r="E5" t="s">
        <v>542</v>
      </c>
      <c r="F5">
        <v>10</v>
      </c>
      <c r="G5" s="203" t="str">
        <f>VLOOKUP(A5,'Инвест политика'!$A$24:$H$128,8,FALSE)</f>
        <v>BB</v>
      </c>
      <c r="H5" s="204">
        <f t="shared" si="0"/>
        <v>2</v>
      </c>
    </row>
    <row r="6" spans="1:8" x14ac:dyDescent="0.25">
      <c r="A6" s="202" t="s">
        <v>147</v>
      </c>
      <c r="B6" t="s">
        <v>544</v>
      </c>
      <c r="C6">
        <v>7.8E-2</v>
      </c>
      <c r="D6">
        <v>750000000</v>
      </c>
      <c r="E6" t="s">
        <v>542</v>
      </c>
      <c r="F6">
        <v>10</v>
      </c>
      <c r="G6" s="203" t="str">
        <f>VLOOKUP(A6,'Инвест политика'!$A$24:$H$128,8,FALSE)</f>
        <v>BB+</v>
      </c>
      <c r="H6" s="204">
        <f t="shared" si="0"/>
        <v>1</v>
      </c>
    </row>
    <row r="7" spans="1:8" x14ac:dyDescent="0.25">
      <c r="A7" s="202" t="s">
        <v>148</v>
      </c>
      <c r="B7" t="s">
        <v>545</v>
      </c>
      <c r="C7">
        <v>2.2770000000000001</v>
      </c>
      <c r="D7">
        <v>900000000</v>
      </c>
      <c r="E7" t="s">
        <v>542</v>
      </c>
      <c r="F7">
        <v>10</v>
      </c>
      <c r="G7" s="203" t="str">
        <f>VLOOKUP(A7,'Инвест политика'!$A$24:$H$128,8,FALSE)</f>
        <v>BB</v>
      </c>
      <c r="H7" s="204">
        <f t="shared" si="0"/>
        <v>2</v>
      </c>
    </row>
    <row r="8" spans="1:8" x14ac:dyDescent="0.25">
      <c r="A8" s="202" t="s">
        <v>149</v>
      </c>
      <c r="B8" t="s">
        <v>546</v>
      </c>
      <c r="C8">
        <v>1.7690000000000001</v>
      </c>
      <c r="D8">
        <v>165000000</v>
      </c>
      <c r="E8" t="s">
        <v>547</v>
      </c>
      <c r="F8">
        <v>9</v>
      </c>
      <c r="G8" s="203" t="str">
        <f>VLOOKUP(A8,'Инвест политика'!$A$24:$H$128,8,FALSE)</f>
        <v>BB-</v>
      </c>
      <c r="H8" s="204">
        <f t="shared" si="0"/>
        <v>2</v>
      </c>
    </row>
    <row r="9" spans="1:8" x14ac:dyDescent="0.25">
      <c r="A9" s="202" t="s">
        <v>150</v>
      </c>
      <c r="B9" t="s">
        <v>548</v>
      </c>
      <c r="C9">
        <v>2.8080000000000003</v>
      </c>
      <c r="D9">
        <v>327228000</v>
      </c>
      <c r="E9" t="s">
        <v>540</v>
      </c>
      <c r="F9">
        <v>10</v>
      </c>
      <c r="G9" s="203" t="str">
        <f>VLOOKUP(A9,'Инвест политика'!$A$24:$H$128,8,FALSE)</f>
        <v>BB-</v>
      </c>
      <c r="H9" s="204">
        <f t="shared" si="0"/>
        <v>2</v>
      </c>
    </row>
    <row r="10" spans="1:8" x14ac:dyDescent="0.25">
      <c r="A10" s="202" t="s">
        <v>151</v>
      </c>
      <c r="B10" t="s">
        <v>549</v>
      </c>
      <c r="C10">
        <v>1.911</v>
      </c>
      <c r="D10">
        <v>500000000</v>
      </c>
      <c r="E10" t="s">
        <v>542</v>
      </c>
      <c r="F10">
        <v>8</v>
      </c>
      <c r="G10" s="203" t="str">
        <f>VLOOKUP(A10,'Инвест политика'!$A$24:$H$128,8,FALSE)</f>
        <v>B+</v>
      </c>
      <c r="H10" s="204">
        <f t="shared" si="0"/>
        <v>2</v>
      </c>
    </row>
    <row r="11" spans="1:8" x14ac:dyDescent="0.25">
      <c r="A11" s="202" t="s">
        <v>152</v>
      </c>
      <c r="B11" t="s">
        <v>550</v>
      </c>
      <c r="C11">
        <v>1.8840000000000001</v>
      </c>
      <c r="D11">
        <v>700000000</v>
      </c>
      <c r="E11" t="s">
        <v>542</v>
      </c>
      <c r="F11">
        <v>10</v>
      </c>
      <c r="G11" s="203" t="str">
        <f>VLOOKUP(A11,'Инвест политика'!$A$24:$H$128,8,FALSE)</f>
        <v>BB</v>
      </c>
      <c r="H11" s="204">
        <f t="shared" si="0"/>
        <v>2</v>
      </c>
    </row>
    <row r="12" spans="1:8" x14ac:dyDescent="0.25">
      <c r="A12" s="202" t="s">
        <v>153</v>
      </c>
      <c r="B12" t="s">
        <v>551</v>
      </c>
      <c r="C12">
        <v>1.718</v>
      </c>
      <c r="D12">
        <v>300000000</v>
      </c>
      <c r="E12" t="s">
        <v>542</v>
      </c>
      <c r="F12">
        <v>10</v>
      </c>
      <c r="G12" s="203" t="str">
        <f>VLOOKUP(A12,'Инвест политика'!$A$24:$H$128,8,FALSE)</f>
        <v>BB</v>
      </c>
      <c r="H12" s="204">
        <f t="shared" si="0"/>
        <v>2</v>
      </c>
    </row>
    <row r="13" spans="1:8" x14ac:dyDescent="0.25">
      <c r="A13" s="202" t="s">
        <v>154</v>
      </c>
      <c r="B13" t="s">
        <v>552</v>
      </c>
      <c r="C13">
        <v>3.1560000000000001</v>
      </c>
      <c r="D13">
        <v>300000000</v>
      </c>
      <c r="E13" t="s">
        <v>542</v>
      </c>
      <c r="F13">
        <v>8</v>
      </c>
      <c r="G13" s="203" t="str">
        <f>VLOOKUP(A13,'Инвест политика'!$A$24:$H$128,8,FALSE)</f>
        <v>BB-</v>
      </c>
      <c r="H13" s="204">
        <f t="shared" si="0"/>
        <v>2</v>
      </c>
    </row>
    <row r="14" spans="1:8" x14ac:dyDescent="0.25">
      <c r="A14" s="202" t="s">
        <v>155</v>
      </c>
      <c r="B14" t="s">
        <v>553</v>
      </c>
      <c r="C14">
        <v>4.4750000000000005</v>
      </c>
      <c r="D14">
        <v>550000000</v>
      </c>
      <c r="E14" t="s">
        <v>542</v>
      </c>
      <c r="F14">
        <v>10</v>
      </c>
      <c r="G14" s="203" t="str">
        <f>VLOOKUP(A14,'Инвест политика'!$A$24:$H$128,8,FALSE)</f>
        <v>BB</v>
      </c>
      <c r="H14" s="204">
        <f t="shared" si="0"/>
        <v>2</v>
      </c>
    </row>
    <row r="15" spans="1:8" x14ac:dyDescent="0.25">
      <c r="A15" s="202" t="s">
        <v>156</v>
      </c>
      <c r="B15" t="s">
        <v>539</v>
      </c>
      <c r="C15">
        <v>18.975999999999999</v>
      </c>
      <c r="D15">
        <v>150000000</v>
      </c>
      <c r="E15" t="s">
        <v>540</v>
      </c>
      <c r="F15">
        <v>8</v>
      </c>
      <c r="G15" s="203" t="str">
        <f>VLOOKUP(A15,'Инвест политика'!$A$24:$H$128,8,FALSE)</f>
        <v>BB+</v>
      </c>
      <c r="H15" s="204">
        <f t="shared" si="0"/>
        <v>1</v>
      </c>
    </row>
    <row r="16" spans="1:8" x14ac:dyDescent="0.25">
      <c r="A16" s="202" t="s">
        <v>157</v>
      </c>
      <c r="B16" t="s">
        <v>554</v>
      </c>
      <c r="C16">
        <v>3.762</v>
      </c>
      <c r="D16">
        <v>850000000</v>
      </c>
      <c r="E16" t="s">
        <v>542</v>
      </c>
      <c r="F16">
        <v>9</v>
      </c>
      <c r="G16" s="203" t="str">
        <f>VLOOKUP(A16,'Инвест политика'!$A$24:$H$128,8,FALSE)</f>
        <v>BB-</v>
      </c>
      <c r="H16" s="204">
        <f t="shared" si="0"/>
        <v>2</v>
      </c>
    </row>
    <row r="17" spans="1:8" x14ac:dyDescent="0.25">
      <c r="A17" s="202" t="s">
        <v>158</v>
      </c>
      <c r="B17" t="s">
        <v>555</v>
      </c>
      <c r="C17">
        <v>3.6350000000000002</v>
      </c>
      <c r="D17">
        <v>541000000</v>
      </c>
      <c r="E17" t="s">
        <v>542</v>
      </c>
      <c r="F17">
        <v>10</v>
      </c>
      <c r="G17" s="203" t="str">
        <f>VLOOKUP(A17,'Инвест политика'!$A$24:$H$128,8,FALSE)</f>
        <v>BB-</v>
      </c>
      <c r="H17" s="204">
        <f t="shared" si="0"/>
        <v>2</v>
      </c>
    </row>
    <row r="18" spans="1:8" x14ac:dyDescent="0.25">
      <c r="A18" s="202" t="s">
        <v>159</v>
      </c>
      <c r="B18" t="s">
        <v>556</v>
      </c>
      <c r="C18">
        <v>7.859</v>
      </c>
      <c r="D18">
        <v>2000000000</v>
      </c>
      <c r="E18" t="s">
        <v>542</v>
      </c>
      <c r="F18">
        <v>10</v>
      </c>
      <c r="G18" s="203" t="str">
        <f>VLOOKUP(A18,'Инвест политика'!$A$24:$H$128,8,FALSE)</f>
        <v>BBB</v>
      </c>
      <c r="H18" s="204">
        <f t="shared" si="0"/>
        <v>1</v>
      </c>
    </row>
    <row r="19" spans="1:8" x14ac:dyDescent="0.25">
      <c r="A19" s="202" t="s">
        <v>160</v>
      </c>
      <c r="B19" t="s">
        <v>557</v>
      </c>
      <c r="C19">
        <v>1.6560000000000001</v>
      </c>
      <c r="D19">
        <v>634051000</v>
      </c>
      <c r="E19" t="s">
        <v>542</v>
      </c>
      <c r="F19">
        <v>10</v>
      </c>
      <c r="G19" s="203" t="str">
        <f>VLOOKUP(A19,'Инвест политика'!$A$24:$H$128,8,FALSE)</f>
        <v>BBB</v>
      </c>
      <c r="H19" s="204">
        <f t="shared" si="0"/>
        <v>1</v>
      </c>
    </row>
    <row r="20" spans="1:8" x14ac:dyDescent="0.25">
      <c r="A20" s="202" t="s">
        <v>161</v>
      </c>
      <c r="B20" t="s">
        <v>558</v>
      </c>
      <c r="C20">
        <v>1.411</v>
      </c>
      <c r="D20">
        <v>1000000000</v>
      </c>
      <c r="E20" t="s">
        <v>542</v>
      </c>
      <c r="F20">
        <v>10</v>
      </c>
      <c r="G20" s="203" t="str">
        <f>VLOOKUP(A20,'Инвест политика'!$A$24:$H$128,8,FALSE)</f>
        <v>BBB-</v>
      </c>
      <c r="H20" s="204">
        <f t="shared" si="0"/>
        <v>1</v>
      </c>
    </row>
    <row r="21" spans="1:8" x14ac:dyDescent="0.25">
      <c r="A21" s="202" t="s">
        <v>162</v>
      </c>
      <c r="B21" t="s">
        <v>559</v>
      </c>
      <c r="C21">
        <v>1.597</v>
      </c>
      <c r="D21">
        <v>1500000000</v>
      </c>
      <c r="E21" t="s">
        <v>542</v>
      </c>
      <c r="F21">
        <v>10</v>
      </c>
      <c r="G21" s="203" t="str">
        <f>VLOOKUP(A21,'Инвест политика'!$A$24:$H$128,8,FALSE)</f>
        <v>BBB</v>
      </c>
      <c r="H21" s="204">
        <f t="shared" si="0"/>
        <v>1</v>
      </c>
    </row>
    <row r="22" spans="1:8" x14ac:dyDescent="0.25">
      <c r="A22" s="202" t="s">
        <v>163</v>
      </c>
      <c r="B22" t="s">
        <v>560</v>
      </c>
      <c r="C22">
        <v>2.306</v>
      </c>
      <c r="D22">
        <v>350000000</v>
      </c>
      <c r="E22" t="s">
        <v>540</v>
      </c>
      <c r="F22">
        <v>9</v>
      </c>
      <c r="G22" s="203" t="str">
        <f>VLOOKUP(A22,'Инвест политика'!$A$24:$H$128,8,FALSE)</f>
        <v>BB-</v>
      </c>
      <c r="H22" s="204">
        <f t="shared" si="0"/>
        <v>2</v>
      </c>
    </row>
    <row r="23" spans="1:8" x14ac:dyDescent="0.25">
      <c r="A23" s="202" t="s">
        <v>164</v>
      </c>
      <c r="B23" t="s">
        <v>561</v>
      </c>
      <c r="C23">
        <v>1.0920000000000001</v>
      </c>
      <c r="D23">
        <v>2000000000</v>
      </c>
      <c r="E23" t="s">
        <v>542</v>
      </c>
      <c r="F23">
        <v>10</v>
      </c>
      <c r="G23" s="203" t="str">
        <f>VLOOKUP(A23,'Инвест политика'!$A$24:$H$128,8,FALSE)</f>
        <v>BBB-</v>
      </c>
      <c r="H23" s="204">
        <f t="shared" si="0"/>
        <v>1</v>
      </c>
    </row>
    <row r="24" spans="1:8" x14ac:dyDescent="0.25">
      <c r="A24" s="202" t="s">
        <v>165</v>
      </c>
      <c r="B24" t="s">
        <v>562</v>
      </c>
      <c r="C24">
        <v>1.1839999999999999</v>
      </c>
      <c r="D24">
        <v>500000000</v>
      </c>
      <c r="E24" t="s">
        <v>542</v>
      </c>
      <c r="F24">
        <v>10</v>
      </c>
      <c r="G24" s="203" t="str">
        <f>VLOOKUP(A24,'Инвест политика'!$A$24:$H$128,8,FALSE)</f>
        <v>BBB-</v>
      </c>
      <c r="H24" s="204">
        <f t="shared" si="0"/>
        <v>1</v>
      </c>
    </row>
    <row r="25" spans="1:8" x14ac:dyDescent="0.25">
      <c r="A25" s="202" t="s">
        <v>166</v>
      </c>
      <c r="B25" t="s">
        <v>563</v>
      </c>
      <c r="C25">
        <v>0.58799999999999997</v>
      </c>
      <c r="D25">
        <v>500000000</v>
      </c>
      <c r="E25" t="s">
        <v>542</v>
      </c>
      <c r="F25">
        <v>10</v>
      </c>
      <c r="G25" s="203" t="str">
        <f>VLOOKUP(A25,'Инвест политика'!$A$24:$H$128,8,FALSE)</f>
        <v>BBB</v>
      </c>
      <c r="H25" s="204">
        <f t="shared" si="0"/>
        <v>1</v>
      </c>
    </row>
    <row r="26" spans="1:8" x14ac:dyDescent="0.25">
      <c r="A26" s="202" t="s">
        <v>167</v>
      </c>
      <c r="B26" t="s">
        <v>564</v>
      </c>
      <c r="C26">
        <v>9.6000000000000002E-2</v>
      </c>
      <c r="D26">
        <v>750000000</v>
      </c>
      <c r="E26" t="s">
        <v>540</v>
      </c>
      <c r="F26">
        <v>10</v>
      </c>
      <c r="G26" s="203" t="str">
        <f>VLOOKUP(A26,'Инвест политика'!$A$24:$H$128,8,FALSE)</f>
        <v>BBB</v>
      </c>
      <c r="H26" s="204">
        <f t="shared" si="0"/>
        <v>1</v>
      </c>
    </row>
    <row r="27" spans="1:8" x14ac:dyDescent="0.25">
      <c r="A27" s="202" t="s">
        <v>168</v>
      </c>
      <c r="B27" t="s">
        <v>565</v>
      </c>
      <c r="C27">
        <v>0.999</v>
      </c>
      <c r="D27">
        <v>1500000000</v>
      </c>
      <c r="E27" t="s">
        <v>542</v>
      </c>
      <c r="F27">
        <v>10</v>
      </c>
      <c r="G27" s="203" t="str">
        <f>VLOOKUP(A27,'Инвест политика'!$A$24:$H$128,8,FALSE)</f>
        <v>BBB-</v>
      </c>
      <c r="H27" s="204">
        <f t="shared" si="0"/>
        <v>1</v>
      </c>
    </row>
    <row r="28" spans="1:8" x14ac:dyDescent="0.25">
      <c r="A28" s="202" t="s">
        <v>489</v>
      </c>
      <c r="B28" t="s">
        <v>566</v>
      </c>
      <c r="C28">
        <v>1.944</v>
      </c>
      <c r="D28">
        <v>800000000</v>
      </c>
      <c r="E28" t="s">
        <v>542</v>
      </c>
      <c r="F28">
        <v>10</v>
      </c>
      <c r="G28" s="203" t="str">
        <f>VLOOKUP(A28,'Инвест политика'!$A$24:$H$128,8,FALSE)</f>
        <v>B</v>
      </c>
      <c r="H28" s="204">
        <f t="shared" si="0"/>
        <v>2</v>
      </c>
    </row>
    <row r="29" spans="1:8" x14ac:dyDescent="0.25">
      <c r="A29" s="202" t="s">
        <v>362</v>
      </c>
      <c r="B29" t="s">
        <v>567</v>
      </c>
      <c r="C29">
        <v>4.2960000000000003</v>
      </c>
      <c r="D29">
        <v>1400000000</v>
      </c>
      <c r="E29" t="s">
        <v>542</v>
      </c>
      <c r="F29">
        <v>9</v>
      </c>
      <c r="G29" s="203" t="str">
        <f>VLOOKUP(A29,'Инвест политика'!$A$24:$H$128,8,FALSE)</f>
        <v>BB+</v>
      </c>
      <c r="H29" s="204">
        <f t="shared" si="0"/>
        <v>1</v>
      </c>
    </row>
    <row r="30" spans="1:8" x14ac:dyDescent="0.25">
      <c r="A30" s="202" t="s">
        <v>472</v>
      </c>
      <c r="B30" t="s">
        <v>568</v>
      </c>
      <c r="C30">
        <v>0.192</v>
      </c>
      <c r="D30">
        <v>5000000000</v>
      </c>
      <c r="E30" t="s">
        <v>569</v>
      </c>
      <c r="F30">
        <v>8</v>
      </c>
      <c r="G30" s="203" t="str">
        <f>VLOOKUP(A30,'Инвест политика'!$A$24:$H$128,8,FALSE)</f>
        <v>BBB-</v>
      </c>
      <c r="H30" s="204">
        <f t="shared" si="0"/>
        <v>1</v>
      </c>
    </row>
    <row r="31" spans="1:8" x14ac:dyDescent="0.25">
      <c r="A31" s="202" t="s">
        <v>171</v>
      </c>
      <c r="B31" t="s">
        <v>570</v>
      </c>
      <c r="C31">
        <v>8.7270000000000003</v>
      </c>
      <c r="D31">
        <v>185836990</v>
      </c>
      <c r="E31" t="s">
        <v>569</v>
      </c>
      <c r="G31" s="203" t="str">
        <f>VLOOKUP(A31,'Инвест политика'!$A$24:$H$128,8,FALSE)</f>
        <v>BBB-</v>
      </c>
      <c r="H31" s="204">
        <f t="shared" si="0"/>
        <v>4</v>
      </c>
    </row>
    <row r="32" spans="1:8" x14ac:dyDescent="0.25">
      <c r="A32" s="202" t="s">
        <v>473</v>
      </c>
      <c r="B32" t="s">
        <v>571</v>
      </c>
      <c r="C32">
        <v>7.2010000000000005</v>
      </c>
      <c r="D32">
        <v>5000000000</v>
      </c>
      <c r="E32" t="s">
        <v>569</v>
      </c>
      <c r="G32" s="203" t="str">
        <f>VLOOKUP(A32,'Инвест политика'!$A$24:$H$128,8,FALSE)</f>
        <v>D</v>
      </c>
      <c r="H32" s="204">
        <f t="shared" si="0"/>
        <v>4</v>
      </c>
    </row>
    <row r="33" spans="1:8" x14ac:dyDescent="0.25">
      <c r="A33" s="202" t="s">
        <v>172</v>
      </c>
      <c r="B33" t="s">
        <v>572</v>
      </c>
      <c r="C33">
        <v>4.1340000000000003</v>
      </c>
      <c r="D33">
        <v>5000000000</v>
      </c>
      <c r="E33" t="s">
        <v>569</v>
      </c>
      <c r="F33">
        <v>7</v>
      </c>
      <c r="G33" s="203" t="str">
        <f>VLOOKUP(A33,'Инвест политика'!$A$24:$H$128,8,FALSE)</f>
        <v>BB+</v>
      </c>
      <c r="H33" s="204">
        <f t="shared" si="0"/>
        <v>2</v>
      </c>
    </row>
    <row r="34" spans="1:8" x14ac:dyDescent="0.25">
      <c r="A34" s="202" t="s">
        <v>174</v>
      </c>
      <c r="B34" t="s">
        <v>573</v>
      </c>
      <c r="C34">
        <v>1.141</v>
      </c>
      <c r="D34">
        <v>5000000000</v>
      </c>
      <c r="E34" t="s">
        <v>569</v>
      </c>
      <c r="F34">
        <v>9</v>
      </c>
      <c r="G34" s="203" t="str">
        <f>VLOOKUP(A34,'Инвест политика'!$A$24:$H$128,8,FALSE)</f>
        <v>BB-</v>
      </c>
      <c r="H34" s="204">
        <f t="shared" si="0"/>
        <v>2</v>
      </c>
    </row>
    <row r="35" spans="1:8" x14ac:dyDescent="0.25">
      <c r="A35" s="202" t="s">
        <v>178</v>
      </c>
      <c r="B35" t="s">
        <v>574</v>
      </c>
      <c r="C35">
        <v>4.8600000000000003</v>
      </c>
      <c r="D35">
        <v>6500000000</v>
      </c>
      <c r="E35" t="s">
        <v>569</v>
      </c>
      <c r="F35">
        <v>9</v>
      </c>
      <c r="G35" s="203" t="str">
        <f>VLOOKUP(A35,'Инвест политика'!$A$24:$H$128,8,FALSE)</f>
        <v>BB-</v>
      </c>
      <c r="H35" s="204">
        <f t="shared" si="0"/>
        <v>2</v>
      </c>
    </row>
    <row r="36" spans="1:8" x14ac:dyDescent="0.25">
      <c r="A36" s="202" t="s">
        <v>474</v>
      </c>
      <c r="B36" t="s">
        <v>575</v>
      </c>
      <c r="C36">
        <v>6.2210000000000001</v>
      </c>
      <c r="D36">
        <v>10000000000</v>
      </c>
      <c r="E36" t="s">
        <v>569</v>
      </c>
      <c r="F36">
        <v>8</v>
      </c>
      <c r="G36" s="203" t="str">
        <f>VLOOKUP(A36,'Инвест политика'!$A$24:$H$128,8,FALSE)</f>
        <v>BB-</v>
      </c>
      <c r="H36" s="204">
        <f t="shared" si="0"/>
        <v>2</v>
      </c>
    </row>
    <row r="37" spans="1:8" x14ac:dyDescent="0.25">
      <c r="A37" s="202" t="s">
        <v>184</v>
      </c>
      <c r="B37" t="s">
        <v>576</v>
      </c>
      <c r="C37">
        <v>1.3880000000000001</v>
      </c>
      <c r="D37">
        <v>20000000000</v>
      </c>
      <c r="E37" t="s">
        <v>569</v>
      </c>
      <c r="F37">
        <v>9</v>
      </c>
      <c r="G37" s="203" t="str">
        <f>VLOOKUP(A37,'Инвест политика'!$A$24:$H$128,8,FALSE)</f>
        <v>BB+</v>
      </c>
      <c r="H37" s="204">
        <f t="shared" si="0"/>
        <v>1</v>
      </c>
    </row>
    <row r="38" spans="1:8" x14ac:dyDescent="0.25">
      <c r="A38" s="202" t="s">
        <v>475</v>
      </c>
      <c r="B38" t="s">
        <v>577</v>
      </c>
      <c r="C38">
        <v>1.827</v>
      </c>
      <c r="D38">
        <v>5000000000</v>
      </c>
      <c r="E38" t="s">
        <v>569</v>
      </c>
      <c r="F38">
        <v>7</v>
      </c>
      <c r="G38" s="203" t="str">
        <f>VLOOKUP(A38,'Инвест политика'!$A$24:$H$128,8,FALSE)</f>
        <v>BBB-</v>
      </c>
      <c r="H38" s="204">
        <f t="shared" si="0"/>
        <v>2</v>
      </c>
    </row>
    <row r="39" spans="1:8" x14ac:dyDescent="0.25">
      <c r="A39" s="202" t="s">
        <v>476</v>
      </c>
      <c r="B39" t="s">
        <v>578</v>
      </c>
      <c r="C39">
        <v>0.498</v>
      </c>
      <c r="D39">
        <v>7000000000</v>
      </c>
      <c r="E39" t="s">
        <v>569</v>
      </c>
      <c r="F39">
        <v>7</v>
      </c>
      <c r="G39" s="203" t="str">
        <f>VLOOKUP(A39,'Инвест политика'!$A$24:$H$128,8,FALSE)</f>
        <v>BBB-</v>
      </c>
      <c r="H39" s="204">
        <f t="shared" si="0"/>
        <v>2</v>
      </c>
    </row>
    <row r="40" spans="1:8" x14ac:dyDescent="0.25">
      <c r="A40" s="202" t="s">
        <v>477</v>
      </c>
      <c r="B40" t="s">
        <v>579</v>
      </c>
      <c r="C40">
        <v>4.9000000000000002E-2</v>
      </c>
      <c r="D40">
        <v>10000000000</v>
      </c>
      <c r="E40" t="s">
        <v>569</v>
      </c>
      <c r="F40">
        <v>9</v>
      </c>
      <c r="G40" s="203" t="str">
        <f>VLOOKUP(A40,'Инвест политика'!$A$24:$H$128,8,FALSE)</f>
        <v>BBB-</v>
      </c>
      <c r="H40" s="204">
        <f t="shared" si="0"/>
        <v>1</v>
      </c>
    </row>
    <row r="41" spans="1:8" x14ac:dyDescent="0.25">
      <c r="A41" s="202" t="s">
        <v>478</v>
      </c>
      <c r="B41" t="s">
        <v>579</v>
      </c>
      <c r="C41">
        <v>4.5999999999999999E-2</v>
      </c>
      <c r="D41">
        <v>5000000000</v>
      </c>
      <c r="E41" t="s">
        <v>569</v>
      </c>
      <c r="F41">
        <v>9</v>
      </c>
      <c r="G41" s="203" t="str">
        <f>VLOOKUP(A41,'Инвест политика'!$A$24:$H$128,8,FALSE)</f>
        <v>BBB-</v>
      </c>
      <c r="H41" s="204">
        <f t="shared" si="0"/>
        <v>1</v>
      </c>
    </row>
    <row r="42" spans="1:8" x14ac:dyDescent="0.25">
      <c r="A42" s="202" t="s">
        <v>187</v>
      </c>
      <c r="B42" t="s">
        <v>580</v>
      </c>
      <c r="C42">
        <v>2.1379999999999999</v>
      </c>
      <c r="D42">
        <v>7000000000</v>
      </c>
      <c r="E42" t="s">
        <v>569</v>
      </c>
      <c r="F42">
        <v>7</v>
      </c>
      <c r="G42" s="203" t="str">
        <f>VLOOKUP(A42,'Инвест политика'!$A$24:$H$128,8,FALSE)</f>
        <v>A-</v>
      </c>
      <c r="H42" s="204">
        <f t="shared" si="0"/>
        <v>3</v>
      </c>
    </row>
    <row r="43" spans="1:8" x14ac:dyDescent="0.25">
      <c r="A43" s="202" t="s">
        <v>188</v>
      </c>
      <c r="B43" t="s">
        <v>581</v>
      </c>
      <c r="C43">
        <v>0.876</v>
      </c>
      <c r="D43">
        <v>2100000000</v>
      </c>
      <c r="E43" t="s">
        <v>569</v>
      </c>
      <c r="F43">
        <v>8</v>
      </c>
      <c r="G43" s="203" t="str">
        <f>VLOOKUP(A43,'Инвест политика'!$A$24:$H$128,8,FALSE)</f>
        <v>BB+</v>
      </c>
      <c r="H43" s="204">
        <f t="shared" si="0"/>
        <v>1</v>
      </c>
    </row>
    <row r="44" spans="1:8" x14ac:dyDescent="0.25">
      <c r="A44" s="202" t="s">
        <v>479</v>
      </c>
      <c r="B44" t="s">
        <v>582</v>
      </c>
      <c r="C44">
        <v>7.0659999999999998</v>
      </c>
      <c r="D44">
        <v>10000000000</v>
      </c>
      <c r="E44" t="s">
        <v>569</v>
      </c>
      <c r="F44">
        <v>9</v>
      </c>
      <c r="G44" s="203" t="str">
        <f>VLOOKUP(A44,'Инвест политика'!$A$24:$H$128,8,FALSE)</f>
        <v>BB-</v>
      </c>
      <c r="H44" s="204">
        <f t="shared" si="0"/>
        <v>2</v>
      </c>
    </row>
    <row r="45" spans="1:8" x14ac:dyDescent="0.25">
      <c r="A45" s="202" t="s">
        <v>480</v>
      </c>
      <c r="B45" t="s">
        <v>583</v>
      </c>
      <c r="C45">
        <v>2.0070000000000001</v>
      </c>
      <c r="D45">
        <v>7000000000</v>
      </c>
      <c r="E45" t="s">
        <v>569</v>
      </c>
      <c r="G45" s="203" t="str">
        <f>VLOOKUP(A45,'Инвест политика'!$A$24:$H$128,8,FALSE)</f>
        <v>A-</v>
      </c>
      <c r="H45" s="204">
        <f t="shared" si="0"/>
        <v>4</v>
      </c>
    </row>
    <row r="46" spans="1:8" x14ac:dyDescent="0.25">
      <c r="A46" s="202" t="s">
        <v>528</v>
      </c>
      <c r="B46" t="s">
        <v>584</v>
      </c>
      <c r="C46">
        <v>0</v>
      </c>
      <c r="D46">
        <v>5000000000</v>
      </c>
      <c r="E46" t="s">
        <v>569</v>
      </c>
      <c r="G46" s="203" t="str">
        <f>VLOOKUP(A46,'Инвест политика'!$A$24:$H$128,8,FALSE)</f>
        <v>BB-</v>
      </c>
      <c r="H46" s="204">
        <f t="shared" si="0"/>
        <v>4</v>
      </c>
    </row>
    <row r="47" spans="1:8" x14ac:dyDescent="0.25">
      <c r="A47" s="202" t="s">
        <v>529</v>
      </c>
      <c r="B47" t="s">
        <v>585</v>
      </c>
      <c r="C47">
        <v>0</v>
      </c>
      <c r="D47">
        <v>4000000000</v>
      </c>
      <c r="E47" t="s">
        <v>569</v>
      </c>
      <c r="G47" s="203" t="str">
        <f>VLOOKUP(A47,'Инвест политика'!$A$24:$H$128,8,FALSE)</f>
        <v>BB</v>
      </c>
      <c r="H47" s="204">
        <f t="shared" si="0"/>
        <v>4</v>
      </c>
    </row>
    <row r="48" spans="1:8" x14ac:dyDescent="0.25">
      <c r="A48" s="202" t="s">
        <v>169</v>
      </c>
      <c r="B48" t="s">
        <v>586</v>
      </c>
      <c r="C48">
        <v>1.804</v>
      </c>
      <c r="D48">
        <v>4000000000</v>
      </c>
      <c r="E48" t="s">
        <v>569</v>
      </c>
      <c r="F48">
        <v>8</v>
      </c>
      <c r="G48" s="203" t="str">
        <f>VLOOKUP(A48,'Инвест политика'!$A$24:$H$128,8,FALSE)</f>
        <v>BB+</v>
      </c>
      <c r="H48" s="204">
        <f t="shared" si="0"/>
        <v>1</v>
      </c>
    </row>
    <row r="49" spans="1:8" x14ac:dyDescent="0.25">
      <c r="A49" s="202" t="s">
        <v>170</v>
      </c>
      <c r="B49" t="s">
        <v>587</v>
      </c>
      <c r="C49">
        <v>0.156</v>
      </c>
      <c r="D49">
        <v>15000000000</v>
      </c>
      <c r="E49" t="s">
        <v>569</v>
      </c>
      <c r="F49">
        <v>9</v>
      </c>
      <c r="G49" s="203" t="str">
        <f>VLOOKUP(A49,'Инвест политика'!$A$24:$H$128,8,FALSE)</f>
        <v>BB+</v>
      </c>
      <c r="H49" s="204">
        <f t="shared" si="0"/>
        <v>1</v>
      </c>
    </row>
    <row r="50" spans="1:8" x14ac:dyDescent="0.25">
      <c r="A50" s="202" t="s">
        <v>171</v>
      </c>
      <c r="B50" t="s">
        <v>570</v>
      </c>
      <c r="C50">
        <v>8.7270000000000003</v>
      </c>
      <c r="D50">
        <v>185836990</v>
      </c>
      <c r="E50" t="s">
        <v>569</v>
      </c>
      <c r="G50" s="203" t="str">
        <f>VLOOKUP(A50,'Инвест политика'!$A$24:$H$128,8,FALSE)</f>
        <v>BBB-</v>
      </c>
      <c r="H50" s="204">
        <f t="shared" si="0"/>
        <v>4</v>
      </c>
    </row>
    <row r="51" spans="1:8" x14ac:dyDescent="0.25">
      <c r="A51" s="202" t="s">
        <v>172</v>
      </c>
      <c r="B51" t="s">
        <v>572</v>
      </c>
      <c r="C51">
        <v>4.1340000000000003</v>
      </c>
      <c r="D51">
        <v>5000000000</v>
      </c>
      <c r="E51" t="s">
        <v>569</v>
      </c>
      <c r="F51">
        <v>7</v>
      </c>
      <c r="G51" s="203" t="str">
        <f>VLOOKUP(A51,'Инвест политика'!$A$24:$H$128,8,FALSE)</f>
        <v>BB+</v>
      </c>
      <c r="H51" s="204">
        <f t="shared" si="0"/>
        <v>2</v>
      </c>
    </row>
    <row r="52" spans="1:8" x14ac:dyDescent="0.25">
      <c r="A52" s="202" t="s">
        <v>173</v>
      </c>
      <c r="B52" t="s">
        <v>588</v>
      </c>
      <c r="C52">
        <v>8.7959999999999994</v>
      </c>
      <c r="D52">
        <v>10000000000</v>
      </c>
      <c r="E52" t="s">
        <v>569</v>
      </c>
      <c r="F52">
        <v>8</v>
      </c>
      <c r="G52" s="203" t="str">
        <f>VLOOKUP(A52,'Инвест политика'!$A$24:$H$128,8,FALSE)</f>
        <v>BB+</v>
      </c>
      <c r="H52" s="204">
        <f t="shared" si="0"/>
        <v>1</v>
      </c>
    </row>
    <row r="53" spans="1:8" x14ac:dyDescent="0.25">
      <c r="A53" s="202" t="s">
        <v>515</v>
      </c>
      <c r="B53" t="s">
        <v>589</v>
      </c>
      <c r="C53">
        <v>8.7050000000000001</v>
      </c>
      <c r="D53">
        <v>10000000000</v>
      </c>
      <c r="E53" t="s">
        <v>569</v>
      </c>
      <c r="F53">
        <v>9</v>
      </c>
      <c r="G53" s="203" t="str">
        <f>VLOOKUP(A53,'Инвест политика'!$A$24:$H$128,8,FALSE)</f>
        <v>BB+</v>
      </c>
      <c r="H53" s="204">
        <f t="shared" si="0"/>
        <v>1</v>
      </c>
    </row>
    <row r="54" spans="1:8" x14ac:dyDescent="0.25">
      <c r="A54" s="202" t="s">
        <v>174</v>
      </c>
      <c r="B54" t="s">
        <v>573</v>
      </c>
      <c r="C54">
        <v>1.141</v>
      </c>
      <c r="D54">
        <v>5000000000</v>
      </c>
      <c r="E54" t="s">
        <v>569</v>
      </c>
      <c r="F54">
        <v>9</v>
      </c>
      <c r="G54" s="203" t="str">
        <f>VLOOKUP(A54,'Инвест политика'!$A$24:$H$128,8,FALSE)</f>
        <v>BB-</v>
      </c>
      <c r="H54" s="204">
        <f t="shared" si="0"/>
        <v>2</v>
      </c>
    </row>
    <row r="55" spans="1:8" x14ac:dyDescent="0.25">
      <c r="A55" s="202" t="s">
        <v>175</v>
      </c>
      <c r="B55" t="s">
        <v>590</v>
      </c>
      <c r="C55">
        <v>0.17300000000000001</v>
      </c>
      <c r="D55">
        <v>1063724585</v>
      </c>
      <c r="E55" t="s">
        <v>569</v>
      </c>
      <c r="F55">
        <v>9</v>
      </c>
      <c r="G55" s="203" t="str">
        <f>VLOOKUP(A55,'Инвест политика'!$A$24:$H$128,8,FALSE)</f>
        <v>B+</v>
      </c>
      <c r="H55" s="204">
        <f t="shared" si="0"/>
        <v>2</v>
      </c>
    </row>
    <row r="56" spans="1:8" x14ac:dyDescent="0.25">
      <c r="A56" s="202" t="s">
        <v>176</v>
      </c>
      <c r="B56" t="s">
        <v>591</v>
      </c>
      <c r="C56">
        <v>8.1560000000000006</v>
      </c>
      <c r="D56">
        <v>10000000000</v>
      </c>
      <c r="E56" t="s">
        <v>569</v>
      </c>
      <c r="F56">
        <v>9</v>
      </c>
      <c r="G56" s="203" t="str">
        <f>VLOOKUP(A56,'Инвест политика'!$A$24:$H$128,8,FALSE)</f>
        <v>BB+</v>
      </c>
      <c r="H56" s="204">
        <f t="shared" si="0"/>
        <v>1</v>
      </c>
    </row>
    <row r="57" spans="1:8" x14ac:dyDescent="0.25">
      <c r="A57" s="202" t="s">
        <v>177</v>
      </c>
      <c r="B57" t="s">
        <v>592</v>
      </c>
      <c r="C57">
        <v>0.41600000000000004</v>
      </c>
      <c r="D57">
        <v>6000000000</v>
      </c>
      <c r="E57" t="s">
        <v>569</v>
      </c>
      <c r="F57">
        <v>9</v>
      </c>
      <c r="G57" s="203" t="str">
        <f>VLOOKUP(A57,'Инвест политика'!$A$24:$H$128,8,FALSE)</f>
        <v>BB-</v>
      </c>
      <c r="H57" s="204">
        <f t="shared" si="0"/>
        <v>2</v>
      </c>
    </row>
    <row r="58" spans="1:8" x14ac:dyDescent="0.25">
      <c r="A58" s="202" t="s">
        <v>178</v>
      </c>
      <c r="B58" t="s">
        <v>574</v>
      </c>
      <c r="C58">
        <v>4.8600000000000003</v>
      </c>
      <c r="D58">
        <v>6500000000</v>
      </c>
      <c r="E58" t="s">
        <v>569</v>
      </c>
      <c r="F58">
        <v>9</v>
      </c>
      <c r="G58" s="203" t="str">
        <f>VLOOKUP(A58,'Инвест политика'!$A$24:$H$128,8,FALSE)</f>
        <v>BB-</v>
      </c>
      <c r="H58" s="204">
        <f t="shared" si="0"/>
        <v>2</v>
      </c>
    </row>
    <row r="59" spans="1:8" x14ac:dyDescent="0.25">
      <c r="A59" s="202" t="s">
        <v>179</v>
      </c>
      <c r="B59" t="s">
        <v>593</v>
      </c>
      <c r="C59">
        <v>2.3810000000000002</v>
      </c>
      <c r="D59">
        <v>5000000000</v>
      </c>
      <c r="E59" t="s">
        <v>569</v>
      </c>
      <c r="F59">
        <v>8</v>
      </c>
      <c r="G59" s="203" t="str">
        <f>VLOOKUP(A59,'Инвест политика'!$A$24:$H$128,8,FALSE)</f>
        <v>BB+</v>
      </c>
      <c r="H59" s="204">
        <f t="shared" si="0"/>
        <v>1</v>
      </c>
    </row>
    <row r="60" spans="1:8" x14ac:dyDescent="0.25">
      <c r="A60" s="202" t="s">
        <v>180</v>
      </c>
      <c r="B60" t="s">
        <v>594</v>
      </c>
      <c r="C60">
        <v>0.498</v>
      </c>
      <c r="D60">
        <v>7000000000</v>
      </c>
      <c r="E60" t="s">
        <v>569</v>
      </c>
      <c r="F60">
        <v>8</v>
      </c>
      <c r="G60" s="203" t="str">
        <f>VLOOKUP(A60,'Инвест политика'!$A$24:$H$128,8,FALSE)</f>
        <v>BB+</v>
      </c>
      <c r="H60" s="204">
        <f t="shared" si="0"/>
        <v>1</v>
      </c>
    </row>
    <row r="61" spans="1:8" x14ac:dyDescent="0.25">
      <c r="A61" s="202" t="s">
        <v>181</v>
      </c>
      <c r="B61" t="s">
        <v>595</v>
      </c>
      <c r="C61">
        <v>1.5580000000000001</v>
      </c>
      <c r="D61">
        <v>9000000000</v>
      </c>
      <c r="E61" t="s">
        <v>569</v>
      </c>
      <c r="F61">
        <v>7</v>
      </c>
      <c r="G61" s="203" t="str">
        <f>VLOOKUP(A61,'Инвест политика'!$A$24:$H$128,8,FALSE)</f>
        <v>BBB</v>
      </c>
      <c r="H61" s="204">
        <f t="shared" si="0"/>
        <v>3</v>
      </c>
    </row>
    <row r="62" spans="1:8" x14ac:dyDescent="0.25">
      <c r="A62" s="202" t="s">
        <v>182</v>
      </c>
      <c r="B62" t="s">
        <v>596</v>
      </c>
      <c r="C62">
        <v>1.167</v>
      </c>
      <c r="D62">
        <v>10000000000</v>
      </c>
      <c r="E62" t="s">
        <v>569</v>
      </c>
      <c r="F62">
        <v>8</v>
      </c>
      <c r="G62" s="203" t="str">
        <f>VLOOKUP(A62,'Инвест политика'!$A$24:$H$128,8,FALSE)</f>
        <v>BB+</v>
      </c>
      <c r="H62" s="204">
        <f t="shared" si="0"/>
        <v>1</v>
      </c>
    </row>
    <row r="63" spans="1:8" x14ac:dyDescent="0.25">
      <c r="A63" s="202" t="s">
        <v>183</v>
      </c>
      <c r="B63" t="s">
        <v>597</v>
      </c>
      <c r="C63">
        <v>6.3330000000000002</v>
      </c>
      <c r="D63">
        <v>7000000000</v>
      </c>
      <c r="E63" t="s">
        <v>569</v>
      </c>
      <c r="F63">
        <v>7</v>
      </c>
      <c r="G63" s="203" t="str">
        <f>VLOOKUP(A63,'Инвест политика'!$A$24:$H$128,8,FALSE)</f>
        <v>BBB-</v>
      </c>
      <c r="H63" s="204">
        <f t="shared" si="0"/>
        <v>2</v>
      </c>
    </row>
    <row r="64" spans="1:8" x14ac:dyDescent="0.25">
      <c r="A64" s="202" t="s">
        <v>517</v>
      </c>
      <c r="B64" t="s">
        <v>598</v>
      </c>
      <c r="C64">
        <v>0</v>
      </c>
      <c r="D64">
        <v>13400000000</v>
      </c>
      <c r="E64" t="s">
        <v>569</v>
      </c>
      <c r="F64">
        <v>8</v>
      </c>
      <c r="G64" s="203" t="str">
        <f>VLOOKUP(A64,'Инвест политика'!$A$24:$H$128,8,FALSE)</f>
        <v>BBB</v>
      </c>
      <c r="H64" s="204">
        <f t="shared" si="0"/>
        <v>2</v>
      </c>
    </row>
    <row r="65" spans="1:8" x14ac:dyDescent="0.25">
      <c r="A65" s="202" t="s">
        <v>184</v>
      </c>
      <c r="B65" t="s">
        <v>576</v>
      </c>
      <c r="C65">
        <v>1.3880000000000001</v>
      </c>
      <c r="D65">
        <v>20000000000</v>
      </c>
      <c r="E65" t="s">
        <v>569</v>
      </c>
      <c r="F65">
        <v>9</v>
      </c>
      <c r="G65" s="203" t="str">
        <f>VLOOKUP(A65,'Инвест политика'!$A$24:$H$128,8,FALSE)</f>
        <v>BB+</v>
      </c>
      <c r="H65" s="204">
        <f t="shared" si="0"/>
        <v>1</v>
      </c>
    </row>
    <row r="66" spans="1:8" x14ac:dyDescent="0.25">
      <c r="A66" s="202" t="s">
        <v>519</v>
      </c>
      <c r="B66" t="s">
        <v>599</v>
      </c>
      <c r="C66">
        <v>1.847</v>
      </c>
      <c r="D66">
        <v>10000000000</v>
      </c>
      <c r="E66" t="s">
        <v>569</v>
      </c>
      <c r="F66">
        <v>8</v>
      </c>
      <c r="G66" s="203" t="str">
        <f>VLOOKUP(A66,'Инвест политика'!$A$24:$H$128,8,FALSE)</f>
        <v>BB-</v>
      </c>
      <c r="H66" s="204">
        <f t="shared" si="0"/>
        <v>2</v>
      </c>
    </row>
    <row r="67" spans="1:8" x14ac:dyDescent="0.25">
      <c r="A67" s="202" t="s">
        <v>185</v>
      </c>
      <c r="B67" t="s">
        <v>600</v>
      </c>
      <c r="C67">
        <v>1.796</v>
      </c>
      <c r="D67">
        <v>15000000000</v>
      </c>
      <c r="E67" t="s">
        <v>569</v>
      </c>
      <c r="F67">
        <v>9</v>
      </c>
      <c r="G67" s="203" t="str">
        <f>VLOOKUP(A67,'Инвест политика'!$A$24:$H$128,8,FALSE)</f>
        <v>BBB</v>
      </c>
      <c r="H67" s="204">
        <f t="shared" si="0"/>
        <v>1</v>
      </c>
    </row>
    <row r="68" spans="1:8" x14ac:dyDescent="0.25">
      <c r="A68" s="202" t="s">
        <v>521</v>
      </c>
      <c r="B68" t="s">
        <v>601</v>
      </c>
      <c r="C68">
        <v>2.8660000000000001</v>
      </c>
      <c r="D68">
        <v>6500000000</v>
      </c>
      <c r="E68" t="s">
        <v>569</v>
      </c>
      <c r="F68">
        <v>8</v>
      </c>
      <c r="G68" s="203" t="str">
        <f>VLOOKUP(A68,'Инвест политика'!$A$24:$H$128,8,FALSE)</f>
        <v>BBB</v>
      </c>
      <c r="H68" s="204">
        <f t="shared" ref="H68:H83" si="1">Эшелонирование(F68,G68,C68)</f>
        <v>1</v>
      </c>
    </row>
    <row r="69" spans="1:8" x14ac:dyDescent="0.25">
      <c r="A69" s="202" t="s">
        <v>186</v>
      </c>
      <c r="B69" t="s">
        <v>602</v>
      </c>
      <c r="C69">
        <v>1.4139999999999999</v>
      </c>
      <c r="D69">
        <v>10000000000</v>
      </c>
      <c r="E69" t="s">
        <v>569</v>
      </c>
      <c r="F69">
        <v>8</v>
      </c>
      <c r="G69" s="203" t="str">
        <f>VLOOKUP(A69,'Инвест политика'!$A$24:$H$128,8,FALSE)</f>
        <v>BB+</v>
      </c>
      <c r="H69" s="204">
        <f t="shared" si="1"/>
        <v>1</v>
      </c>
    </row>
    <row r="70" spans="1:8" x14ac:dyDescent="0.25">
      <c r="A70" s="202" t="s">
        <v>187</v>
      </c>
      <c r="B70" t="s">
        <v>580</v>
      </c>
      <c r="C70">
        <v>2.1379999999999999</v>
      </c>
      <c r="D70">
        <v>7000000000</v>
      </c>
      <c r="E70" t="s">
        <v>569</v>
      </c>
      <c r="F70">
        <v>7</v>
      </c>
      <c r="G70" s="203" t="str">
        <f>VLOOKUP(A70,'Инвест политика'!$A$24:$H$128,8,FALSE)</f>
        <v>A-</v>
      </c>
      <c r="H70" s="204">
        <f t="shared" si="1"/>
        <v>3</v>
      </c>
    </row>
    <row r="71" spans="1:8" x14ac:dyDescent="0.25">
      <c r="A71" s="202" t="s">
        <v>523</v>
      </c>
      <c r="B71" t="s">
        <v>603</v>
      </c>
      <c r="C71">
        <v>7.0170000000000003</v>
      </c>
      <c r="D71">
        <v>10000000000</v>
      </c>
      <c r="E71" t="s">
        <v>569</v>
      </c>
      <c r="F71">
        <v>8</v>
      </c>
      <c r="G71" s="203" t="str">
        <f>VLOOKUP(A71,'Инвест политика'!$A$24:$H$128,8,FALSE)</f>
        <v>B+</v>
      </c>
      <c r="H71" s="204">
        <f t="shared" si="1"/>
        <v>2</v>
      </c>
    </row>
    <row r="72" spans="1:8" x14ac:dyDescent="0.25">
      <c r="A72" s="202" t="s">
        <v>188</v>
      </c>
      <c r="B72" t="s">
        <v>581</v>
      </c>
      <c r="C72">
        <v>0.876</v>
      </c>
      <c r="D72">
        <v>2100000000</v>
      </c>
      <c r="E72" t="s">
        <v>569</v>
      </c>
      <c r="F72">
        <v>8</v>
      </c>
      <c r="G72" s="203" t="str">
        <f>VLOOKUP(A72,'Инвест политика'!$A$24:$H$128,8,FALSE)</f>
        <v>BB+</v>
      </c>
      <c r="H72" s="204">
        <f t="shared" si="1"/>
        <v>1</v>
      </c>
    </row>
    <row r="73" spans="1:8" x14ac:dyDescent="0.25">
      <c r="A73" s="202" t="s">
        <v>189</v>
      </c>
      <c r="B73" t="s">
        <v>604</v>
      </c>
      <c r="C73">
        <v>1.35</v>
      </c>
      <c r="D73">
        <v>20000000000</v>
      </c>
      <c r="E73" t="s">
        <v>569</v>
      </c>
      <c r="F73">
        <v>10</v>
      </c>
      <c r="G73" s="203" t="str">
        <f>VLOOKUP(A73,'Инвест политика'!$A$24:$H$128,8,FALSE)</f>
        <v>BBB-</v>
      </c>
      <c r="H73" s="204">
        <f t="shared" si="1"/>
        <v>1</v>
      </c>
    </row>
    <row r="74" spans="1:8" x14ac:dyDescent="0.25">
      <c r="A74" s="202" t="s">
        <v>363</v>
      </c>
      <c r="B74" t="s">
        <v>605</v>
      </c>
      <c r="C74">
        <v>1.831</v>
      </c>
      <c r="D74">
        <v>5000000000</v>
      </c>
      <c r="E74" t="s">
        <v>569</v>
      </c>
      <c r="F74">
        <v>7</v>
      </c>
      <c r="G74" s="203" t="str">
        <f>VLOOKUP(A74,'Инвест политика'!$A$24:$H$128,8,FALSE)</f>
        <v>BB+</v>
      </c>
      <c r="H74" s="204">
        <f t="shared" si="1"/>
        <v>2</v>
      </c>
    </row>
    <row r="75" spans="1:8" x14ac:dyDescent="0.25">
      <c r="A75" s="202" t="s">
        <v>525</v>
      </c>
      <c r="B75" t="s">
        <v>605</v>
      </c>
      <c r="C75">
        <v>1.831</v>
      </c>
      <c r="D75">
        <v>5000000000</v>
      </c>
      <c r="E75" t="s">
        <v>569</v>
      </c>
      <c r="F75">
        <v>8</v>
      </c>
      <c r="G75" s="203" t="str">
        <f>VLOOKUP(A75,'Инвест политика'!$A$24:$H$128,8,FALSE)</f>
        <v>BB+</v>
      </c>
      <c r="H75" s="204">
        <f t="shared" si="1"/>
        <v>1</v>
      </c>
    </row>
    <row r="76" spans="1:8" x14ac:dyDescent="0.25">
      <c r="A76" s="202" t="s">
        <v>497</v>
      </c>
      <c r="B76" t="s">
        <v>606</v>
      </c>
      <c r="C76">
        <v>6.4210000000000003</v>
      </c>
      <c r="D76">
        <v>276950000000</v>
      </c>
      <c r="E76" t="s">
        <v>569</v>
      </c>
      <c r="F76">
        <v>9</v>
      </c>
      <c r="G76" s="203" t="str">
        <f>VLOOKUP(A76,'Инвест политика'!$A$24:$H$128,8,FALSE)</f>
        <v>BBB-</v>
      </c>
      <c r="H76" s="204">
        <f t="shared" si="1"/>
        <v>1</v>
      </c>
    </row>
    <row r="77" spans="1:8" x14ac:dyDescent="0.25">
      <c r="A77" s="202" t="s">
        <v>498</v>
      </c>
      <c r="B77" t="s">
        <v>608</v>
      </c>
      <c r="C77">
        <v>3.15</v>
      </c>
      <c r="D77">
        <v>400000000000</v>
      </c>
      <c r="E77" t="s">
        <v>569</v>
      </c>
      <c r="F77">
        <v>8</v>
      </c>
      <c r="G77" s="203" t="str">
        <f>VLOOKUP(A77,'Инвест политика'!$A$24:$H$128,8,FALSE)</f>
        <v>BBB-</v>
      </c>
      <c r="H77" s="204">
        <f t="shared" si="1"/>
        <v>1</v>
      </c>
    </row>
    <row r="78" spans="1:8" x14ac:dyDescent="0.25">
      <c r="A78" s="202" t="s">
        <v>499</v>
      </c>
      <c r="B78" t="s">
        <v>609</v>
      </c>
      <c r="C78">
        <v>4.1360000000000001</v>
      </c>
      <c r="D78">
        <v>450000000000</v>
      </c>
      <c r="E78" t="s">
        <v>569</v>
      </c>
      <c r="F78">
        <v>9</v>
      </c>
      <c r="G78" s="203" t="str">
        <f>VLOOKUP(A78,'Инвест политика'!$A$24:$H$128,8,FALSE)</f>
        <v>BBB-</v>
      </c>
      <c r="H78" s="204">
        <f t="shared" si="1"/>
        <v>1</v>
      </c>
    </row>
    <row r="79" spans="1:8" x14ac:dyDescent="0.25">
      <c r="A79" s="202" t="s">
        <v>500</v>
      </c>
      <c r="B79" t="s">
        <v>610</v>
      </c>
      <c r="C79">
        <v>5.5430000000000001</v>
      </c>
      <c r="D79">
        <v>450000000000</v>
      </c>
      <c r="E79" t="s">
        <v>569</v>
      </c>
      <c r="F79">
        <v>9</v>
      </c>
      <c r="G79" s="203" t="str">
        <f>VLOOKUP(A79,'Инвест политика'!$A$24:$H$128,8,FALSE)</f>
        <v>BBB-</v>
      </c>
      <c r="H79" s="204">
        <f t="shared" si="1"/>
        <v>1</v>
      </c>
    </row>
    <row r="80" spans="1:8" x14ac:dyDescent="0.25">
      <c r="A80" s="202" t="s">
        <v>501</v>
      </c>
      <c r="B80" t="s">
        <v>611</v>
      </c>
      <c r="C80">
        <v>4.8100000000000005</v>
      </c>
      <c r="D80">
        <v>350000000000</v>
      </c>
      <c r="E80" t="s">
        <v>569</v>
      </c>
      <c r="F80">
        <v>10</v>
      </c>
      <c r="G80" s="203" t="str">
        <f>VLOOKUP(A80,'Инвест политика'!$A$24:$H$128,8,FALSE)</f>
        <v>BBB-</v>
      </c>
      <c r="H80" s="204">
        <f t="shared" si="1"/>
        <v>1</v>
      </c>
    </row>
    <row r="81" spans="1:8" x14ac:dyDescent="0.25">
      <c r="A81" s="202" t="s">
        <v>502</v>
      </c>
      <c r="B81" t="s">
        <v>612</v>
      </c>
      <c r="C81">
        <v>4.633</v>
      </c>
      <c r="D81">
        <v>350000000000</v>
      </c>
      <c r="E81" t="s">
        <v>569</v>
      </c>
      <c r="F81">
        <v>10</v>
      </c>
      <c r="G81" s="203" t="str">
        <f>VLOOKUP(A81,'Инвест политика'!$A$24:$H$128,8,FALSE)</f>
        <v>BBB-</v>
      </c>
      <c r="H81" s="204">
        <f t="shared" si="1"/>
        <v>1</v>
      </c>
    </row>
    <row r="82" spans="1:8" x14ac:dyDescent="0.25">
      <c r="A82" s="202" t="s">
        <v>490</v>
      </c>
      <c r="B82" t="s">
        <v>613</v>
      </c>
      <c r="C82">
        <v>5.1820000000000004</v>
      </c>
      <c r="D82">
        <v>190287001000</v>
      </c>
      <c r="E82" t="s">
        <v>569</v>
      </c>
      <c r="F82">
        <v>9</v>
      </c>
      <c r="G82" s="203" t="str">
        <f>VLOOKUP(A82,'Инвест политика'!$A$24:$H$128,8,FALSE)</f>
        <v>BBB-</v>
      </c>
      <c r="H82" s="204">
        <f t="shared" si="1"/>
        <v>1</v>
      </c>
    </row>
    <row r="83" spans="1:8" x14ac:dyDescent="0.25">
      <c r="A83" s="202" t="s">
        <v>506</v>
      </c>
      <c r="B83" t="s">
        <v>614</v>
      </c>
      <c r="C83">
        <v>10.704000000000001</v>
      </c>
      <c r="D83">
        <v>1250000000</v>
      </c>
      <c r="E83" t="s">
        <v>540</v>
      </c>
      <c r="F83">
        <v>8</v>
      </c>
      <c r="G83" s="203" t="str">
        <f>VLOOKUP(A83,'Инвест политика'!$A$24:$H$128,8,FALSE)</f>
        <v>BBB-</v>
      </c>
      <c r="H83" s="204">
        <f t="shared" si="1"/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topLeftCell="A17" workbookViewId="0">
      <selection activeCell="P11" sqref="P11:P21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622</v>
      </c>
    </row>
    <row r="2" spans="1:19" ht="15.75" thickBot="1" x14ac:dyDescent="0.3">
      <c r="A2" s="236" t="s">
        <v>51</v>
      </c>
      <c r="B2" s="237"/>
      <c r="C2" s="237"/>
      <c r="D2" s="237"/>
      <c r="E2" s="238"/>
      <c r="H2" s="236" t="s">
        <v>58</v>
      </c>
      <c r="I2" s="237"/>
      <c r="J2" s="237"/>
      <c r="K2" s="237"/>
      <c r="L2" s="238"/>
    </row>
    <row r="3" spans="1:19" x14ac:dyDescent="0.25">
      <c r="A3" s="233" t="s">
        <v>621</v>
      </c>
      <c r="B3" s="233"/>
      <c r="C3" s="233"/>
      <c r="D3" s="233"/>
      <c r="E3" s="233"/>
    </row>
    <row r="4" spans="1:19" ht="25.5" x14ac:dyDescent="0.25">
      <c r="A4" s="37" t="s">
        <v>53</v>
      </c>
      <c r="B4" s="37" t="s">
        <v>616</v>
      </c>
      <c r="C4" s="37" t="s">
        <v>114</v>
      </c>
      <c r="D4" s="41" t="s">
        <v>512</v>
      </c>
      <c r="E4" s="96" t="s">
        <v>266</v>
      </c>
    </row>
    <row r="5" spans="1:19" x14ac:dyDescent="0.25">
      <c r="A5" s="5"/>
      <c r="B5" s="5"/>
      <c r="C5" s="5"/>
      <c r="D5" s="38">
        <v>50993834374.379997</v>
      </c>
      <c r="E5" s="128" t="s">
        <v>86</v>
      </c>
    </row>
    <row r="8" spans="1:19" x14ac:dyDescent="0.25">
      <c r="A8" s="235" t="s">
        <v>618</v>
      </c>
      <c r="B8" s="235"/>
      <c r="C8" s="235"/>
      <c r="D8" s="235"/>
      <c r="E8" s="235"/>
      <c r="F8" s="235"/>
      <c r="G8" s="235"/>
      <c r="H8" s="235"/>
      <c r="I8" s="235"/>
      <c r="J8" s="235"/>
      <c r="K8" s="235"/>
      <c r="L8" s="235"/>
    </row>
    <row r="9" spans="1:19" x14ac:dyDescent="0.25">
      <c r="A9" s="233" t="s">
        <v>619</v>
      </c>
      <c r="B9" s="233"/>
      <c r="C9" s="233"/>
      <c r="D9" s="233"/>
      <c r="E9" s="233"/>
      <c r="H9" s="233" t="s">
        <v>619</v>
      </c>
      <c r="I9" s="233"/>
      <c r="J9" s="233"/>
      <c r="K9" s="233"/>
      <c r="L9" s="233"/>
      <c r="O9" s="233" t="s">
        <v>617</v>
      </c>
      <c r="P9" s="233"/>
      <c r="Q9" s="233"/>
      <c r="R9" s="233"/>
      <c r="S9" s="233"/>
    </row>
    <row r="10" spans="1:19" ht="25.5" x14ac:dyDescent="0.25">
      <c r="A10" s="37" t="s">
        <v>53</v>
      </c>
      <c r="B10" s="37" t="s">
        <v>616</v>
      </c>
      <c r="C10" s="37" t="s">
        <v>114</v>
      </c>
      <c r="D10" s="41" t="s">
        <v>512</v>
      </c>
      <c r="E10" s="96" t="s">
        <v>266</v>
      </c>
      <c r="H10" s="37" t="s">
        <v>53</v>
      </c>
      <c r="I10" s="37" t="s">
        <v>616</v>
      </c>
      <c r="J10" s="37" t="s">
        <v>114</v>
      </c>
      <c r="K10" s="41" t="s">
        <v>512</v>
      </c>
      <c r="L10" s="96" t="s">
        <v>266</v>
      </c>
      <c r="O10" s="234" t="s">
        <v>51</v>
      </c>
      <c r="P10" s="234"/>
      <c r="Q10" s="36"/>
      <c r="R10" s="234" t="s">
        <v>58</v>
      </c>
      <c r="S10" s="234"/>
    </row>
    <row r="11" spans="1:19" x14ac:dyDescent="0.25">
      <c r="A11" s="37" t="s">
        <v>51</v>
      </c>
      <c r="B11" s="37" t="s">
        <v>350</v>
      </c>
      <c r="C11" s="37" t="s">
        <v>264</v>
      </c>
      <c r="D11" s="38">
        <v>781580126.70000005</v>
      </c>
      <c r="E11" s="128" t="s">
        <v>86</v>
      </c>
      <c r="H11" s="5"/>
      <c r="I11" s="5"/>
      <c r="J11" s="5"/>
      <c r="K11" s="5"/>
      <c r="L11" s="5"/>
      <c r="O11" s="181" t="s">
        <v>80</v>
      </c>
      <c r="P11" s="163">
        <f>SUMIF($E$23:$E$88,O11,$D$23:D$88)</f>
        <v>1310582000</v>
      </c>
      <c r="Q11" s="36"/>
      <c r="R11" s="181" t="s">
        <v>80</v>
      </c>
      <c r="S11" s="163">
        <f>SUMIF($L$23:L$39,R11,$K$23:$K$39)</f>
        <v>0</v>
      </c>
    </row>
    <row r="12" spans="1:19" x14ac:dyDescent="0.25">
      <c r="A12" s="207"/>
      <c r="B12" s="207"/>
      <c r="C12" s="207"/>
      <c r="D12" s="208"/>
      <c r="E12" s="205"/>
      <c r="O12" s="162" t="s">
        <v>82</v>
      </c>
      <c r="P12" s="163">
        <f>SUMIF($E$23:$E$88,O12,$D$23:D$88)</f>
        <v>0</v>
      </c>
      <c r="Q12" s="36"/>
      <c r="R12" s="162" t="s">
        <v>82</v>
      </c>
      <c r="S12" s="163">
        <f>SUMIF($L$23:L$39,R12,$K$23:$K$39)</f>
        <v>0</v>
      </c>
    </row>
    <row r="13" spans="1:19" x14ac:dyDescent="0.25">
      <c r="O13" s="162" t="s">
        <v>84</v>
      </c>
      <c r="P13" s="163">
        <f>SUMIF($E$23:$E$88,O13,$D$23:D$88)</f>
        <v>12137831012.210001</v>
      </c>
      <c r="Q13" s="36"/>
      <c r="R13" s="162" t="s">
        <v>84</v>
      </c>
      <c r="S13" s="163">
        <f>SUMIF($L$23:L$39,R13,$K$23:$K$39)</f>
        <v>0</v>
      </c>
    </row>
    <row r="14" spans="1:19" x14ac:dyDescent="0.25">
      <c r="A14" s="207"/>
      <c r="B14" s="207"/>
      <c r="C14" s="207"/>
      <c r="D14" s="208"/>
      <c r="E14" s="205"/>
      <c r="O14" s="162" t="s">
        <v>86</v>
      </c>
      <c r="P14" s="163">
        <f>SUMIF($E$23:$E$88,O14,$D$23:D$88)</f>
        <v>17427409425.23</v>
      </c>
      <c r="Q14" s="36"/>
      <c r="R14" s="162" t="s">
        <v>86</v>
      </c>
      <c r="S14" s="163">
        <f>SUMIF($L$23:L$39,R14,$K$23:$K$39)</f>
        <v>0</v>
      </c>
    </row>
    <row r="15" spans="1:19" x14ac:dyDescent="0.25">
      <c r="A15" s="233" t="s">
        <v>620</v>
      </c>
      <c r="B15" s="233"/>
      <c r="C15" s="233"/>
      <c r="D15" s="233"/>
      <c r="E15" s="233"/>
      <c r="H15" s="233" t="s">
        <v>620</v>
      </c>
      <c r="I15" s="233"/>
      <c r="J15" s="233"/>
      <c r="K15" s="233"/>
      <c r="L15" s="233"/>
      <c r="O15" s="181" t="s">
        <v>88</v>
      </c>
      <c r="P15" s="163">
        <f>SUMIF($E$23:$E$88,O15,$D$23:D$88)</f>
        <v>10398522379.940001</v>
      </c>
      <c r="Q15" s="36"/>
      <c r="R15" s="181" t="s">
        <v>88</v>
      </c>
      <c r="S15" s="163">
        <f>SUMIF($L$23:L$39,R15,$K$23:$K$39)</f>
        <v>787592966.83200002</v>
      </c>
    </row>
    <row r="16" spans="1:19" ht="25.5" x14ac:dyDescent="0.25">
      <c r="A16" s="37" t="s">
        <v>53</v>
      </c>
      <c r="B16" s="37" t="s">
        <v>616</v>
      </c>
      <c r="C16" s="37" t="s">
        <v>114</v>
      </c>
      <c r="D16" s="41" t="s">
        <v>512</v>
      </c>
      <c r="E16" s="96" t="s">
        <v>266</v>
      </c>
      <c r="H16" s="37" t="s">
        <v>53</v>
      </c>
      <c r="I16" s="37" t="s">
        <v>616</v>
      </c>
      <c r="J16" s="37" t="s">
        <v>114</v>
      </c>
      <c r="K16" s="41" t="s">
        <v>512</v>
      </c>
      <c r="L16" s="96" t="s">
        <v>266</v>
      </c>
      <c r="O16" s="182" t="s">
        <v>90</v>
      </c>
      <c r="P16" s="163">
        <f>SUMIF($E$23:$E$88,O16,$D$23:D$88)</f>
        <v>1974250373.6500001</v>
      </c>
      <c r="Q16" s="36"/>
      <c r="R16" s="182" t="s">
        <v>90</v>
      </c>
      <c r="S16" s="163">
        <f>SUMIF($L$23:L$39,R16,$K$23:$K$39)</f>
        <v>466000897.40849996</v>
      </c>
    </row>
    <row r="17" spans="1:21" x14ac:dyDescent="0.25">
      <c r="A17" s="5"/>
      <c r="B17" s="5"/>
      <c r="C17" s="5"/>
      <c r="D17" s="5"/>
      <c r="E17" s="5"/>
      <c r="H17" s="37"/>
      <c r="I17" s="37"/>
      <c r="J17" s="37"/>
      <c r="K17" s="38"/>
      <c r="L17" s="128"/>
      <c r="O17" s="182" t="s">
        <v>92</v>
      </c>
      <c r="P17" s="163">
        <f>SUMIF($E$23:$E$88,O17,$D$23:D$88)</f>
        <v>8297906719.750001</v>
      </c>
      <c r="Q17" s="36"/>
      <c r="R17" s="182" t="s">
        <v>92</v>
      </c>
      <c r="S17" s="163">
        <f>SUMIF($L$23:L$39,R17,$K$23:$K$39)</f>
        <v>1943724820.1430001</v>
      </c>
    </row>
    <row r="18" spans="1:21" x14ac:dyDescent="0.25">
      <c r="O18" s="181" t="s">
        <v>94</v>
      </c>
      <c r="P18" s="163">
        <f>SUMIF($E$23:$E$88,O18,$D$23:D$88)</f>
        <v>749352329.97000003</v>
      </c>
      <c r="Q18" s="36"/>
      <c r="R18" s="181" t="s">
        <v>94</v>
      </c>
      <c r="S18" s="163">
        <f>SUMIF($L$23:L$39,R18,$K$23:$K$39)</f>
        <v>0</v>
      </c>
    </row>
    <row r="19" spans="1:21" x14ac:dyDescent="0.25">
      <c r="O19" s="181" t="s">
        <v>96</v>
      </c>
      <c r="P19" s="163">
        <f>SUMIF($E$23:$E$88,O19,$D$23:D$88)</f>
        <v>423410014.21999997</v>
      </c>
      <c r="Q19" s="36"/>
      <c r="R19" s="181" t="s">
        <v>96</v>
      </c>
      <c r="S19" s="163">
        <f>SUMIF($L$23:L$39,R19,$K$23:$K$39)</f>
        <v>0</v>
      </c>
    </row>
    <row r="20" spans="1:21" x14ac:dyDescent="0.25">
      <c r="O20" s="181" t="s">
        <v>98</v>
      </c>
      <c r="P20" s="163">
        <f>SUMIF($E$23:$E$88,O20,$D$23:D$88)</f>
        <v>0</v>
      </c>
      <c r="Q20" s="36"/>
      <c r="R20" s="181" t="s">
        <v>98</v>
      </c>
      <c r="S20" s="163">
        <f>SUMIF($L$23:L$39,R20,$K$23:$K$39)</f>
        <v>0</v>
      </c>
    </row>
    <row r="21" spans="1:21" x14ac:dyDescent="0.25">
      <c r="A21" s="233" t="s">
        <v>617</v>
      </c>
      <c r="B21" s="233"/>
      <c r="C21" s="233"/>
      <c r="D21" s="233"/>
      <c r="E21" s="233"/>
      <c r="F21" s="95"/>
      <c r="G21" s="95"/>
      <c r="H21" s="233" t="s">
        <v>617</v>
      </c>
      <c r="I21" s="233"/>
      <c r="J21" s="233"/>
      <c r="K21" s="233"/>
      <c r="L21" s="233"/>
      <c r="M21" s="95"/>
      <c r="N21" s="36"/>
      <c r="O21" s="181" t="s">
        <v>129</v>
      </c>
      <c r="P21" s="163">
        <f>SUMIF($E$23:$E$88,O21,$D$23:D$88)</f>
        <v>0</v>
      </c>
      <c r="Q21" s="36"/>
      <c r="R21" s="181" t="s">
        <v>129</v>
      </c>
      <c r="S21" s="163">
        <f>SUMIF($L$23:L$39,R21,$K$23:$K$39)</f>
        <v>0</v>
      </c>
    </row>
    <row r="22" spans="1:21" ht="38.25" customHeight="1" x14ac:dyDescent="0.25">
      <c r="A22" s="37" t="s">
        <v>53</v>
      </c>
      <c r="B22" s="37" t="s">
        <v>616</v>
      </c>
      <c r="C22" s="37" t="s">
        <v>114</v>
      </c>
      <c r="D22" s="41" t="s">
        <v>512</v>
      </c>
      <c r="E22" s="96" t="s">
        <v>266</v>
      </c>
      <c r="F22" s="205"/>
      <c r="G22" s="205"/>
      <c r="H22" s="37" t="s">
        <v>53</v>
      </c>
      <c r="I22" s="37" t="s">
        <v>616</v>
      </c>
      <c r="J22" s="37" t="s">
        <v>114</v>
      </c>
      <c r="K22" s="41" t="s">
        <v>512</v>
      </c>
      <c r="L22" s="96" t="s">
        <v>266</v>
      </c>
      <c r="M22" s="205"/>
      <c r="N22" s="36"/>
      <c r="O22" s="181"/>
      <c r="P22" s="163">
        <f>SUM(P11:P21)</f>
        <v>52719264254.970009</v>
      </c>
      <c r="Q22" s="36"/>
      <c r="R22" s="181"/>
      <c r="S22" s="163">
        <f>SUM(S11:S21)</f>
        <v>3197318684.3835001</v>
      </c>
    </row>
    <row r="23" spans="1:21" x14ac:dyDescent="0.25">
      <c r="A23" s="37" t="s">
        <v>51</v>
      </c>
      <c r="B23" s="37" t="s">
        <v>345</v>
      </c>
      <c r="C23" s="37" t="s">
        <v>233</v>
      </c>
      <c r="D23" s="38">
        <v>76001062.579999998</v>
      </c>
      <c r="E23" s="128" t="s">
        <v>90</v>
      </c>
      <c r="F23" s="206"/>
      <c r="G23" s="206"/>
      <c r="H23" s="37" t="s">
        <v>232</v>
      </c>
      <c r="I23" s="37" t="s">
        <v>345</v>
      </c>
      <c r="J23" s="37" t="s">
        <v>237</v>
      </c>
      <c r="K23" s="38">
        <v>673449638.39999998</v>
      </c>
      <c r="L23" s="128" t="s">
        <v>92</v>
      </c>
      <c r="M23" s="206"/>
      <c r="N23" s="36"/>
      <c r="O23" s="167" t="s">
        <v>19</v>
      </c>
      <c r="P23" s="163"/>
      <c r="Q23" s="36"/>
      <c r="R23" s="167" t="s">
        <v>19</v>
      </c>
      <c r="S23" s="163"/>
    </row>
    <row r="24" spans="1:21" x14ac:dyDescent="0.25">
      <c r="A24" s="37" t="s">
        <v>51</v>
      </c>
      <c r="B24" s="37" t="s">
        <v>345</v>
      </c>
      <c r="C24" s="37" t="s">
        <v>234</v>
      </c>
      <c r="D24" s="38">
        <v>133779389.06</v>
      </c>
      <c r="E24" s="128" t="s">
        <v>88</v>
      </c>
      <c r="F24" s="206"/>
      <c r="G24" s="206"/>
      <c r="H24" s="37" t="s">
        <v>232</v>
      </c>
      <c r="I24" s="37" t="s">
        <v>345</v>
      </c>
      <c r="J24" s="37" t="s">
        <v>238</v>
      </c>
      <c r="K24" s="38">
        <v>881024857.20000005</v>
      </c>
      <c r="L24" s="128" t="s">
        <v>92</v>
      </c>
      <c r="M24" s="206"/>
      <c r="N24" s="36"/>
      <c r="O24" s="36"/>
      <c r="P24" s="36"/>
      <c r="Q24" s="36"/>
      <c r="R24" s="36"/>
      <c r="S24" s="36"/>
    </row>
    <row r="25" spans="1:21" x14ac:dyDescent="0.25">
      <c r="A25" s="37" t="s">
        <v>51</v>
      </c>
      <c r="B25" s="37" t="s">
        <v>345</v>
      </c>
      <c r="C25" s="37" t="s">
        <v>236</v>
      </c>
      <c r="D25" s="38">
        <v>337404318.69</v>
      </c>
      <c r="E25" s="128" t="s">
        <v>90</v>
      </c>
      <c r="F25" s="206"/>
      <c r="G25" s="206"/>
      <c r="H25" s="37" t="s">
        <v>232</v>
      </c>
      <c r="I25" s="37" t="s">
        <v>345</v>
      </c>
      <c r="J25" s="37" t="s">
        <v>238</v>
      </c>
      <c r="K25" s="38">
        <v>82518418.143000007</v>
      </c>
      <c r="L25" s="128" t="s">
        <v>92</v>
      </c>
      <c r="M25" s="206"/>
      <c r="N25" s="36"/>
      <c r="O25" s="36"/>
      <c r="P25" s="36"/>
      <c r="Q25" s="36"/>
      <c r="R25" s="36"/>
      <c r="S25" s="36"/>
    </row>
    <row r="26" spans="1:21" x14ac:dyDescent="0.25">
      <c r="A26" s="37" t="s">
        <v>51</v>
      </c>
      <c r="B26" s="37" t="s">
        <v>345</v>
      </c>
      <c r="C26" s="37" t="s">
        <v>237</v>
      </c>
      <c r="D26" s="38">
        <v>1949888390.8800001</v>
      </c>
      <c r="E26" s="128" t="s">
        <v>92</v>
      </c>
      <c r="F26" s="206"/>
      <c r="G26" s="206"/>
      <c r="H26" s="37" t="s">
        <v>232</v>
      </c>
      <c r="I26" s="37" t="s">
        <v>345</v>
      </c>
      <c r="J26" s="37" t="s">
        <v>245</v>
      </c>
      <c r="K26" s="38">
        <v>787592966.83200002</v>
      </c>
      <c r="L26" s="128" t="s">
        <v>88</v>
      </c>
      <c r="M26" s="206"/>
      <c r="N26" s="36"/>
      <c r="O26" s="36"/>
      <c r="P26" s="36"/>
      <c r="Q26" s="36"/>
      <c r="R26" s="36"/>
      <c r="S26" s="36"/>
    </row>
    <row r="27" spans="1:21" x14ac:dyDescent="0.25">
      <c r="A27" s="37" t="s">
        <v>51</v>
      </c>
      <c r="B27" s="37" t="s">
        <v>345</v>
      </c>
      <c r="C27" s="37" t="s">
        <v>238</v>
      </c>
      <c r="D27" s="38">
        <v>1565059560.9600005</v>
      </c>
      <c r="E27" s="128" t="s">
        <v>92</v>
      </c>
      <c r="F27" s="206"/>
      <c r="G27" s="206"/>
      <c r="H27" s="37" t="s">
        <v>232</v>
      </c>
      <c r="I27" s="37" t="s">
        <v>345</v>
      </c>
      <c r="J27" s="37" t="s">
        <v>238</v>
      </c>
      <c r="K27" s="38">
        <v>306731906.39999998</v>
      </c>
      <c r="L27" s="128" t="s">
        <v>92</v>
      </c>
      <c r="M27" s="206"/>
      <c r="N27" s="36"/>
      <c r="O27" s="36"/>
      <c r="P27" s="36"/>
      <c r="Q27" s="36"/>
      <c r="R27" s="36"/>
      <c r="S27" s="36"/>
      <c r="T27" s="36"/>
      <c r="U27" s="36"/>
    </row>
    <row r="28" spans="1:21" x14ac:dyDescent="0.25">
      <c r="A28" s="37" t="s">
        <v>51</v>
      </c>
      <c r="B28" s="37" t="s">
        <v>345</v>
      </c>
      <c r="C28" s="37" t="s">
        <v>239</v>
      </c>
      <c r="D28" s="38">
        <v>66237312.219999999</v>
      </c>
      <c r="E28" s="128" t="s">
        <v>94</v>
      </c>
      <c r="F28" s="206"/>
      <c r="G28" s="206"/>
      <c r="H28" s="37" t="s">
        <v>232</v>
      </c>
      <c r="I28" s="37" t="s">
        <v>345</v>
      </c>
      <c r="J28" s="37" t="s">
        <v>233</v>
      </c>
      <c r="K28" s="38">
        <v>117739396.87499999</v>
      </c>
      <c r="L28" s="128" t="s">
        <v>90</v>
      </c>
      <c r="M28" s="206"/>
      <c r="N28" s="36"/>
      <c r="O28" s="36"/>
      <c r="P28" s="36"/>
      <c r="Q28" s="36"/>
      <c r="R28" s="36"/>
      <c r="S28" s="36"/>
      <c r="T28" s="36"/>
      <c r="U28" s="36"/>
    </row>
    <row r="29" spans="1:21" x14ac:dyDescent="0.25">
      <c r="A29" s="37" t="s">
        <v>51</v>
      </c>
      <c r="B29" s="37" t="s">
        <v>345</v>
      </c>
      <c r="C29" s="37" t="s">
        <v>113</v>
      </c>
      <c r="D29" s="38">
        <v>233066091.22</v>
      </c>
      <c r="E29" s="128" t="s">
        <v>90</v>
      </c>
      <c r="F29" s="206"/>
      <c r="G29" s="206"/>
      <c r="H29" s="37" t="s">
        <v>232</v>
      </c>
      <c r="I29" s="37" t="s">
        <v>345</v>
      </c>
      <c r="J29" s="37" t="s">
        <v>233</v>
      </c>
      <c r="K29" s="38">
        <v>348261500.53349996</v>
      </c>
      <c r="L29" s="128" t="s">
        <v>90</v>
      </c>
      <c r="M29" s="206"/>
      <c r="N29" s="36"/>
      <c r="O29" s="36"/>
      <c r="P29" s="36"/>
      <c r="Q29" s="36"/>
      <c r="R29" s="36"/>
      <c r="S29" s="36"/>
      <c r="T29" s="36"/>
      <c r="U29" s="36"/>
    </row>
    <row r="30" spans="1:21" x14ac:dyDescent="0.25">
      <c r="A30" s="37" t="s">
        <v>51</v>
      </c>
      <c r="B30" s="37" t="s">
        <v>345</v>
      </c>
      <c r="C30" s="37" t="s">
        <v>240</v>
      </c>
      <c r="D30" s="38">
        <v>571069696.25999999</v>
      </c>
      <c r="E30" s="128" t="s">
        <v>90</v>
      </c>
      <c r="F30" s="206"/>
      <c r="G30" s="206"/>
      <c r="H30" s="206"/>
      <c r="I30" s="206"/>
      <c r="J30" s="206"/>
      <c r="K30" s="206"/>
      <c r="L30" s="206"/>
      <c r="M30" s="206"/>
      <c r="N30" s="36"/>
      <c r="O30" s="36"/>
      <c r="P30" s="36"/>
      <c r="Q30" s="36"/>
      <c r="R30" s="36"/>
      <c r="S30" s="36"/>
      <c r="T30" s="36"/>
      <c r="U30" s="36"/>
    </row>
    <row r="31" spans="1:21" x14ac:dyDescent="0.25">
      <c r="A31" s="37" t="s">
        <v>51</v>
      </c>
      <c r="B31" s="37" t="s">
        <v>345</v>
      </c>
      <c r="C31" s="37" t="s">
        <v>241</v>
      </c>
      <c r="D31" s="38">
        <v>298040358.56999999</v>
      </c>
      <c r="E31" s="128" t="s">
        <v>92</v>
      </c>
      <c r="F31" s="206"/>
      <c r="G31" s="206"/>
      <c r="H31" s="206"/>
      <c r="I31" s="206"/>
      <c r="J31" s="206"/>
      <c r="K31" s="206"/>
      <c r="L31" s="206"/>
      <c r="M31" s="206"/>
      <c r="N31" s="36"/>
      <c r="O31" s="36"/>
      <c r="P31" s="36"/>
      <c r="Q31" s="36"/>
      <c r="R31" s="36"/>
      <c r="S31" s="36"/>
      <c r="T31" s="36"/>
      <c r="U31" s="36"/>
    </row>
    <row r="32" spans="1:21" x14ac:dyDescent="0.25">
      <c r="A32" s="37" t="s">
        <v>51</v>
      </c>
      <c r="B32" s="37" t="s">
        <v>345</v>
      </c>
      <c r="C32" s="37" t="s">
        <v>233</v>
      </c>
      <c r="D32" s="38">
        <v>756709204.89999998</v>
      </c>
      <c r="E32" s="128" t="s">
        <v>90</v>
      </c>
      <c r="F32" s="206"/>
      <c r="G32" s="206"/>
      <c r="H32" s="206"/>
      <c r="I32" s="206"/>
      <c r="J32" s="206"/>
      <c r="K32" s="206"/>
      <c r="L32" s="206"/>
      <c r="M32" s="206"/>
      <c r="N32" s="36"/>
      <c r="O32" s="36"/>
      <c r="P32" s="36"/>
      <c r="Q32" s="36"/>
      <c r="R32" s="36"/>
      <c r="S32" s="36"/>
      <c r="T32" s="36"/>
      <c r="U32" s="36"/>
    </row>
    <row r="33" spans="1:21" x14ac:dyDescent="0.25">
      <c r="A33" s="37" t="s">
        <v>51</v>
      </c>
      <c r="B33" s="37" t="s">
        <v>345</v>
      </c>
      <c r="C33" s="37" t="s">
        <v>245</v>
      </c>
      <c r="D33" s="38">
        <v>1431443274.5700002</v>
      </c>
      <c r="E33" s="128" t="s">
        <v>88</v>
      </c>
      <c r="F33" s="206"/>
      <c r="G33" s="206"/>
      <c r="H33" s="206"/>
      <c r="I33" s="206"/>
      <c r="J33" s="206"/>
      <c r="K33" s="206"/>
      <c r="L33" s="206"/>
      <c r="M33" s="206"/>
      <c r="N33" s="36"/>
      <c r="O33" s="36"/>
      <c r="P33" s="36"/>
      <c r="Q33" s="36"/>
      <c r="R33" s="36"/>
      <c r="S33" s="36"/>
      <c r="T33" s="36"/>
      <c r="U33" s="36"/>
    </row>
    <row r="34" spans="1:21" x14ac:dyDescent="0.25">
      <c r="A34" s="37" t="s">
        <v>51</v>
      </c>
      <c r="B34" s="37" t="s">
        <v>345</v>
      </c>
      <c r="C34" s="37" t="s">
        <v>246</v>
      </c>
      <c r="D34" s="38">
        <v>873078510.00999999</v>
      </c>
      <c r="E34" s="128" t="s">
        <v>92</v>
      </c>
      <c r="F34" s="206"/>
      <c r="G34" s="206"/>
      <c r="H34" s="206"/>
      <c r="I34" s="206"/>
      <c r="J34" s="206"/>
      <c r="K34" s="206"/>
      <c r="L34" s="206"/>
      <c r="M34" s="206"/>
      <c r="N34" s="36"/>
      <c r="O34" s="36"/>
      <c r="P34" s="36"/>
      <c r="Q34" s="36"/>
      <c r="R34" s="36"/>
      <c r="S34" s="36"/>
      <c r="T34" s="36"/>
      <c r="U34" s="36"/>
    </row>
    <row r="35" spans="1:21" x14ac:dyDescent="0.25">
      <c r="A35" s="37" t="s">
        <v>51</v>
      </c>
      <c r="B35" s="37" t="s">
        <v>345</v>
      </c>
      <c r="C35" s="37" t="s">
        <v>238</v>
      </c>
      <c r="D35" s="38">
        <v>1130074033.3</v>
      </c>
      <c r="E35" s="128" t="s">
        <v>92</v>
      </c>
      <c r="F35" s="206"/>
      <c r="G35" s="206"/>
      <c r="H35" s="206"/>
      <c r="I35" s="206"/>
      <c r="J35" s="206"/>
      <c r="K35" s="206"/>
      <c r="L35" s="206"/>
      <c r="M35" s="206"/>
      <c r="N35" s="36"/>
      <c r="O35" s="36"/>
      <c r="P35" s="36"/>
      <c r="Q35" s="36"/>
      <c r="R35" s="36"/>
      <c r="S35" s="36"/>
    </row>
    <row r="36" spans="1:21" x14ac:dyDescent="0.25">
      <c r="A36" s="37" t="s">
        <v>51</v>
      </c>
      <c r="B36" s="37" t="s">
        <v>345</v>
      </c>
      <c r="C36" s="37" t="s">
        <v>116</v>
      </c>
      <c r="D36" s="38">
        <v>146033396.30000001</v>
      </c>
      <c r="E36" s="128" t="s">
        <v>84</v>
      </c>
      <c r="F36" s="206"/>
      <c r="G36" s="206"/>
      <c r="H36" s="206"/>
      <c r="I36" s="206"/>
      <c r="J36" s="206"/>
      <c r="K36" s="206"/>
      <c r="L36" s="206"/>
      <c r="M36" s="206"/>
      <c r="N36" s="36"/>
      <c r="O36" s="36"/>
      <c r="P36" s="36"/>
      <c r="Q36" s="36"/>
      <c r="R36" s="36"/>
      <c r="S36" s="36"/>
    </row>
    <row r="37" spans="1:21" x14ac:dyDescent="0.25">
      <c r="A37" s="37" t="s">
        <v>51</v>
      </c>
      <c r="B37" s="37" t="s">
        <v>345</v>
      </c>
      <c r="C37" s="37" t="s">
        <v>112</v>
      </c>
      <c r="D37" s="38">
        <v>229229926.66999999</v>
      </c>
      <c r="E37" s="128" t="s">
        <v>84</v>
      </c>
      <c r="F37" s="206"/>
      <c r="G37" s="206"/>
      <c r="H37" s="206"/>
      <c r="I37" s="206"/>
      <c r="J37" s="206"/>
      <c r="K37" s="206"/>
      <c r="L37" s="206"/>
      <c r="M37" s="206"/>
      <c r="N37" s="36"/>
      <c r="O37" s="36"/>
      <c r="P37" s="36"/>
      <c r="Q37" s="36"/>
      <c r="R37" s="36"/>
      <c r="S37" s="36"/>
    </row>
    <row r="38" spans="1:21" x14ac:dyDescent="0.25">
      <c r="A38" s="37" t="s">
        <v>51</v>
      </c>
      <c r="B38" s="37" t="s">
        <v>345</v>
      </c>
      <c r="C38" s="37" t="s">
        <v>249</v>
      </c>
      <c r="D38" s="38">
        <v>6111680934.4599991</v>
      </c>
      <c r="E38" s="128" t="s">
        <v>86</v>
      </c>
      <c r="F38" s="206"/>
      <c r="G38" s="206"/>
      <c r="H38" s="206"/>
      <c r="I38" s="206"/>
      <c r="J38" s="206"/>
      <c r="K38" s="206"/>
      <c r="L38" s="206"/>
      <c r="M38" s="206"/>
      <c r="N38" s="36"/>
      <c r="O38" s="36"/>
      <c r="P38" s="36"/>
      <c r="Q38" s="36"/>
      <c r="R38" s="36"/>
      <c r="S38" s="36"/>
    </row>
    <row r="39" spans="1:21" x14ac:dyDescent="0.25">
      <c r="A39" s="37" t="s">
        <v>51</v>
      </c>
      <c r="B39" s="37" t="s">
        <v>345</v>
      </c>
      <c r="C39" s="37" t="s">
        <v>250</v>
      </c>
      <c r="D39" s="38">
        <v>4854291962.750001</v>
      </c>
      <c r="E39" s="128" t="s">
        <v>84</v>
      </c>
      <c r="F39" s="206"/>
      <c r="G39" s="206"/>
      <c r="H39" s="206"/>
      <c r="I39" s="206"/>
      <c r="J39" s="206"/>
      <c r="K39" s="206"/>
      <c r="L39" s="206"/>
      <c r="M39" s="206"/>
      <c r="N39" s="36"/>
      <c r="O39" s="36"/>
      <c r="P39" s="36"/>
      <c r="Q39" s="36"/>
      <c r="R39" s="36"/>
      <c r="S39" s="36"/>
    </row>
    <row r="40" spans="1:21" x14ac:dyDescent="0.25">
      <c r="A40" s="37" t="s">
        <v>51</v>
      </c>
      <c r="B40" s="37" t="s">
        <v>345</v>
      </c>
      <c r="C40" s="37" t="s">
        <v>237</v>
      </c>
      <c r="D40" s="38">
        <v>185566318.49000001</v>
      </c>
      <c r="E40" s="128" t="s">
        <v>92</v>
      </c>
      <c r="F40" s="206"/>
      <c r="G40" s="206"/>
      <c r="H40" s="206"/>
      <c r="I40" s="206"/>
      <c r="J40" s="206"/>
      <c r="K40" s="206"/>
      <c r="L40" s="206"/>
      <c r="M40" s="206"/>
      <c r="N40" s="36"/>
      <c r="O40" s="36"/>
      <c r="P40" s="36"/>
      <c r="Q40" s="36"/>
      <c r="R40" s="36"/>
      <c r="S40" s="36"/>
    </row>
    <row r="41" spans="1:21" x14ac:dyDescent="0.25">
      <c r="A41" s="37" t="s">
        <v>51</v>
      </c>
      <c r="B41" s="37" t="s">
        <v>345</v>
      </c>
      <c r="C41" s="37" t="s">
        <v>251</v>
      </c>
      <c r="D41" s="38">
        <v>8146259125.6000023</v>
      </c>
      <c r="E41" s="128" t="s">
        <v>86</v>
      </c>
      <c r="F41" s="206"/>
      <c r="G41" s="206"/>
      <c r="H41" s="206"/>
      <c r="I41" s="206"/>
      <c r="J41" s="206"/>
      <c r="K41" s="206"/>
      <c r="L41" s="206"/>
      <c r="M41" s="206"/>
      <c r="N41" s="36"/>
      <c r="O41" s="36"/>
      <c r="P41" s="36"/>
      <c r="Q41" s="36"/>
      <c r="R41" s="36"/>
      <c r="S41" s="36"/>
    </row>
    <row r="42" spans="1:21" x14ac:dyDescent="0.25">
      <c r="A42" s="37" t="s">
        <v>51</v>
      </c>
      <c r="B42" s="37" t="s">
        <v>345</v>
      </c>
      <c r="C42" s="37" t="s">
        <v>235</v>
      </c>
      <c r="D42" s="38">
        <v>684618208.75999999</v>
      </c>
      <c r="E42" s="128" t="s">
        <v>86</v>
      </c>
      <c r="F42" s="206"/>
      <c r="G42" s="206"/>
      <c r="H42" s="206"/>
      <c r="I42" s="206"/>
      <c r="J42" s="206"/>
      <c r="K42" s="206"/>
      <c r="L42" s="206"/>
      <c r="M42" s="206"/>
      <c r="N42" s="36"/>
      <c r="O42" s="36"/>
      <c r="P42" s="36"/>
      <c r="Q42" s="36"/>
      <c r="R42" s="36"/>
      <c r="S42" s="36"/>
    </row>
    <row r="43" spans="1:21" x14ac:dyDescent="0.25">
      <c r="A43" s="37" t="s">
        <v>51</v>
      </c>
      <c r="B43" s="37" t="s">
        <v>345</v>
      </c>
      <c r="C43" s="37" t="s">
        <v>112</v>
      </c>
      <c r="D43" s="38">
        <v>520744183.31999999</v>
      </c>
      <c r="E43" s="128" t="s">
        <v>84</v>
      </c>
      <c r="F43" s="206"/>
      <c r="G43" s="206"/>
      <c r="H43" s="206"/>
      <c r="I43" s="206"/>
      <c r="J43" s="206"/>
      <c r="K43" s="206"/>
      <c r="L43" s="206"/>
      <c r="M43" s="206"/>
      <c r="N43" s="36"/>
      <c r="O43" s="36"/>
      <c r="P43" s="36"/>
      <c r="Q43" s="36"/>
      <c r="R43" s="36"/>
      <c r="S43" s="36"/>
    </row>
    <row r="44" spans="1:21" x14ac:dyDescent="0.25">
      <c r="A44" s="37" t="s">
        <v>51</v>
      </c>
      <c r="B44" s="37" t="s">
        <v>345</v>
      </c>
      <c r="C44" s="37" t="s">
        <v>116</v>
      </c>
      <c r="D44" s="38">
        <v>57262533.060000002</v>
      </c>
      <c r="E44" s="128" t="s">
        <v>84</v>
      </c>
      <c r="F44" s="206"/>
      <c r="G44" s="206"/>
      <c r="H44" s="206"/>
      <c r="I44" s="206"/>
      <c r="J44" s="206"/>
      <c r="K44" s="206"/>
      <c r="L44" s="206"/>
      <c r="M44" s="206"/>
      <c r="N44" s="36"/>
      <c r="O44" s="36"/>
      <c r="P44" s="36"/>
      <c r="Q44" s="36"/>
      <c r="R44" s="36"/>
      <c r="S44" s="36"/>
    </row>
    <row r="45" spans="1:21" x14ac:dyDescent="0.25">
      <c r="A45" s="37" t="s">
        <v>51</v>
      </c>
      <c r="B45" s="37" t="s">
        <v>345</v>
      </c>
      <c r="C45" s="37" t="s">
        <v>253</v>
      </c>
      <c r="D45" s="38">
        <v>807835299.35000002</v>
      </c>
      <c r="E45" s="128" t="s">
        <v>86</v>
      </c>
      <c r="F45" s="206"/>
      <c r="G45" s="206"/>
      <c r="H45" s="206"/>
      <c r="I45" s="206"/>
      <c r="J45" s="206"/>
      <c r="K45" s="206"/>
      <c r="L45" s="206"/>
      <c r="M45" s="206"/>
      <c r="N45" s="36"/>
      <c r="O45" s="36"/>
      <c r="P45" s="36"/>
      <c r="Q45" s="36"/>
      <c r="R45" s="36"/>
      <c r="S45" s="36"/>
    </row>
    <row r="46" spans="1:21" x14ac:dyDescent="0.25">
      <c r="A46" s="37" t="s">
        <v>51</v>
      </c>
      <c r="B46" s="37" t="s">
        <v>345</v>
      </c>
      <c r="C46" s="37" t="s">
        <v>487</v>
      </c>
      <c r="D46" s="38">
        <v>423410014.21999997</v>
      </c>
      <c r="E46" s="128" t="s">
        <v>96</v>
      </c>
      <c r="F46" s="206"/>
      <c r="G46" s="206"/>
      <c r="H46" s="206"/>
      <c r="I46" s="206"/>
      <c r="J46" s="206"/>
      <c r="K46" s="206"/>
      <c r="L46" s="206"/>
      <c r="M46" s="206"/>
      <c r="N46" s="36"/>
      <c r="O46" s="36"/>
      <c r="P46" s="36"/>
      <c r="Q46" s="36"/>
      <c r="R46" s="36"/>
      <c r="S46" s="36"/>
    </row>
    <row r="47" spans="1:21" x14ac:dyDescent="0.25">
      <c r="A47" s="37" t="s">
        <v>51</v>
      </c>
      <c r="B47" s="37" t="s">
        <v>345</v>
      </c>
      <c r="C47" s="37" t="s">
        <v>116</v>
      </c>
      <c r="D47" s="38">
        <v>635423404.43000007</v>
      </c>
      <c r="E47" s="128" t="s">
        <v>88</v>
      </c>
      <c r="F47" s="206"/>
      <c r="G47" s="206"/>
      <c r="H47" s="206"/>
      <c r="I47" s="206"/>
      <c r="J47" s="206"/>
      <c r="K47" s="206"/>
      <c r="L47" s="206"/>
      <c r="M47" s="206"/>
      <c r="N47" s="36"/>
      <c r="O47" s="36"/>
      <c r="P47" s="36"/>
      <c r="Q47" s="36"/>
      <c r="R47" s="36"/>
      <c r="S47" s="36"/>
    </row>
    <row r="48" spans="1:21" x14ac:dyDescent="0.25">
      <c r="A48" s="37" t="s">
        <v>51</v>
      </c>
      <c r="B48" s="37" t="s">
        <v>348</v>
      </c>
      <c r="C48" s="37" t="s">
        <v>233</v>
      </c>
      <c r="D48" s="38">
        <v>218528804.15000001</v>
      </c>
      <c r="E48" s="128" t="s">
        <v>88</v>
      </c>
      <c r="F48" s="206"/>
      <c r="G48" s="206"/>
      <c r="H48" s="206"/>
      <c r="I48" s="206"/>
      <c r="J48" s="206"/>
      <c r="K48" s="206"/>
      <c r="L48" s="206"/>
      <c r="M48" s="206"/>
      <c r="N48" s="36"/>
      <c r="O48" s="36"/>
      <c r="P48" s="36"/>
      <c r="Q48" s="36"/>
      <c r="R48" s="36"/>
      <c r="S48" s="36"/>
    </row>
    <row r="49" spans="1:19" x14ac:dyDescent="0.25">
      <c r="A49" s="37" t="s">
        <v>51</v>
      </c>
      <c r="B49" s="37" t="s">
        <v>348</v>
      </c>
      <c r="C49" s="37" t="s">
        <v>234</v>
      </c>
      <c r="D49" s="38">
        <v>106991234.53</v>
      </c>
      <c r="E49" s="128" t="s">
        <v>88</v>
      </c>
      <c r="F49" s="206"/>
      <c r="G49" s="206"/>
      <c r="H49" s="206"/>
      <c r="I49" s="206"/>
      <c r="J49" s="206"/>
      <c r="K49" s="206"/>
      <c r="L49" s="206"/>
      <c r="M49" s="206"/>
      <c r="N49" s="36"/>
      <c r="O49" s="36"/>
      <c r="P49" s="36"/>
      <c r="Q49" s="36"/>
      <c r="R49" s="36"/>
      <c r="S49" s="36"/>
    </row>
    <row r="50" spans="1:19" x14ac:dyDescent="0.25">
      <c r="A50" s="37" t="s">
        <v>51</v>
      </c>
      <c r="B50" s="37" t="s">
        <v>348</v>
      </c>
      <c r="C50" s="37" t="s">
        <v>255</v>
      </c>
      <c r="D50" s="38">
        <v>105761074.80999999</v>
      </c>
      <c r="E50" s="128" t="s">
        <v>86</v>
      </c>
      <c r="F50" s="206"/>
      <c r="G50" s="206"/>
      <c r="H50" s="206"/>
      <c r="I50" s="206"/>
      <c r="J50" s="206"/>
      <c r="K50" s="206"/>
      <c r="L50" s="206"/>
      <c r="M50" s="206"/>
      <c r="N50" s="36"/>
      <c r="O50" s="36"/>
      <c r="P50" s="36"/>
      <c r="Q50" s="36"/>
      <c r="R50" s="36"/>
      <c r="S50" s="36"/>
    </row>
    <row r="51" spans="1:19" x14ac:dyDescent="0.25">
      <c r="A51" s="37" t="s">
        <v>51</v>
      </c>
      <c r="B51" s="37" t="s">
        <v>348</v>
      </c>
      <c r="C51" s="37" t="s">
        <v>245</v>
      </c>
      <c r="D51" s="38">
        <v>52418171.059999995</v>
      </c>
      <c r="E51" s="128" t="s">
        <v>88</v>
      </c>
      <c r="F51" s="206"/>
      <c r="G51" s="206"/>
      <c r="H51" s="206"/>
      <c r="I51" s="206"/>
      <c r="J51" s="206"/>
      <c r="K51" s="206"/>
      <c r="L51" s="206"/>
      <c r="M51" s="206"/>
      <c r="N51" s="36"/>
      <c r="O51" s="36"/>
      <c r="P51" s="36"/>
      <c r="Q51" s="36"/>
      <c r="R51" s="36"/>
      <c r="S51" s="36"/>
    </row>
    <row r="52" spans="1:19" x14ac:dyDescent="0.25">
      <c r="A52" s="37" t="s">
        <v>51</v>
      </c>
      <c r="B52" s="37" t="s">
        <v>348</v>
      </c>
      <c r="C52" s="37" t="s">
        <v>233</v>
      </c>
      <c r="D52" s="38">
        <v>486362328.94999999</v>
      </c>
      <c r="E52" s="128" t="s">
        <v>88</v>
      </c>
      <c r="F52" s="206"/>
      <c r="G52" s="206"/>
      <c r="H52" s="206"/>
      <c r="I52" s="206"/>
      <c r="J52" s="206"/>
      <c r="K52" s="206"/>
      <c r="L52" s="206"/>
      <c r="M52" s="206"/>
      <c r="N52" s="36"/>
      <c r="O52" s="36"/>
      <c r="P52" s="36"/>
      <c r="Q52" s="36"/>
      <c r="R52" s="36"/>
      <c r="S52" s="36"/>
    </row>
    <row r="53" spans="1:19" x14ac:dyDescent="0.25">
      <c r="A53" s="37" t="s">
        <v>51</v>
      </c>
      <c r="B53" s="37" t="s">
        <v>348</v>
      </c>
      <c r="C53" s="37" t="s">
        <v>233</v>
      </c>
      <c r="D53" s="38">
        <v>576446691.16999996</v>
      </c>
      <c r="E53" s="128" t="s">
        <v>88</v>
      </c>
      <c r="F53" s="206"/>
      <c r="G53" s="206"/>
      <c r="H53" s="206"/>
      <c r="I53" s="206"/>
      <c r="J53" s="206"/>
      <c r="K53" s="206"/>
      <c r="L53" s="206"/>
      <c r="M53" s="206"/>
      <c r="N53" s="36"/>
      <c r="O53" s="36"/>
      <c r="P53" s="36"/>
      <c r="Q53" s="36"/>
      <c r="R53" s="36"/>
      <c r="S53" s="36"/>
    </row>
    <row r="54" spans="1:19" x14ac:dyDescent="0.25">
      <c r="A54" s="37" t="s">
        <v>51</v>
      </c>
      <c r="B54" s="37" t="s">
        <v>348</v>
      </c>
      <c r="C54" s="37" t="s">
        <v>257</v>
      </c>
      <c r="D54" s="38">
        <v>574833879.84000003</v>
      </c>
      <c r="E54" s="128" t="s">
        <v>92</v>
      </c>
      <c r="F54" s="206"/>
      <c r="G54" s="206"/>
      <c r="H54" s="206"/>
      <c r="I54" s="206"/>
      <c r="J54" s="206"/>
      <c r="K54" s="206"/>
      <c r="L54" s="206"/>
      <c r="M54" s="206"/>
      <c r="N54" s="36"/>
      <c r="O54" s="36"/>
      <c r="P54" s="36"/>
      <c r="Q54" s="36"/>
      <c r="R54" s="36"/>
      <c r="S54" s="36"/>
    </row>
    <row r="55" spans="1:19" x14ac:dyDescent="0.25">
      <c r="A55" s="37" t="s">
        <v>51</v>
      </c>
      <c r="B55" s="37" t="s">
        <v>348</v>
      </c>
      <c r="C55" s="37" t="s">
        <v>6</v>
      </c>
      <c r="D55" s="38">
        <v>44305378.879999995</v>
      </c>
      <c r="E55" s="128" t="s">
        <v>94</v>
      </c>
      <c r="F55" s="206"/>
      <c r="G55" s="206"/>
      <c r="H55" s="206"/>
      <c r="I55" s="206"/>
      <c r="J55" s="206"/>
      <c r="K55" s="206"/>
      <c r="L55" s="206"/>
      <c r="M55" s="206"/>
      <c r="N55" s="36"/>
      <c r="O55" s="36"/>
      <c r="P55" s="36"/>
      <c r="Q55" s="36"/>
      <c r="R55" s="36"/>
      <c r="S55" s="36"/>
    </row>
    <row r="56" spans="1:19" x14ac:dyDescent="0.25">
      <c r="A56" s="37" t="s">
        <v>51</v>
      </c>
      <c r="B56" s="37" t="s">
        <v>348</v>
      </c>
      <c r="C56" s="37" t="s">
        <v>233</v>
      </c>
      <c r="D56" s="38">
        <v>603123445.32000005</v>
      </c>
      <c r="E56" s="128" t="s">
        <v>88</v>
      </c>
      <c r="F56" s="206"/>
      <c r="G56" s="206"/>
      <c r="H56" s="206"/>
      <c r="I56" s="206"/>
      <c r="J56" s="206"/>
      <c r="K56" s="206"/>
      <c r="L56" s="206"/>
      <c r="M56" s="206"/>
      <c r="N56" s="36"/>
      <c r="O56" s="36"/>
      <c r="P56" s="36"/>
      <c r="Q56" s="36"/>
      <c r="R56" s="36"/>
      <c r="S56" s="36"/>
    </row>
    <row r="57" spans="1:19" x14ac:dyDescent="0.25">
      <c r="A57" s="37" t="s">
        <v>51</v>
      </c>
      <c r="B57" s="37" t="s">
        <v>348</v>
      </c>
      <c r="C57" s="37" t="s">
        <v>7</v>
      </c>
      <c r="D57" s="38">
        <v>944357835.61000001</v>
      </c>
      <c r="E57" s="128" t="s">
        <v>92</v>
      </c>
      <c r="F57" s="206"/>
      <c r="G57" s="206"/>
      <c r="H57" s="206"/>
      <c r="I57" s="206"/>
      <c r="J57" s="206"/>
      <c r="K57" s="206"/>
      <c r="L57" s="206"/>
      <c r="M57" s="206"/>
      <c r="N57" s="36"/>
      <c r="O57" s="36"/>
      <c r="P57" s="36"/>
      <c r="Q57" s="36"/>
      <c r="R57" s="36"/>
      <c r="S57" s="36"/>
    </row>
    <row r="58" spans="1:19" x14ac:dyDescent="0.25">
      <c r="A58" s="37" t="s">
        <v>51</v>
      </c>
      <c r="B58" s="37" t="s">
        <v>348</v>
      </c>
      <c r="C58" s="37" t="s">
        <v>257</v>
      </c>
      <c r="D58" s="38">
        <v>145307970.41</v>
      </c>
      <c r="E58" s="128" t="s">
        <v>92</v>
      </c>
      <c r="F58" s="206"/>
      <c r="G58" s="206"/>
      <c r="H58" s="206"/>
      <c r="I58" s="206"/>
      <c r="J58" s="206"/>
      <c r="K58" s="206"/>
      <c r="L58" s="206"/>
      <c r="M58" s="206"/>
      <c r="N58" s="36"/>
      <c r="O58" s="36"/>
      <c r="P58" s="36"/>
      <c r="Q58" s="36"/>
      <c r="R58" s="36"/>
      <c r="S58" s="36"/>
    </row>
    <row r="59" spans="1:19" x14ac:dyDescent="0.25">
      <c r="A59" s="37" t="s">
        <v>51</v>
      </c>
      <c r="B59" s="37" t="s">
        <v>348</v>
      </c>
      <c r="C59" s="37" t="s">
        <v>233</v>
      </c>
      <c r="D59" s="38">
        <v>374656350.82999998</v>
      </c>
      <c r="E59" s="128" t="s">
        <v>88</v>
      </c>
      <c r="F59" s="206"/>
      <c r="G59" s="206"/>
      <c r="H59" s="206"/>
      <c r="I59" s="206"/>
      <c r="J59" s="206"/>
      <c r="K59" s="206"/>
      <c r="L59" s="206"/>
      <c r="M59" s="206"/>
      <c r="N59" s="36"/>
      <c r="O59" s="36"/>
      <c r="P59" s="36"/>
      <c r="Q59" s="36"/>
      <c r="R59" s="36"/>
      <c r="S59" s="36"/>
    </row>
    <row r="60" spans="1:19" x14ac:dyDescent="0.25">
      <c r="A60" s="37" t="s">
        <v>51</v>
      </c>
      <c r="B60" s="37" t="s">
        <v>348</v>
      </c>
      <c r="C60" s="37" t="s">
        <v>258</v>
      </c>
      <c r="D60" s="38">
        <v>1552493431.3699999</v>
      </c>
      <c r="E60" s="128" t="s">
        <v>88</v>
      </c>
      <c r="F60" s="206"/>
      <c r="G60" s="206"/>
      <c r="H60" s="206"/>
      <c r="I60" s="206"/>
      <c r="J60" s="206"/>
      <c r="K60" s="206"/>
      <c r="L60" s="206"/>
      <c r="M60" s="206"/>
      <c r="N60" s="36"/>
      <c r="O60" s="36"/>
      <c r="P60" s="36"/>
      <c r="Q60" s="36"/>
      <c r="R60" s="36"/>
      <c r="S60" s="36"/>
    </row>
    <row r="61" spans="1:19" x14ac:dyDescent="0.25">
      <c r="A61" s="37" t="s">
        <v>51</v>
      </c>
      <c r="B61" s="37" t="s">
        <v>348</v>
      </c>
      <c r="C61" s="37" t="s">
        <v>259</v>
      </c>
      <c r="D61" s="38">
        <v>1290637455.72</v>
      </c>
      <c r="E61" s="128" t="s">
        <v>84</v>
      </c>
      <c r="F61" s="206"/>
      <c r="G61" s="206"/>
      <c r="H61" s="206"/>
      <c r="I61" s="206"/>
      <c r="J61" s="206"/>
      <c r="K61" s="206"/>
      <c r="L61" s="206"/>
      <c r="M61" s="206"/>
      <c r="N61" s="36"/>
      <c r="O61" s="36"/>
      <c r="P61" s="36"/>
      <c r="Q61" s="36"/>
      <c r="R61" s="36"/>
      <c r="S61" s="36"/>
    </row>
    <row r="62" spans="1:19" x14ac:dyDescent="0.25">
      <c r="A62" s="37" t="s">
        <v>51</v>
      </c>
      <c r="B62" s="37" t="s">
        <v>348</v>
      </c>
      <c r="C62" s="37" t="s">
        <v>245</v>
      </c>
      <c r="D62" s="38">
        <v>1035960911.6900001</v>
      </c>
      <c r="E62" s="128" t="s">
        <v>88</v>
      </c>
      <c r="F62" s="206"/>
      <c r="G62" s="206"/>
      <c r="H62" s="206"/>
      <c r="I62" s="206"/>
      <c r="J62" s="206"/>
      <c r="K62" s="206"/>
      <c r="L62" s="206"/>
      <c r="M62" s="206"/>
      <c r="N62" s="36"/>
      <c r="O62" s="36"/>
      <c r="P62" s="36"/>
      <c r="Q62" s="36"/>
      <c r="R62" s="36"/>
      <c r="S62" s="36"/>
    </row>
    <row r="63" spans="1:19" x14ac:dyDescent="0.25">
      <c r="A63" s="37" t="s">
        <v>51</v>
      </c>
      <c r="B63" s="37" t="s">
        <v>348</v>
      </c>
      <c r="C63" s="37" t="s">
        <v>260</v>
      </c>
      <c r="D63" s="38">
        <v>507515773.16000003</v>
      </c>
      <c r="E63" s="128" t="s">
        <v>86</v>
      </c>
      <c r="F63" s="206"/>
      <c r="G63" s="206"/>
      <c r="H63" s="206"/>
      <c r="I63" s="206"/>
      <c r="J63" s="206"/>
      <c r="K63" s="206"/>
      <c r="L63" s="206"/>
      <c r="M63" s="206"/>
      <c r="N63" s="36"/>
      <c r="O63" s="36"/>
      <c r="P63" s="36"/>
      <c r="Q63" s="36"/>
      <c r="R63" s="36"/>
      <c r="S63" s="36"/>
    </row>
    <row r="64" spans="1:19" x14ac:dyDescent="0.25">
      <c r="A64" s="37" t="s">
        <v>51</v>
      </c>
      <c r="B64" s="37" t="s">
        <v>348</v>
      </c>
      <c r="C64" s="37" t="s">
        <v>259</v>
      </c>
      <c r="D64" s="38">
        <v>2116087792.79</v>
      </c>
      <c r="E64" s="128" t="s">
        <v>84</v>
      </c>
      <c r="F64" s="206"/>
      <c r="G64" s="206"/>
      <c r="H64" s="206"/>
      <c r="I64" s="206"/>
      <c r="J64" s="206"/>
      <c r="K64" s="206"/>
      <c r="L64" s="206"/>
      <c r="M64" s="206"/>
      <c r="N64" s="36"/>
      <c r="O64" s="36"/>
      <c r="P64" s="36"/>
      <c r="Q64" s="36"/>
      <c r="R64" s="36"/>
      <c r="S64" s="36"/>
    </row>
    <row r="65" spans="1:19" x14ac:dyDescent="0.25">
      <c r="A65" s="37" t="s">
        <v>51</v>
      </c>
      <c r="B65" s="37" t="s">
        <v>348</v>
      </c>
      <c r="C65" s="37" t="s">
        <v>261</v>
      </c>
      <c r="D65" s="38">
        <v>2131274940.4000001</v>
      </c>
      <c r="E65" s="128" t="s">
        <v>88</v>
      </c>
      <c r="F65" s="206"/>
      <c r="G65" s="206"/>
      <c r="H65" s="206"/>
      <c r="I65" s="206"/>
      <c r="J65" s="206"/>
      <c r="K65" s="206"/>
      <c r="L65" s="206"/>
      <c r="M65" s="206"/>
      <c r="N65" s="36"/>
      <c r="O65" s="36"/>
      <c r="P65" s="36"/>
      <c r="Q65" s="36"/>
      <c r="R65" s="36"/>
      <c r="S65" s="36"/>
    </row>
    <row r="66" spans="1:19" x14ac:dyDescent="0.25">
      <c r="A66" s="37" t="s">
        <v>51</v>
      </c>
      <c r="B66" s="37" t="s">
        <v>348</v>
      </c>
      <c r="C66" s="37" t="s">
        <v>526</v>
      </c>
      <c r="D66" s="38">
        <v>631699861.67999995</v>
      </c>
      <c r="E66" s="128" t="s">
        <v>92</v>
      </c>
      <c r="F66" s="206"/>
      <c r="G66" s="206"/>
      <c r="H66" s="206"/>
      <c r="I66" s="206"/>
      <c r="J66" s="206"/>
      <c r="K66" s="206"/>
      <c r="L66" s="206"/>
      <c r="M66" s="206"/>
      <c r="N66" s="36"/>
      <c r="O66" s="36"/>
      <c r="P66" s="36"/>
      <c r="Q66" s="36"/>
      <c r="R66" s="36"/>
      <c r="S66" s="36"/>
    </row>
    <row r="67" spans="1:19" x14ac:dyDescent="0.25">
      <c r="A67" s="37" t="s">
        <v>51</v>
      </c>
      <c r="B67" s="37" t="s">
        <v>348</v>
      </c>
      <c r="C67" s="37" t="s">
        <v>248</v>
      </c>
      <c r="D67" s="38">
        <v>1418357106.03</v>
      </c>
      <c r="E67" s="128" t="s">
        <v>84</v>
      </c>
      <c r="F67" s="206"/>
      <c r="G67" s="206"/>
      <c r="H67" s="206"/>
      <c r="I67" s="206"/>
      <c r="J67" s="206"/>
      <c r="K67" s="206"/>
      <c r="L67" s="206"/>
      <c r="M67" s="206"/>
      <c r="N67" s="36"/>
      <c r="O67" s="36"/>
      <c r="P67" s="36"/>
      <c r="Q67" s="36"/>
      <c r="R67" s="36"/>
      <c r="S67" s="36"/>
    </row>
    <row r="68" spans="1:19" x14ac:dyDescent="0.25">
      <c r="A68" s="37" t="s">
        <v>51</v>
      </c>
      <c r="B68" s="37" t="s">
        <v>348</v>
      </c>
      <c r="C68" s="37" t="s">
        <v>315</v>
      </c>
      <c r="D68" s="38">
        <v>1505186655.5699999</v>
      </c>
      <c r="E68" s="128" t="s">
        <v>84</v>
      </c>
      <c r="F68" s="206"/>
      <c r="G68" s="206"/>
      <c r="H68" s="206"/>
      <c r="I68" s="206"/>
      <c r="J68" s="206"/>
      <c r="K68" s="206"/>
      <c r="L68" s="206"/>
      <c r="M68" s="206"/>
      <c r="N68" s="36"/>
      <c r="O68" s="36"/>
      <c r="P68" s="36"/>
      <c r="Q68" s="36"/>
      <c r="R68" s="36"/>
      <c r="S68" s="36"/>
    </row>
    <row r="69" spans="1:19" x14ac:dyDescent="0.25">
      <c r="A69" s="37" t="s">
        <v>51</v>
      </c>
      <c r="B69" s="37" t="s">
        <v>348</v>
      </c>
      <c r="C69" s="37" t="s">
        <v>246</v>
      </c>
      <c r="D69" s="38">
        <v>312342077.92000002</v>
      </c>
      <c r="E69" s="128" t="s">
        <v>88</v>
      </c>
      <c r="F69" s="206"/>
      <c r="G69" s="206"/>
      <c r="H69" s="206"/>
      <c r="I69" s="206"/>
      <c r="J69" s="206"/>
      <c r="K69" s="206"/>
      <c r="L69" s="206"/>
      <c r="M69" s="206"/>
      <c r="N69" s="36"/>
      <c r="O69" s="36"/>
      <c r="P69" s="36"/>
      <c r="Q69" s="36"/>
      <c r="R69" s="36"/>
      <c r="S69" s="36"/>
    </row>
    <row r="70" spans="1:19" x14ac:dyDescent="0.25">
      <c r="A70" s="37" t="s">
        <v>51</v>
      </c>
      <c r="B70" s="37" t="s">
        <v>348</v>
      </c>
      <c r="C70" s="37" t="s">
        <v>256</v>
      </c>
      <c r="D70" s="38">
        <v>1310582000</v>
      </c>
      <c r="E70" s="128" t="s">
        <v>80</v>
      </c>
      <c r="F70" s="206"/>
      <c r="G70" s="206"/>
      <c r="H70" s="206"/>
      <c r="I70" s="206"/>
      <c r="J70" s="206"/>
      <c r="K70" s="206"/>
      <c r="L70" s="206"/>
      <c r="M70" s="206"/>
      <c r="N70" s="36"/>
      <c r="O70" s="36"/>
      <c r="P70" s="36"/>
      <c r="Q70" s="36"/>
      <c r="R70" s="36"/>
      <c r="S70" s="36"/>
    </row>
    <row r="71" spans="1:19" x14ac:dyDescent="0.25">
      <c r="A71" s="37" t="s">
        <v>51</v>
      </c>
      <c r="B71" s="37" t="s">
        <v>348</v>
      </c>
      <c r="C71" s="37" t="s">
        <v>239</v>
      </c>
      <c r="D71" s="38">
        <v>638809638.87</v>
      </c>
      <c r="E71" s="128" t="s">
        <v>94</v>
      </c>
      <c r="F71" s="206"/>
      <c r="G71" s="206"/>
      <c r="H71" s="206"/>
      <c r="I71" s="206"/>
      <c r="J71" s="206"/>
      <c r="K71" s="206"/>
      <c r="L71" s="206"/>
      <c r="M71" s="206"/>
      <c r="N71" s="36"/>
    </row>
    <row r="72" spans="1:19" x14ac:dyDescent="0.25">
      <c r="A72" s="37" t="s">
        <v>51</v>
      </c>
      <c r="B72" s="37" t="s">
        <v>348</v>
      </c>
      <c r="C72" s="37" t="s">
        <v>262</v>
      </c>
      <c r="D72" s="38">
        <v>211566980.66</v>
      </c>
      <c r="E72" s="128" t="s">
        <v>88</v>
      </c>
      <c r="F72" s="206"/>
      <c r="G72" s="206"/>
      <c r="H72" s="206"/>
      <c r="I72" s="206"/>
      <c r="J72" s="206"/>
      <c r="K72" s="206"/>
      <c r="L72" s="206"/>
      <c r="M72" s="206"/>
      <c r="N72" s="36"/>
    </row>
    <row r="73" spans="1:19" x14ac:dyDescent="0.25">
      <c r="A73" s="37" t="s">
        <v>51</v>
      </c>
      <c r="B73" s="37" t="s">
        <v>348</v>
      </c>
      <c r="C73" s="37" t="s">
        <v>263</v>
      </c>
      <c r="D73" s="38">
        <v>1063739009.09</v>
      </c>
      <c r="E73" s="128" t="s">
        <v>86</v>
      </c>
      <c r="F73" s="206"/>
      <c r="G73" s="206"/>
      <c r="H73" s="206"/>
      <c r="I73" s="206"/>
      <c r="J73" s="206"/>
      <c r="K73" s="206"/>
      <c r="L73" s="206"/>
      <c r="M73" s="206"/>
      <c r="N73" s="36"/>
    </row>
    <row r="74" spans="1:19" x14ac:dyDescent="0.25">
      <c r="A74" s="37" t="s">
        <v>51</v>
      </c>
      <c r="B74" s="37" t="s">
        <v>348</v>
      </c>
      <c r="C74" s="37" t="s">
        <v>367</v>
      </c>
      <c r="D74" s="38">
        <v>214416308.63</v>
      </c>
      <c r="E74" s="128" t="s">
        <v>88</v>
      </c>
      <c r="F74" s="206"/>
      <c r="G74" s="206"/>
      <c r="H74" s="206"/>
      <c r="I74" s="206"/>
      <c r="J74" s="206"/>
      <c r="K74" s="206"/>
      <c r="L74" s="206"/>
      <c r="M74" s="206"/>
      <c r="N74" s="36"/>
    </row>
    <row r="75" spans="1:19" x14ac:dyDescent="0.25">
      <c r="A75" s="37" t="s">
        <v>51</v>
      </c>
      <c r="B75" s="37" t="s">
        <v>348</v>
      </c>
      <c r="C75" s="37" t="s">
        <v>367</v>
      </c>
      <c r="D75" s="38">
        <v>321294635.19999999</v>
      </c>
      <c r="E75" s="128" t="s">
        <v>88</v>
      </c>
      <c r="F75" s="206"/>
      <c r="G75" s="206"/>
      <c r="H75" s="206"/>
      <c r="I75" s="206"/>
      <c r="J75" s="206"/>
      <c r="K75" s="206"/>
      <c r="L75" s="206"/>
      <c r="M75" s="206"/>
      <c r="N75" s="36"/>
    </row>
    <row r="76" spans="1:19" x14ac:dyDescent="0.25">
      <c r="A76" s="37"/>
      <c r="B76" s="37"/>
      <c r="C76" s="37"/>
      <c r="D76" s="38"/>
      <c r="E76" s="128"/>
      <c r="F76" s="206"/>
      <c r="G76" s="206"/>
      <c r="H76" s="206"/>
      <c r="I76" s="206"/>
      <c r="J76" s="206"/>
      <c r="K76" s="206"/>
      <c r="L76" s="206"/>
      <c r="M76" s="206"/>
      <c r="N76" s="36"/>
    </row>
    <row r="77" spans="1:19" x14ac:dyDescent="0.25">
      <c r="F77" s="206"/>
      <c r="G77" s="206"/>
      <c r="H77" s="206"/>
      <c r="I77" s="206"/>
      <c r="J77" s="206"/>
      <c r="K77" s="206"/>
      <c r="L77" s="206"/>
      <c r="M77" s="206"/>
      <c r="N77" s="36"/>
    </row>
    <row r="78" spans="1:19" x14ac:dyDescent="0.25">
      <c r="F78" s="206"/>
      <c r="G78" s="206"/>
      <c r="H78" s="206"/>
      <c r="I78" s="206"/>
      <c r="J78" s="206"/>
      <c r="K78" s="206"/>
      <c r="L78" s="206"/>
      <c r="M78" s="206"/>
      <c r="N78" s="36"/>
    </row>
    <row r="79" spans="1:19" x14ac:dyDescent="0.25">
      <c r="F79" s="206"/>
      <c r="G79" s="206"/>
      <c r="H79" s="206"/>
      <c r="I79" s="206"/>
      <c r="J79" s="206"/>
      <c r="K79" s="206"/>
      <c r="L79" s="206"/>
      <c r="M79" s="206"/>
      <c r="N79" s="36"/>
    </row>
    <row r="80" spans="1:19" x14ac:dyDescent="0.25">
      <c r="F80" s="206"/>
      <c r="G80" s="206"/>
      <c r="H80" s="206"/>
      <c r="I80" s="206"/>
      <c r="J80" s="206"/>
      <c r="K80" s="206"/>
      <c r="L80" s="206"/>
      <c r="M80" s="206"/>
      <c r="N80" s="36"/>
    </row>
    <row r="81" spans="6:14" x14ac:dyDescent="0.25">
      <c r="F81" s="206"/>
      <c r="G81" s="206"/>
      <c r="H81" s="206"/>
      <c r="I81" s="206"/>
      <c r="J81" s="206"/>
      <c r="K81" s="206"/>
      <c r="L81" s="206"/>
      <c r="M81" s="206"/>
      <c r="N81" s="36"/>
    </row>
    <row r="82" spans="6:14" x14ac:dyDescent="0.25">
      <c r="F82" s="206"/>
      <c r="G82" s="206"/>
      <c r="H82" s="206"/>
      <c r="I82" s="206"/>
      <c r="J82" s="206"/>
      <c r="K82" s="206"/>
      <c r="L82" s="206"/>
      <c r="M82" s="206"/>
      <c r="N82" s="36"/>
    </row>
    <row r="83" spans="6:14" x14ac:dyDescent="0.25">
      <c r="F83" s="206"/>
      <c r="G83" s="206"/>
      <c r="H83" s="206"/>
      <c r="I83" s="206"/>
      <c r="J83" s="206"/>
      <c r="K83" s="206"/>
      <c r="L83" s="206"/>
      <c r="M83" s="206"/>
      <c r="N83" s="36"/>
    </row>
  </sheetData>
  <autoFilter ref="A22:E22"/>
  <mergeCells count="13">
    <mergeCell ref="A21:E21"/>
    <mergeCell ref="H21:L21"/>
    <mergeCell ref="A15:E15"/>
    <mergeCell ref="A2:E2"/>
    <mergeCell ref="H2:L2"/>
    <mergeCell ref="H9:L9"/>
    <mergeCell ref="H15:L15"/>
    <mergeCell ref="O9:S9"/>
    <mergeCell ref="O10:P10"/>
    <mergeCell ref="R10:S10"/>
    <mergeCell ref="A3:E3"/>
    <mergeCell ref="A8:L8"/>
    <mergeCell ref="A9:E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81" customWidth="1"/>
    <col min="2" max="2" width="18.42578125" style="81"/>
    <col min="3" max="3" width="25.28515625" style="88" customWidth="1"/>
    <col min="4" max="4" width="34.7109375" style="81" customWidth="1"/>
    <col min="5" max="5" width="50.42578125" style="81" customWidth="1"/>
    <col min="6" max="16384" width="18.42578125" style="81"/>
  </cols>
  <sheetData>
    <row r="1" spans="1:5" x14ac:dyDescent="0.25">
      <c r="A1" s="78">
        <v>43922</v>
      </c>
      <c r="B1" s="79"/>
      <c r="C1" s="80"/>
      <c r="D1" s="79"/>
    </row>
    <row r="2" spans="1:5" s="103" customFormat="1" ht="12.75" x14ac:dyDescent="0.2">
      <c r="A2" s="107" t="s">
        <v>29</v>
      </c>
      <c r="B2" s="108" t="s">
        <v>32</v>
      </c>
      <c r="C2" s="109" t="s">
        <v>28</v>
      </c>
      <c r="D2" s="108" t="s">
        <v>28</v>
      </c>
      <c r="E2" s="103" t="s">
        <v>107</v>
      </c>
    </row>
    <row r="3" spans="1:5" s="103" customFormat="1" ht="12.75" x14ac:dyDescent="0.2">
      <c r="A3" s="125" t="s">
        <v>132</v>
      </c>
      <c r="B3" s="123" t="s">
        <v>108</v>
      </c>
      <c r="C3" s="124" t="s">
        <v>109</v>
      </c>
      <c r="D3" s="123" t="str">
        <f>A51</f>
        <v>Отказ в установлении</v>
      </c>
    </row>
    <row r="4" spans="1:5" s="103" customFormat="1" ht="12.75" x14ac:dyDescent="0.2">
      <c r="A4" s="110" t="s">
        <v>117</v>
      </c>
      <c r="B4" s="111">
        <v>43949</v>
      </c>
      <c r="C4" s="109" t="s">
        <v>133</v>
      </c>
      <c r="D4" s="108" t="str">
        <f>A50</f>
        <v>Установление/Увеличение лимита</v>
      </c>
    </row>
    <row r="5" spans="1:5" s="103" customFormat="1" ht="12.75" x14ac:dyDescent="0.2">
      <c r="A5" s="110" t="s">
        <v>130</v>
      </c>
      <c r="B5" s="108" t="s">
        <v>108</v>
      </c>
      <c r="C5" s="109" t="s">
        <v>134</v>
      </c>
      <c r="D5" s="108" t="str">
        <f>A49</f>
        <v>Закрытие / Приостановление</v>
      </c>
    </row>
    <row r="6" spans="1:5" s="103" customFormat="1" ht="12.75" x14ac:dyDescent="0.2">
      <c r="A6" s="110" t="s">
        <v>131</v>
      </c>
      <c r="B6" s="108" t="s">
        <v>108</v>
      </c>
      <c r="C6" s="109" t="s">
        <v>134</v>
      </c>
      <c r="D6" s="108" t="str">
        <f>A49</f>
        <v>Закрытие / Приостановление</v>
      </c>
    </row>
    <row r="7" spans="1:5" s="103" customFormat="1" ht="12.75" x14ac:dyDescent="0.2">
      <c r="A7" s="122" t="s">
        <v>113</v>
      </c>
      <c r="B7" s="123" t="s">
        <v>108</v>
      </c>
      <c r="C7" s="124"/>
      <c r="D7" s="123" t="str">
        <f>A52</f>
        <v>Аналитическая справка</v>
      </c>
    </row>
    <row r="8" spans="1:5" s="103" customFormat="1" ht="12.75" x14ac:dyDescent="0.2">
      <c r="A8" s="122" t="s">
        <v>116</v>
      </c>
      <c r="B8" s="123" t="s">
        <v>108</v>
      </c>
      <c r="C8" s="124"/>
      <c r="D8" s="123" t="str">
        <f>A52</f>
        <v>Аналитическая справка</v>
      </c>
    </row>
    <row r="9" spans="1:5" s="103" customFormat="1" ht="12.75" x14ac:dyDescent="0.2">
      <c r="A9" s="122" t="s">
        <v>135</v>
      </c>
      <c r="B9" s="123" t="s">
        <v>108</v>
      </c>
      <c r="C9" s="124"/>
      <c r="D9" s="123" t="str">
        <f>A52</f>
        <v>Аналитическая справка</v>
      </c>
    </row>
    <row r="10" spans="1:5" s="103" customFormat="1" ht="12.75" x14ac:dyDescent="0.2">
      <c r="A10" s="125" t="s">
        <v>112</v>
      </c>
      <c r="B10" s="123" t="s">
        <v>108</v>
      </c>
      <c r="C10" s="124"/>
      <c r="D10" s="123" t="str">
        <f>A52</f>
        <v>Аналитическая справка</v>
      </c>
    </row>
    <row r="11" spans="1:5" s="103" customFormat="1" ht="12.75" x14ac:dyDescent="0.2">
      <c r="A11" s="125" t="s">
        <v>136</v>
      </c>
      <c r="B11" s="123" t="s">
        <v>108</v>
      </c>
      <c r="C11" s="124"/>
      <c r="D11" s="123" t="str">
        <f>A52</f>
        <v>Аналитическая справка</v>
      </c>
    </row>
    <row r="12" spans="1:5" s="103" customFormat="1" ht="12.75" x14ac:dyDescent="0.2">
      <c r="A12" s="122" t="s">
        <v>137</v>
      </c>
      <c r="B12" s="123" t="s">
        <v>108</v>
      </c>
      <c r="C12" s="124"/>
      <c r="D12" s="123" t="str">
        <f>A52</f>
        <v>Аналитическая справка</v>
      </c>
    </row>
    <row r="13" spans="1:5" s="103" customFormat="1" ht="12.75" x14ac:dyDescent="0.2">
      <c r="A13" s="122" t="s">
        <v>117</v>
      </c>
      <c r="B13" s="123" t="s">
        <v>108</v>
      </c>
      <c r="C13" s="124"/>
      <c r="D13" s="123" t="str">
        <f>A52</f>
        <v>Аналитическая справка</v>
      </c>
    </row>
    <row r="14" spans="1:5" s="103" customFormat="1" ht="12.75" x14ac:dyDescent="0.2">
      <c r="A14" s="122" t="s">
        <v>138</v>
      </c>
      <c r="B14" s="123" t="s">
        <v>108</v>
      </c>
      <c r="C14" s="124"/>
      <c r="D14" s="123" t="str">
        <f>A52</f>
        <v>Аналитическая справка</v>
      </c>
    </row>
    <row r="15" spans="1:5" s="103" customFormat="1" ht="12.75" x14ac:dyDescent="0.2">
      <c r="A15" s="122" t="s">
        <v>139</v>
      </c>
      <c r="B15" s="123" t="s">
        <v>108</v>
      </c>
      <c r="C15" s="124"/>
      <c r="D15" s="123" t="str">
        <f>A52</f>
        <v>Аналитическая справка</v>
      </c>
    </row>
    <row r="16" spans="1:5" s="103" customFormat="1" ht="12.75" hidden="1" x14ac:dyDescent="0.2">
      <c r="A16" s="104"/>
      <c r="B16" s="101"/>
      <c r="C16" s="102"/>
      <c r="D16" s="101"/>
    </row>
    <row r="17" spans="1:5" s="103" customFormat="1" ht="12.75" hidden="1" x14ac:dyDescent="0.2">
      <c r="A17" s="104"/>
      <c r="B17" s="101"/>
      <c r="C17" s="102"/>
      <c r="D17" s="101"/>
    </row>
    <row r="18" spans="1:5" s="103" customFormat="1" ht="12.75" hidden="1" x14ac:dyDescent="0.2">
      <c r="A18" s="104"/>
      <c r="B18" s="101"/>
      <c r="C18" s="102"/>
      <c r="D18" s="104"/>
    </row>
    <row r="19" spans="1:5" s="103" customFormat="1" ht="12.75" hidden="1" x14ac:dyDescent="0.2">
      <c r="A19" s="104"/>
      <c r="B19" s="101"/>
      <c r="C19" s="102"/>
      <c r="D19" s="104"/>
    </row>
    <row r="20" spans="1:5" s="103" customFormat="1" ht="12.75" hidden="1" x14ac:dyDescent="0.2">
      <c r="A20" s="104"/>
      <c r="B20" s="101"/>
      <c r="C20" s="102"/>
      <c r="D20" s="104"/>
    </row>
    <row r="21" spans="1:5" s="103" customFormat="1" ht="12.75" hidden="1" x14ac:dyDescent="0.2">
      <c r="A21" s="104"/>
      <c r="B21" s="101"/>
      <c r="C21" s="102"/>
      <c r="D21" s="104"/>
    </row>
    <row r="22" spans="1:5" s="103" customFormat="1" ht="12.75" hidden="1" x14ac:dyDescent="0.2">
      <c r="A22" s="104"/>
      <c r="B22" s="101"/>
      <c r="C22" s="102"/>
      <c r="D22" s="104"/>
    </row>
    <row r="23" spans="1:5" s="103" customFormat="1" ht="12.75" hidden="1" x14ac:dyDescent="0.2">
      <c r="A23" s="104"/>
      <c r="B23" s="101"/>
      <c r="C23" s="102"/>
      <c r="D23" s="104"/>
    </row>
    <row r="24" spans="1:5" s="103" customFormat="1" ht="12.75" x14ac:dyDescent="0.2">
      <c r="A24" s="104"/>
      <c r="B24" s="101"/>
      <c r="C24" s="102"/>
      <c r="D24" s="104"/>
    </row>
    <row r="25" spans="1:5" x14ac:dyDescent="0.25">
      <c r="A25" s="85"/>
      <c r="B25" s="86"/>
      <c r="C25" s="87"/>
      <c r="D25" s="85"/>
    </row>
    <row r="26" spans="1:5" x14ac:dyDescent="0.25">
      <c r="A26" s="107" t="s">
        <v>42</v>
      </c>
      <c r="B26" s="118" t="s">
        <v>32</v>
      </c>
      <c r="C26" s="119" t="s">
        <v>28</v>
      </c>
      <c r="D26" s="118" t="s">
        <v>28</v>
      </c>
    </row>
    <row r="27" spans="1:5" x14ac:dyDescent="0.25">
      <c r="A27" s="107"/>
      <c r="B27" s="118"/>
      <c r="C27" s="119"/>
      <c r="D27" s="118"/>
    </row>
    <row r="28" spans="1:5" hidden="1" x14ac:dyDescent="0.25">
      <c r="A28" s="82"/>
      <c r="B28" s="83"/>
      <c r="C28" s="84"/>
      <c r="D28" s="83"/>
    </row>
    <row r="29" spans="1:5" ht="30" hidden="1" x14ac:dyDescent="0.25">
      <c r="A29" s="82"/>
      <c r="B29" s="83"/>
      <c r="C29" s="84"/>
      <c r="D29" s="83"/>
      <c r="E29" s="88" t="s">
        <v>50</v>
      </c>
    </row>
    <row r="30" spans="1:5" hidden="1" x14ac:dyDescent="0.25">
      <c r="A30" s="82"/>
      <c r="B30" s="83"/>
      <c r="C30" s="84"/>
      <c r="D30" s="83"/>
    </row>
    <row r="31" spans="1:5" hidden="1" x14ac:dyDescent="0.25">
      <c r="A31" s="82"/>
      <c r="B31" s="83"/>
      <c r="C31" s="84"/>
      <c r="D31" s="83"/>
    </row>
    <row r="32" spans="1:5" hidden="1" x14ac:dyDescent="0.25">
      <c r="A32" s="82"/>
      <c r="B32" s="83"/>
      <c r="C32" s="84"/>
      <c r="D32" s="83"/>
    </row>
    <row r="33" spans="1:5" hidden="1" x14ac:dyDescent="0.25">
      <c r="A33" s="83"/>
      <c r="B33" s="89"/>
      <c r="C33" s="84"/>
      <c r="D33" s="83"/>
    </row>
    <row r="34" spans="1:5" hidden="1" x14ac:dyDescent="0.25">
      <c r="A34" s="83"/>
      <c r="B34" s="89"/>
      <c r="C34" s="84"/>
      <c r="D34" s="83"/>
    </row>
    <row r="35" spans="1:5" hidden="1" x14ac:dyDescent="0.25">
      <c r="A35" s="83"/>
      <c r="B35" s="89"/>
      <c r="C35" s="84"/>
      <c r="D35" s="83"/>
    </row>
    <row r="36" spans="1:5" hidden="1" x14ac:dyDescent="0.25">
      <c r="A36" s="83"/>
      <c r="B36" s="89"/>
      <c r="C36" s="84"/>
      <c r="D36" s="83"/>
    </row>
    <row r="37" spans="1:5" hidden="1" x14ac:dyDescent="0.25">
      <c r="A37" s="83"/>
      <c r="B37" s="89"/>
      <c r="C37" s="84"/>
      <c r="D37" s="83"/>
    </row>
    <row r="38" spans="1:5" hidden="1" x14ac:dyDescent="0.25">
      <c r="A38" s="83"/>
      <c r="B38" s="89"/>
      <c r="C38" s="84"/>
      <c r="D38" s="83"/>
    </row>
    <row r="39" spans="1:5" hidden="1" x14ac:dyDescent="0.25">
      <c r="A39" s="83"/>
      <c r="B39" s="89"/>
      <c r="C39" s="84"/>
      <c r="D39" s="83"/>
    </row>
    <row r="40" spans="1:5" hidden="1" x14ac:dyDescent="0.25">
      <c r="A40" s="83"/>
      <c r="B40" s="89"/>
      <c r="C40" s="84"/>
      <c r="D40" s="83"/>
    </row>
    <row r="41" spans="1:5" hidden="1" x14ac:dyDescent="0.25">
      <c r="A41" s="90"/>
      <c r="B41" s="91"/>
      <c r="C41" s="92"/>
      <c r="D41" s="90"/>
    </row>
    <row r="42" spans="1:5" hidden="1" x14ac:dyDescent="0.25">
      <c r="A42" s="90"/>
      <c r="B42" s="91"/>
      <c r="C42" s="92"/>
      <c r="D42" s="90"/>
    </row>
    <row r="43" spans="1:5" hidden="1" x14ac:dyDescent="0.25"/>
    <row r="46" spans="1:5" s="112" customFormat="1" x14ac:dyDescent="0.25">
      <c r="A46" s="10"/>
      <c r="B46" s="10" t="s">
        <v>29</v>
      </c>
      <c r="C46" s="10" t="s">
        <v>30</v>
      </c>
      <c r="D46" s="10" t="s">
        <v>36</v>
      </c>
      <c r="E46" s="10" t="s">
        <v>43</v>
      </c>
    </row>
    <row r="47" spans="1:5" s="112" customFormat="1" hidden="1" x14ac:dyDescent="0.25">
      <c r="A47" s="113" t="s">
        <v>33</v>
      </c>
      <c r="B47" s="113">
        <f>SUM(B48:B53)</f>
        <v>13</v>
      </c>
      <c r="C47" s="113">
        <f>SUM(C48:C51)</f>
        <v>0</v>
      </c>
      <c r="D47" s="113">
        <f>SUM(D48:D51)</f>
        <v>4</v>
      </c>
      <c r="E47" s="114"/>
    </row>
    <row r="48" spans="1:5" s="117" customFormat="1" x14ac:dyDescent="0.25">
      <c r="A48" s="115" t="s">
        <v>31</v>
      </c>
      <c r="B48" s="115"/>
      <c r="C48" s="115"/>
      <c r="D48" s="115">
        <f>B48+C48</f>
        <v>0</v>
      </c>
      <c r="E48" s="116" t="s">
        <v>144</v>
      </c>
    </row>
    <row r="49" spans="1:5" s="88" customFormat="1" ht="30" x14ac:dyDescent="0.25">
      <c r="A49" s="115" t="s">
        <v>34</v>
      </c>
      <c r="B49" s="115">
        <v>2</v>
      </c>
      <c r="C49" s="93"/>
      <c r="D49" s="115">
        <f>B49+C49</f>
        <v>2</v>
      </c>
      <c r="E49" s="120" t="s">
        <v>142</v>
      </c>
    </row>
    <row r="50" spans="1:5" s="88" customFormat="1" ht="30" x14ac:dyDescent="0.25">
      <c r="A50" s="115" t="s">
        <v>35</v>
      </c>
      <c r="B50" s="115">
        <v>1</v>
      </c>
      <c r="C50" s="93"/>
      <c r="D50" s="115">
        <f t="shared" ref="D50:D53" si="0">B50+C50</f>
        <v>1</v>
      </c>
      <c r="E50" s="121" t="s">
        <v>140</v>
      </c>
    </row>
    <row r="51" spans="1:5" s="117" customFormat="1" ht="30" x14ac:dyDescent="0.25">
      <c r="A51" s="115" t="s">
        <v>40</v>
      </c>
      <c r="B51" s="115">
        <v>1</v>
      </c>
      <c r="C51" s="115"/>
      <c r="D51" s="115">
        <f t="shared" si="0"/>
        <v>1</v>
      </c>
      <c r="E51" s="115" t="s">
        <v>141</v>
      </c>
    </row>
    <row r="52" spans="1:5" s="117" customFormat="1" ht="30" x14ac:dyDescent="0.25">
      <c r="A52" s="115" t="s">
        <v>41</v>
      </c>
      <c r="B52" s="115">
        <v>9</v>
      </c>
      <c r="C52" s="115"/>
      <c r="D52" s="115">
        <f t="shared" si="0"/>
        <v>9</v>
      </c>
      <c r="E52" s="115" t="s">
        <v>143</v>
      </c>
    </row>
    <row r="53" spans="1:5" s="88" customFormat="1" x14ac:dyDescent="0.25">
      <c r="A53" s="115" t="s">
        <v>39</v>
      </c>
      <c r="B53" s="93"/>
      <c r="C53" s="93"/>
      <c r="D53" s="115">
        <f t="shared" si="0"/>
        <v>0</v>
      </c>
      <c r="E53" s="93"/>
    </row>
    <row r="56" spans="1:5" x14ac:dyDescent="0.25">
      <c r="A56" s="81">
        <f>B50+C50</f>
        <v>1</v>
      </c>
    </row>
    <row r="58" spans="1:5" x14ac:dyDescent="0.25">
      <c r="A58" s="81">
        <f>B48+B50+C50+B51+C384+B49</f>
        <v>4</v>
      </c>
    </row>
    <row r="66" spans="1:1" x14ac:dyDescent="0.25">
      <c r="A66" s="81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1</vt:lpstr>
      <vt:lpstr>портефль до погашения</vt:lpstr>
      <vt:lpstr>рейтинг В</vt:lpstr>
      <vt:lpstr>РейтPD</vt:lpstr>
      <vt:lpstr>FRED Graph - раз в квартал</vt:lpstr>
      <vt:lpstr>Справочник отрасли</vt:lpstr>
      <vt:lpstr>Инвест политика</vt:lpstr>
      <vt:lpstr>Справочник эшелоны акции</vt:lpstr>
      <vt:lpstr>Эшелоны результат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2024-04-18T10:05:32Z</dcterms:modified>
</cp:coreProperties>
</file>
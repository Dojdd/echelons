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791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доля  в выпуске" sheetId="34" r:id="rId8"/>
    <sheet name="PositionPortfolioReport " sheetId="38" r:id="rId9"/>
    <sheet name="Синдикаты" sheetId="29" state="hidden" r:id="rId10"/>
    <sheet name="для стресс-теста" sheetId="30" state="hidden" r:id="rId11"/>
    <sheet name="Для КУАП" sheetId="18" state="hidden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_DumProb">OFFSET([1]BetaSolver!$R$4,0,0,COUNTA([1]BetaSolver!$R$5:$R$1000),1)</definedName>
    <definedName name="_xlnm._FilterDatabase" localSheetId="8" hidden="1">'PositionPortfolioReport '!$A$6:$P$222</definedName>
    <definedName name="_xlnm._FilterDatabase" localSheetId="11" hidden="1">'Для КУАП'!$A$2:$E$24</definedName>
    <definedName name="_xlnm._FilterDatabase" localSheetId="10" hidden="1">'для стресс-теста'!$A$22:$E$82</definedName>
    <definedName name="_xlnm._FilterDatabase" localSheetId="7" hidden="1">'доля  в выпуске'!$H$3:$K$95</definedName>
    <definedName name="_xlnm._FilterDatabase" localSheetId="4" hidden="1">'Инвест политика'!$A$26:$T$119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10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IQWBGuid" hidden="1">"84417cf5-4b48-4e52-a27f-49f1c754c942"</definedName>
    <definedName name="CIQWBInfo" hidden="1">"{ ""CIQVersion"":""9.45.614.5792"" }"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10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10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10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10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10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10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6" i="34" l="1"/>
  <c r="F117" i="25" l="1"/>
  <c r="I117" i="25"/>
  <c r="F118" i="25"/>
  <c r="I118" i="25"/>
  <c r="F119" i="25"/>
  <c r="I119" i="25"/>
  <c r="J71" i="19"/>
  <c r="I92" i="34" l="1"/>
  <c r="J92" i="34"/>
  <c r="I93" i="34"/>
  <c r="J93" i="34"/>
  <c r="I94" i="34"/>
  <c r="J94" i="34"/>
  <c r="K94" i="34" l="1"/>
  <c r="K93" i="34"/>
  <c r="K92" i="34"/>
  <c r="J62" i="19"/>
  <c r="J63" i="19"/>
  <c r="J64" i="19"/>
  <c r="J65" i="19"/>
  <c r="J66" i="19"/>
  <c r="J61" i="19"/>
  <c r="I32" i="34" l="1"/>
  <c r="I5" i="34"/>
  <c r="J5" i="34"/>
  <c r="I6" i="34"/>
  <c r="J6" i="34"/>
  <c r="I7" i="34"/>
  <c r="J7" i="34"/>
  <c r="I8" i="34"/>
  <c r="J8" i="34"/>
  <c r="I9" i="34"/>
  <c r="J9" i="34"/>
  <c r="I10" i="34"/>
  <c r="J10" i="34"/>
  <c r="I11" i="34"/>
  <c r="J11" i="34"/>
  <c r="I12" i="34"/>
  <c r="J12" i="34"/>
  <c r="I13" i="34"/>
  <c r="J13" i="34"/>
  <c r="I14" i="34"/>
  <c r="J14" i="34"/>
  <c r="I15" i="34"/>
  <c r="J15" i="34"/>
  <c r="I16" i="34"/>
  <c r="J16" i="34"/>
  <c r="I17" i="34"/>
  <c r="J17" i="34"/>
  <c r="I18" i="34"/>
  <c r="J18" i="34"/>
  <c r="I19" i="34"/>
  <c r="J19" i="34"/>
  <c r="I20" i="34"/>
  <c r="J20" i="34"/>
  <c r="I21" i="34"/>
  <c r="J21" i="34"/>
  <c r="I22" i="34"/>
  <c r="J22" i="34"/>
  <c r="I23" i="34"/>
  <c r="J23" i="34"/>
  <c r="I24" i="34"/>
  <c r="J24" i="34"/>
  <c r="I25" i="34"/>
  <c r="J25" i="34"/>
  <c r="I26" i="34"/>
  <c r="J26" i="34"/>
  <c r="I27" i="34"/>
  <c r="J27" i="34"/>
  <c r="I28" i="34"/>
  <c r="J28" i="34"/>
  <c r="I29" i="34"/>
  <c r="J29" i="34"/>
  <c r="I30" i="34"/>
  <c r="J30" i="34"/>
  <c r="I31" i="34"/>
  <c r="J31" i="34"/>
  <c r="J32" i="34"/>
  <c r="I33" i="34"/>
  <c r="J33" i="34"/>
  <c r="I34" i="34"/>
  <c r="J34" i="34"/>
  <c r="I35" i="34"/>
  <c r="J35" i="34"/>
  <c r="I36" i="34"/>
  <c r="J36" i="34"/>
  <c r="I37" i="34"/>
  <c r="J37" i="34"/>
  <c r="I38" i="34"/>
  <c r="J38" i="34"/>
  <c r="I39" i="34"/>
  <c r="J39" i="34"/>
  <c r="I40" i="34"/>
  <c r="J40" i="34"/>
  <c r="I41" i="34"/>
  <c r="J41" i="34"/>
  <c r="I42" i="34"/>
  <c r="J42" i="34"/>
  <c r="I43" i="34"/>
  <c r="J43" i="34"/>
  <c r="I44" i="34"/>
  <c r="J44" i="34"/>
  <c r="I45" i="34"/>
  <c r="J45" i="34"/>
  <c r="I46" i="34"/>
  <c r="J46" i="34"/>
  <c r="I47" i="34"/>
  <c r="J47" i="34"/>
  <c r="I48" i="34"/>
  <c r="J48" i="34"/>
  <c r="I49" i="34"/>
  <c r="J49" i="34"/>
  <c r="I50" i="34"/>
  <c r="J50" i="34"/>
  <c r="I51" i="34"/>
  <c r="J51" i="34"/>
  <c r="I52" i="34"/>
  <c r="J52" i="34"/>
  <c r="I53" i="34"/>
  <c r="J53" i="34"/>
  <c r="I54" i="34"/>
  <c r="J54" i="34"/>
  <c r="I55" i="34"/>
  <c r="J55" i="34"/>
  <c r="I56" i="34"/>
  <c r="J56" i="34"/>
  <c r="I57" i="34"/>
  <c r="J57" i="34"/>
  <c r="I58" i="34"/>
  <c r="J58" i="34"/>
  <c r="I59" i="34"/>
  <c r="J59" i="34"/>
  <c r="I60" i="34"/>
  <c r="J60" i="34"/>
  <c r="I61" i="34"/>
  <c r="J61" i="34"/>
  <c r="I62" i="34"/>
  <c r="J62" i="34"/>
  <c r="I63" i="34"/>
  <c r="J63" i="34"/>
  <c r="I64" i="34"/>
  <c r="J64" i="34"/>
  <c r="I65" i="34"/>
  <c r="J65" i="34"/>
  <c r="I66" i="34"/>
  <c r="I67" i="34"/>
  <c r="J67" i="34"/>
  <c r="I68" i="34"/>
  <c r="J68" i="34"/>
  <c r="I69" i="34"/>
  <c r="J69" i="34"/>
  <c r="I70" i="34"/>
  <c r="J70" i="34"/>
  <c r="I71" i="34"/>
  <c r="J71" i="34"/>
  <c r="I72" i="34"/>
  <c r="J72" i="34"/>
  <c r="I73" i="34"/>
  <c r="J73" i="34"/>
  <c r="I74" i="34"/>
  <c r="J74" i="34"/>
  <c r="I75" i="34"/>
  <c r="J75" i="34"/>
  <c r="I76" i="34"/>
  <c r="J76" i="34"/>
  <c r="I77" i="34"/>
  <c r="J77" i="34"/>
  <c r="I78" i="34"/>
  <c r="J78" i="34"/>
  <c r="I79" i="34"/>
  <c r="J79" i="34"/>
  <c r="I80" i="34"/>
  <c r="J80" i="34"/>
  <c r="I81" i="34"/>
  <c r="J81" i="34"/>
  <c r="I82" i="34"/>
  <c r="J82" i="34"/>
  <c r="I83" i="34"/>
  <c r="J83" i="34"/>
  <c r="I84" i="34"/>
  <c r="J84" i="34"/>
  <c r="I85" i="34"/>
  <c r="J85" i="34"/>
  <c r="I86" i="34"/>
  <c r="J86" i="34"/>
  <c r="I87" i="34"/>
  <c r="J87" i="34"/>
  <c r="I88" i="34"/>
  <c r="J88" i="34"/>
  <c r="I89" i="34"/>
  <c r="J89" i="34"/>
  <c r="I90" i="34"/>
  <c r="J90" i="34"/>
  <c r="I91" i="34"/>
  <c r="J91" i="34"/>
  <c r="I4" i="34"/>
  <c r="J4" i="34"/>
  <c r="K4" i="34" l="1"/>
  <c r="K47" i="34"/>
  <c r="K39" i="34"/>
  <c r="K31" i="34"/>
  <c r="K27" i="34"/>
  <c r="K23" i="34"/>
  <c r="K21" i="34"/>
  <c r="K15" i="34"/>
  <c r="K11" i="34"/>
  <c r="K7" i="34"/>
  <c r="K91" i="34"/>
  <c r="K87" i="34"/>
  <c r="K79" i="34"/>
  <c r="K75" i="34"/>
  <c r="K71" i="34"/>
  <c r="K63" i="34"/>
  <c r="K55" i="34"/>
  <c r="K28" i="34"/>
  <c r="K26" i="34"/>
  <c r="K24" i="34"/>
  <c r="K18" i="34"/>
  <c r="K12" i="34"/>
  <c r="K10" i="34"/>
  <c r="K84" i="34"/>
  <c r="K80" i="34"/>
  <c r="K68" i="34"/>
  <c r="K64" i="34"/>
  <c r="K52" i="34"/>
  <c r="K48" i="34"/>
  <c r="K36" i="34"/>
  <c r="K32" i="34"/>
  <c r="K20" i="34"/>
  <c r="K16" i="34"/>
  <c r="K8" i="34"/>
  <c r="K81" i="34"/>
  <c r="K57" i="34"/>
  <c r="K33" i="34"/>
  <c r="K72" i="34"/>
  <c r="K66" i="34"/>
  <c r="K60" i="34"/>
  <c r="K58" i="34"/>
  <c r="K56" i="34"/>
  <c r="K90" i="34"/>
  <c r="K88" i="34"/>
  <c r="K73" i="34"/>
  <c r="K50" i="34"/>
  <c r="K44" i="34"/>
  <c r="K42" i="34"/>
  <c r="K40" i="34"/>
  <c r="K65" i="34"/>
  <c r="K17" i="34"/>
  <c r="K9" i="34"/>
  <c r="K76" i="34"/>
  <c r="K74" i="34"/>
  <c r="K49" i="34"/>
  <c r="K41" i="34"/>
  <c r="K86" i="34"/>
  <c r="K77" i="34"/>
  <c r="K70" i="34"/>
  <c r="K61" i="34"/>
  <c r="K59" i="34"/>
  <c r="K54" i="34"/>
  <c r="K45" i="34"/>
  <c r="K43" i="34"/>
  <c r="K38" i="34"/>
  <c r="K29" i="34"/>
  <c r="K22" i="34"/>
  <c r="K13" i="34"/>
  <c r="K6" i="34"/>
  <c r="K89" i="34"/>
  <c r="K82" i="34"/>
  <c r="K34" i="34"/>
  <c r="K25" i="34"/>
  <c r="K85" i="34"/>
  <c r="K83" i="34"/>
  <c r="K78" i="34"/>
  <c r="K69" i="34"/>
  <c r="K67" i="34"/>
  <c r="K62" i="34"/>
  <c r="K53" i="34"/>
  <c r="K51" i="34"/>
  <c r="K46" i="34"/>
  <c r="K37" i="34"/>
  <c r="K35" i="34"/>
  <c r="K30" i="34"/>
  <c r="K19" i="34"/>
  <c r="K14" i="34"/>
  <c r="K5" i="34"/>
  <c r="E18" i="33" l="1"/>
  <c r="T4" i="20" l="1"/>
  <c r="S4" i="20"/>
  <c r="F113" i="25"/>
  <c r="F114" i="25"/>
  <c r="F115" i="25"/>
  <c r="F116" i="25"/>
  <c r="I113" i="25"/>
  <c r="I114" i="25"/>
  <c r="I115" i="25"/>
  <c r="I116" i="25"/>
  <c r="D24" i="25"/>
  <c r="F81" i="25"/>
  <c r="I112" i="25"/>
  <c r="F112" i="25"/>
  <c r="I111" i="25"/>
  <c r="F111" i="25"/>
  <c r="I110" i="25"/>
  <c r="F110" i="25"/>
  <c r="C117" i="20" l="1"/>
  <c r="J70" i="19"/>
  <c r="C116" i="20" l="1"/>
  <c r="F10" i="25" l="1"/>
  <c r="I29" i="33" l="1"/>
  <c r="B3" i="33" l="1"/>
  <c r="B4" i="33"/>
  <c r="B5" i="33"/>
  <c r="B6" i="33"/>
  <c r="B7" i="33"/>
  <c r="B8" i="33"/>
  <c r="B9" i="33"/>
  <c r="B10" i="33"/>
  <c r="B11" i="33"/>
  <c r="B12" i="33"/>
  <c r="B2" i="33"/>
  <c r="B13" i="33" l="1"/>
  <c r="B14" i="33" s="1"/>
  <c r="J4" i="25"/>
  <c r="C3" i="33" l="1"/>
  <c r="C6" i="33"/>
  <c r="C2" i="33"/>
  <c r="C9" i="33"/>
  <c r="C5" i="33"/>
  <c r="C12" i="33"/>
  <c r="C8" i="33"/>
  <c r="C4" i="33"/>
  <c r="C10" i="33"/>
  <c r="C11" i="33"/>
  <c r="C7" i="33"/>
  <c r="G13" i="16" l="1"/>
  <c r="L13" i="16" s="1"/>
  <c r="I21" i="33" l="1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P21" i="33"/>
  <c r="N17" i="33"/>
  <c r="I18" i="33" l="1"/>
  <c r="J18" i="33" s="1"/>
  <c r="P22" i="33"/>
  <c r="K5" i="29"/>
  <c r="E13" i="16" l="1"/>
  <c r="H13" i="16" s="1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27" i="25"/>
  <c r="M30" i="25"/>
  <c r="M38" i="25"/>
  <c r="M39" i="25"/>
  <c r="M49" i="25"/>
  <c r="M50" i="25"/>
  <c r="M52" i="25"/>
  <c r="M56" i="25"/>
  <c r="M58" i="25"/>
  <c r="M59" i="25"/>
  <c r="M60" i="25"/>
  <c r="M62" i="25"/>
  <c r="M64" i="25"/>
  <c r="M67" i="25"/>
  <c r="M69" i="25"/>
  <c r="M73" i="25"/>
  <c r="M75" i="25"/>
  <c r="C81" i="16" l="1"/>
  <c r="J68" i="19"/>
  <c r="J69" i="19"/>
  <c r="B42" i="29" l="1"/>
  <c r="B49" i="29"/>
  <c r="B48" i="29"/>
  <c r="J5" i="29" l="1"/>
  <c r="E124" i="16"/>
  <c r="G79" i="16" l="1"/>
  <c r="G83" i="16"/>
  <c r="C78" i="16" l="1"/>
  <c r="G78" i="16" s="1"/>
  <c r="H12" i="16" l="1"/>
  <c r="H3" i="28"/>
  <c r="M27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E32" i="20" l="1"/>
  <c r="E115" i="20" s="1"/>
  <c r="E31" i="20"/>
  <c r="J5" i="24"/>
  <c r="E117" i="20" l="1"/>
  <c r="D117" i="20"/>
  <c r="E99" i="20"/>
  <c r="D82" i="20"/>
  <c r="D72" i="20"/>
  <c r="D108" i="20"/>
  <c r="D65" i="20"/>
  <c r="X4" i="20"/>
  <c r="X6" i="20" s="1"/>
  <c r="E102" i="20"/>
  <c r="D66" i="20"/>
  <c r="E111" i="20"/>
  <c r="E66" i="20"/>
  <c r="E68" i="20"/>
  <c r="D67" i="20"/>
  <c r="E97" i="20"/>
  <c r="D75" i="20"/>
  <c r="E85" i="20"/>
  <c r="D113" i="20"/>
  <c r="D49" i="20"/>
  <c r="D55" i="20"/>
  <c r="E61" i="20"/>
  <c r="D63" i="20"/>
  <c r="D91" i="20"/>
  <c r="D54" i="20"/>
  <c r="D84" i="20"/>
  <c r="D60" i="20"/>
  <c r="E91" i="20"/>
  <c r="E71" i="20"/>
  <c r="D81" i="20"/>
  <c r="E84" i="20"/>
  <c r="D110" i="20"/>
  <c r="E93" i="20"/>
  <c r="E79" i="20"/>
  <c r="E98" i="20"/>
  <c r="E94" i="20"/>
  <c r="E75" i="20"/>
  <c r="E65" i="20"/>
  <c r="D90" i="20"/>
  <c r="D80" i="20"/>
  <c r="D114" i="20"/>
  <c r="D95" i="20"/>
  <c r="E56" i="20"/>
  <c r="E57" i="20"/>
  <c r="E60" i="20"/>
  <c r="D78" i="20"/>
  <c r="D76" i="20"/>
  <c r="D106" i="20"/>
  <c r="D97" i="20"/>
  <c r="E100" i="20"/>
  <c r="E58" i="20"/>
  <c r="E116" i="20"/>
  <c r="D96" i="20"/>
  <c r="E109" i="20"/>
  <c r="D58" i="20"/>
  <c r="E95" i="20"/>
  <c r="D79" i="20"/>
  <c r="E82" i="20"/>
  <c r="D107" i="20"/>
  <c r="E78" i="20"/>
  <c r="E73" i="20"/>
  <c r="D48" i="20"/>
  <c r="D64" i="20"/>
  <c r="E81" i="20"/>
  <c r="D102" i="20"/>
  <c r="E67" i="20"/>
  <c r="E110" i="20"/>
  <c r="E89" i="20"/>
  <c r="D99" i="20"/>
  <c r="D88" i="20"/>
  <c r="E101" i="20"/>
  <c r="D68" i="20"/>
  <c r="E87" i="20"/>
  <c r="D104" i="20"/>
  <c r="D109" i="20"/>
  <c r="D93" i="20"/>
  <c r="D77" i="20"/>
  <c r="D61" i="20"/>
  <c r="E112" i="20"/>
  <c r="E96" i="20"/>
  <c r="E80" i="20"/>
  <c r="D103" i="20"/>
  <c r="E106" i="20"/>
  <c r="E51" i="20"/>
  <c r="E59" i="20"/>
  <c r="E54" i="20"/>
  <c r="E83" i="20"/>
  <c r="E62" i="20"/>
  <c r="D94" i="20"/>
  <c r="D51" i="20"/>
  <c r="E53" i="20"/>
  <c r="D52" i="20"/>
  <c r="D70" i="20"/>
  <c r="E103" i="20"/>
  <c r="D100" i="20"/>
  <c r="D105" i="20"/>
  <c r="D89" i="20"/>
  <c r="D73" i="20"/>
  <c r="D57" i="20"/>
  <c r="E108" i="20"/>
  <c r="E92" i="20"/>
  <c r="E76" i="20"/>
  <c r="D87" i="20"/>
  <c r="E90" i="20"/>
  <c r="D92" i="20"/>
  <c r="E107" i="20"/>
  <c r="D115" i="20"/>
  <c r="D116" i="20"/>
  <c r="D56" i="20"/>
  <c r="E77" i="20"/>
  <c r="D98" i="20"/>
  <c r="E63" i="20"/>
  <c r="D111" i="20"/>
  <c r="E114" i="20"/>
  <c r="D50" i="20"/>
  <c r="D59" i="20"/>
  <c r="E64" i="20"/>
  <c r="E50" i="20"/>
  <c r="E86" i="20"/>
  <c r="E49" i="20"/>
  <c r="E113" i="20"/>
  <c r="D62" i="20"/>
  <c r="E48" i="20"/>
  <c r="E52" i="20"/>
  <c r="D74" i="20"/>
  <c r="E70" i="20"/>
  <c r="E69" i="20"/>
  <c r="D86" i="20"/>
  <c r="E55" i="20"/>
  <c r="D112" i="20"/>
  <c r="D101" i="20"/>
  <c r="D85" i="20"/>
  <c r="D69" i="20"/>
  <c r="D53" i="20"/>
  <c r="E104" i="20"/>
  <c r="E88" i="20"/>
  <c r="E72" i="20"/>
  <c r="D71" i="20"/>
  <c r="E74" i="20"/>
  <c r="E105" i="20"/>
  <c r="D83" i="20"/>
  <c r="H35" i="20"/>
  <c r="I35" i="20" s="1"/>
  <c r="H31" i="20"/>
  <c r="I31" i="20" s="1"/>
  <c r="H34" i="20"/>
  <c r="I34" i="20" s="1"/>
  <c r="H33" i="20"/>
  <c r="I33" i="20" s="1"/>
  <c r="H32" i="20"/>
  <c r="I32" i="20" s="1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U4" i="20" l="1"/>
  <c r="V4" i="20" s="1"/>
  <c r="S22" i="30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57" i="16"/>
  <c r="C46" i="29" l="1"/>
  <c r="C45" i="29"/>
  <c r="C47" i="29"/>
  <c r="C48" i="29"/>
  <c r="C68" i="16"/>
  <c r="D64" i="16" s="1"/>
  <c r="C50" i="29" l="1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F11" i="25" s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G85" i="28" l="1"/>
  <c r="G80" i="28"/>
  <c r="G69" i="28" l="1"/>
  <c r="H117" i="28"/>
  <c r="H128" i="28"/>
  <c r="H87" i="28"/>
  <c r="H160" i="28"/>
  <c r="H26" i="28"/>
  <c r="H111" i="28"/>
  <c r="H41" i="28"/>
  <c r="H12" i="28"/>
  <c r="H5" i="28"/>
  <c r="H82" i="28"/>
  <c r="H113" i="28"/>
  <c r="H59" i="28"/>
  <c r="H77" i="28"/>
  <c r="H11" i="28"/>
  <c r="H23" i="28"/>
  <c r="H114" i="28"/>
  <c r="H119" i="28"/>
  <c r="H104" i="28"/>
  <c r="H21" i="28"/>
  <c r="H33" i="28"/>
  <c r="H125" i="28"/>
  <c r="H139" i="28"/>
  <c r="H47" i="28"/>
  <c r="H91" i="28"/>
  <c r="H4" i="28"/>
  <c r="H140" i="28"/>
  <c r="H7" i="28"/>
  <c r="H127" i="28"/>
  <c r="H121" i="28"/>
  <c r="H30" i="28"/>
  <c r="H64" i="28"/>
  <c r="H44" i="28"/>
  <c r="H142" i="28"/>
  <c r="H134" i="28"/>
  <c r="H61" i="28"/>
  <c r="H10" i="28"/>
  <c r="H68" i="28"/>
  <c r="H79" i="28"/>
  <c r="H56" i="28"/>
  <c r="H132" i="28"/>
  <c r="H50" i="28"/>
  <c r="H62" i="28"/>
  <c r="H52" i="28"/>
  <c r="H157" i="28"/>
  <c r="H129" i="28"/>
  <c r="H25" i="28"/>
  <c r="H6" i="28"/>
  <c r="H102" i="28"/>
  <c r="H55" i="28"/>
  <c r="H39" i="28"/>
  <c r="H16" i="28"/>
  <c r="H118" i="28"/>
  <c r="H99" i="28"/>
  <c r="H103" i="28"/>
  <c r="H48" i="28"/>
  <c r="H116" i="28"/>
  <c r="H93" i="28"/>
  <c r="H28" i="28"/>
  <c r="H81" i="28"/>
  <c r="H36" i="28"/>
  <c r="H80" i="28"/>
  <c r="H130" i="28"/>
  <c r="H101" i="28"/>
  <c r="H151" i="28"/>
  <c r="H17" i="28"/>
  <c r="H46" i="28"/>
  <c r="H20" i="28"/>
  <c r="H74" i="28"/>
  <c r="H45" i="28"/>
  <c r="H43" i="28"/>
  <c r="H147" i="28"/>
  <c r="H42" i="28"/>
  <c r="H149" i="28"/>
  <c r="H73" i="28"/>
  <c r="H63" i="28"/>
  <c r="H88" i="28"/>
  <c r="H143" i="28"/>
  <c r="H24" i="28"/>
  <c r="H144" i="28"/>
  <c r="H161" i="28"/>
  <c r="H145" i="28"/>
  <c r="H67" i="28"/>
  <c r="H83" i="28"/>
  <c r="H34" i="28"/>
  <c r="H109" i="28"/>
  <c r="H92" i="28"/>
  <c r="H72" i="28"/>
  <c r="H100" i="28"/>
  <c r="H32" i="28"/>
  <c r="H96" i="28"/>
  <c r="H14" i="28"/>
  <c r="H60" i="28"/>
  <c r="H40" i="28"/>
  <c r="H51" i="28"/>
  <c r="H9" i="28"/>
  <c r="H31" i="28"/>
  <c r="H154" i="28"/>
  <c r="H29" i="28"/>
  <c r="H150" i="28"/>
  <c r="H141" i="28"/>
  <c r="H158" i="28"/>
  <c r="H22" i="28"/>
  <c r="H156" i="28"/>
  <c r="H115" i="28"/>
  <c r="H49" i="28"/>
  <c r="H107" i="28"/>
  <c r="H122" i="28"/>
  <c r="H27" i="28"/>
  <c r="H76" i="28"/>
  <c r="H97" i="28"/>
  <c r="H148" i="28"/>
  <c r="H110" i="28"/>
  <c r="H123" i="28"/>
  <c r="H84" i="28"/>
  <c r="H35" i="28"/>
  <c r="H124" i="28"/>
  <c r="H53" i="28"/>
  <c r="H75" i="28"/>
  <c r="H105" i="28"/>
  <c r="H66" i="28"/>
  <c r="H58" i="28"/>
  <c r="H138" i="28"/>
  <c r="H18" i="28"/>
  <c r="H69" i="28"/>
  <c r="H78" i="28"/>
  <c r="H70" i="28"/>
  <c r="H126" i="28"/>
  <c r="H95" i="28"/>
  <c r="H8" i="28"/>
  <c r="H65" i="28"/>
  <c r="H120" i="28"/>
  <c r="H90" i="28"/>
  <c r="H86" i="28"/>
  <c r="H133" i="28"/>
  <c r="H37" i="28"/>
  <c r="H89" i="28"/>
  <c r="H135" i="28"/>
  <c r="H131" i="28"/>
  <c r="H146" i="28"/>
  <c r="H85" i="28"/>
  <c r="H155" i="28"/>
  <c r="H15" i="28"/>
  <c r="H108" i="28"/>
  <c r="H106" i="28"/>
  <c r="H112" i="28"/>
  <c r="H57" i="28"/>
  <c r="H159" i="28"/>
  <c r="H94" i="28"/>
  <c r="H54" i="28"/>
  <c r="H38" i="28"/>
  <c r="H71" i="28"/>
  <c r="H152" i="28"/>
  <c r="H136" i="28"/>
  <c r="H98" i="28"/>
  <c r="H137" i="28"/>
  <c r="H13" i="28"/>
  <c r="H19" i="28"/>
  <c r="H153" i="28"/>
  <c r="B1" i="28"/>
  <c r="J119" i="25" l="1"/>
  <c r="J118" i="25"/>
  <c r="J117" i="25"/>
  <c r="J110" i="25"/>
  <c r="J114" i="25"/>
  <c r="J112" i="25"/>
  <c r="J116" i="25"/>
  <c r="J111" i="25"/>
  <c r="J109" i="25"/>
  <c r="J115" i="25"/>
  <c r="J113" i="25"/>
  <c r="G3" i="28"/>
  <c r="J32" i="25" l="1"/>
  <c r="J48" i="25"/>
  <c r="J96" i="25"/>
  <c r="J59" i="25"/>
  <c r="J37" i="25"/>
  <c r="J53" i="25"/>
  <c r="J105" i="25"/>
  <c r="J42" i="25"/>
  <c r="J58" i="25"/>
  <c r="J106" i="25"/>
  <c r="J63" i="25"/>
  <c r="J107" i="25"/>
  <c r="J40" i="25"/>
  <c r="J56" i="25"/>
  <c r="J72" i="25"/>
  <c r="J88" i="25"/>
  <c r="J29" i="25"/>
  <c r="J45" i="25"/>
  <c r="J91" i="25"/>
  <c r="J50" i="25"/>
  <c r="J82" i="25"/>
  <c r="J43" i="25"/>
  <c r="J99" i="25"/>
  <c r="J49" i="25"/>
  <c r="J101" i="25"/>
  <c r="J55" i="25"/>
  <c r="J38" i="25"/>
  <c r="J54" i="25"/>
  <c r="J86" i="25"/>
  <c r="J95" i="25"/>
  <c r="J36" i="25"/>
  <c r="J52" i="25"/>
  <c r="J68" i="25"/>
  <c r="J100" i="25"/>
  <c r="J41" i="25"/>
  <c r="J57" i="25"/>
  <c r="J89" i="25"/>
  <c r="J35" i="25"/>
  <c r="J30" i="25"/>
  <c r="J46" i="25"/>
  <c r="J94" i="25"/>
  <c r="J31" i="25"/>
  <c r="J75" i="25"/>
  <c r="J108" i="25"/>
  <c r="J97" i="25"/>
  <c r="J47" i="25"/>
  <c r="J34" i="25"/>
  <c r="J98" i="25"/>
  <c r="J87" i="25"/>
  <c r="J28" i="25"/>
  <c r="J44" i="25"/>
  <c r="J76" i="25"/>
  <c r="J92" i="25"/>
  <c r="J39" i="25"/>
  <c r="J33" i="25"/>
  <c r="J81" i="25"/>
  <c r="J103" i="25"/>
  <c r="J102" i="25"/>
  <c r="J51" i="25"/>
  <c r="J104" i="25"/>
  <c r="J93" i="25"/>
  <c r="J27" i="25"/>
  <c r="M8" i="25" l="1"/>
  <c r="M10" i="25"/>
  <c r="M9" i="25"/>
  <c r="M11" i="25"/>
  <c r="C82" i="16"/>
  <c r="G82" i="16" s="1"/>
  <c r="M12" i="25" l="1"/>
  <c r="J5" i="25" l="1"/>
  <c r="J6" i="25"/>
  <c r="J7" i="25"/>
  <c r="J8" i="25"/>
  <c r="J9" i="25"/>
  <c r="J10" i="25"/>
  <c r="J11" i="25"/>
  <c r="J12" i="25"/>
  <c r="J13" i="25"/>
  <c r="J14" i="25"/>
  <c r="J15" i="25" l="1"/>
  <c r="N8" i="25"/>
  <c r="M13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6" i="25"/>
  <c r="Q10" i="25" l="1"/>
  <c r="Q11" i="25" l="1"/>
  <c r="Q12" i="25" s="1"/>
  <c r="M7" i="25"/>
  <c r="F8" i="25"/>
  <c r="A1" i="25"/>
  <c r="B1" i="25"/>
  <c r="R9" i="25" l="1"/>
  <c r="R8" i="25"/>
  <c r="R10" i="25"/>
  <c r="M28" i="25"/>
  <c r="M29" i="25"/>
  <c r="M31" i="25"/>
  <c r="M32" i="25"/>
  <c r="M33" i="25"/>
  <c r="M34" i="25"/>
  <c r="M35" i="25"/>
  <c r="M36" i="25"/>
  <c r="M37" i="25"/>
  <c r="M40" i="25"/>
  <c r="M41" i="25"/>
  <c r="M42" i="25"/>
  <c r="M43" i="25"/>
  <c r="M44" i="25"/>
  <c r="M45" i="25"/>
  <c r="M46" i="25"/>
  <c r="M47" i="25"/>
  <c r="M48" i="25"/>
  <c r="M51" i="25"/>
  <c r="M53" i="25"/>
  <c r="M54" i="25"/>
  <c r="M55" i="25"/>
  <c r="M57" i="25"/>
  <c r="M61" i="25"/>
  <c r="M63" i="25"/>
  <c r="M65" i="25"/>
  <c r="M66" i="25"/>
  <c r="M68" i="25"/>
  <c r="M70" i="25"/>
  <c r="M71" i="25"/>
  <c r="M72" i="25"/>
  <c r="M74" i="25"/>
  <c r="M76" i="25"/>
  <c r="M77" i="25"/>
  <c r="M78" i="25" l="1"/>
  <c r="G9" i="25"/>
  <c r="G10" i="25"/>
  <c r="N71" i="25" l="1"/>
  <c r="N49" i="25"/>
  <c r="N52" i="25"/>
  <c r="N58" i="25"/>
  <c r="N60" i="25"/>
  <c r="N64" i="25"/>
  <c r="N69" i="25"/>
  <c r="N75" i="25"/>
  <c r="N38" i="25"/>
  <c r="N67" i="25"/>
  <c r="N62" i="25"/>
  <c r="N59" i="25"/>
  <c r="N56" i="25"/>
  <c r="N50" i="25"/>
  <c r="N39" i="25"/>
  <c r="N73" i="25"/>
  <c r="N30" i="25"/>
  <c r="N32" i="25"/>
  <c r="N48" i="25"/>
  <c r="N61" i="25"/>
  <c r="N29" i="25"/>
  <c r="N45" i="25"/>
  <c r="N54" i="25"/>
  <c r="N36" i="25"/>
  <c r="N68" i="25"/>
  <c r="N33" i="25"/>
  <c r="N34" i="25"/>
  <c r="N27" i="25"/>
  <c r="N40" i="25"/>
  <c r="N72" i="25"/>
  <c r="N77" i="25"/>
  <c r="N37" i="25"/>
  <c r="N57" i="25"/>
  <c r="N31" i="25"/>
  <c r="N28" i="25"/>
  <c r="N44" i="25"/>
  <c r="N76" i="25"/>
  <c r="N74" i="25"/>
  <c r="N41" i="25"/>
  <c r="N65" i="25"/>
  <c r="N43" i="25"/>
  <c r="N47" i="25"/>
  <c r="N46" i="25"/>
  <c r="N66" i="25"/>
  <c r="N63" i="25"/>
  <c r="N53" i="25"/>
  <c r="N70" i="25"/>
  <c r="N42" i="25"/>
  <c r="N35" i="25"/>
  <c r="N51" i="25"/>
  <c r="N55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27" i="25"/>
  <c r="B2" i="25" l="1"/>
  <c r="B18" i="25"/>
  <c r="B19" i="25"/>
  <c r="B16" i="25"/>
  <c r="B17" i="25"/>
  <c r="B15" i="25"/>
  <c r="B3" i="25"/>
  <c r="B11" i="25"/>
  <c r="B7" i="25"/>
  <c r="B4" i="25"/>
  <c r="B8" i="25"/>
  <c r="B12" i="25"/>
  <c r="B5" i="25"/>
  <c r="B9" i="25"/>
  <c r="B13" i="25"/>
  <c r="B6" i="25"/>
  <c r="B10" i="25"/>
  <c r="B14" i="25"/>
  <c r="B20" i="25" l="1"/>
  <c r="B21" i="25" l="1"/>
  <c r="G117" i="25"/>
  <c r="G118" i="25"/>
  <c r="G119" i="25"/>
  <c r="G113" i="25"/>
  <c r="G114" i="25"/>
  <c r="G116" i="25"/>
  <c r="G115" i="25"/>
  <c r="C18" i="25"/>
  <c r="G112" i="25"/>
  <c r="G111" i="25"/>
  <c r="G110" i="25"/>
  <c r="G74" i="25"/>
  <c r="G43" i="25"/>
  <c r="G35" i="25"/>
  <c r="G46" i="25"/>
  <c r="G108" i="25"/>
  <c r="C15" i="25"/>
  <c r="G38" i="25"/>
  <c r="G100" i="25"/>
  <c r="G99" i="25"/>
  <c r="G77" i="25"/>
  <c r="G56" i="25"/>
  <c r="G85" i="25"/>
  <c r="C3" i="25"/>
  <c r="G49" i="25"/>
  <c r="G29" i="25"/>
  <c r="G52" i="25"/>
  <c r="G106" i="25"/>
  <c r="C2" i="25"/>
  <c r="G76" i="25"/>
  <c r="G109" i="25"/>
  <c r="G71" i="25"/>
  <c r="G31" i="25"/>
  <c r="G42" i="25"/>
  <c r="G91" i="25"/>
  <c r="C14" i="25"/>
  <c r="G48" i="25"/>
  <c r="G27" i="25"/>
  <c r="G78" i="25"/>
  <c r="G68" i="25"/>
  <c r="G41" i="25"/>
  <c r="G79" i="25"/>
  <c r="G55" i="25"/>
  <c r="G44" i="25"/>
  <c r="G82" i="25"/>
  <c r="C10" i="25"/>
  <c r="G58" i="25"/>
  <c r="G102" i="25"/>
  <c r="C19" i="25"/>
  <c r="G34" i="25"/>
  <c r="C4" i="25"/>
  <c r="G51" i="25"/>
  <c r="G36" i="25"/>
  <c r="G101" i="25"/>
  <c r="G90" i="25"/>
  <c r="G62" i="25"/>
  <c r="C11" i="25"/>
  <c r="G39" i="25"/>
  <c r="G59" i="25"/>
  <c r="G28" i="25"/>
  <c r="G93" i="25"/>
  <c r="G65" i="25"/>
  <c r="G54" i="25"/>
  <c r="C13" i="25"/>
  <c r="G72" i="25"/>
  <c r="G81" i="25"/>
  <c r="G95" i="25"/>
  <c r="G97" i="25"/>
  <c r="G83" i="25"/>
  <c r="G64" i="25"/>
  <c r="G88" i="25"/>
  <c r="G70" i="25"/>
  <c r="C12" i="25"/>
  <c r="G107" i="25"/>
  <c r="G75" i="25"/>
  <c r="M79" i="25"/>
  <c r="G53" i="25"/>
  <c r="G47" i="25"/>
  <c r="G45" i="25"/>
  <c r="C6" i="25"/>
  <c r="G105" i="25"/>
  <c r="G32" i="25"/>
  <c r="C9" i="25"/>
  <c r="C7" i="25"/>
  <c r="G89" i="25"/>
  <c r="G37" i="25"/>
  <c r="C17" i="25"/>
  <c r="F12" i="25"/>
  <c r="G84" i="25"/>
  <c r="G69" i="25"/>
  <c r="G57" i="25"/>
  <c r="G30" i="25"/>
  <c r="G103" i="25"/>
  <c r="C8" i="25"/>
  <c r="G67" i="25"/>
  <c r="G92" i="25"/>
  <c r="G60" i="25"/>
  <c r="G33" i="25"/>
  <c r="G98" i="25"/>
  <c r="G87" i="25"/>
  <c r="C16" i="25"/>
  <c r="G80" i="25"/>
  <c r="G86" i="25"/>
  <c r="G104" i="25"/>
  <c r="G94" i="25"/>
  <c r="G63" i="25"/>
  <c r="G61" i="25"/>
  <c r="G73" i="25"/>
  <c r="G66" i="25"/>
  <c r="G96" i="25"/>
  <c r="G40" i="25"/>
  <c r="G50" i="25"/>
  <c r="C5" i="25"/>
  <c r="H52" i="16"/>
  <c r="C20" i="25" l="1"/>
  <c r="J67" i="19"/>
  <c r="D126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 l="1"/>
  <c r="G81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U14" i="20"/>
  <c r="V14" i="20" s="1"/>
  <c r="U17" i="20"/>
  <c r="V17" i="20" s="1"/>
  <c r="U24" i="20"/>
  <c r="V24" i="20" s="1"/>
  <c r="U20" i="20"/>
  <c r="V20" i="20" s="1"/>
  <c r="U7" i="20"/>
  <c r="V7" i="20" s="1"/>
  <c r="U5" i="20"/>
  <c r="V5" i="20" s="1"/>
  <c r="U18" i="20"/>
  <c r="V18" i="20" s="1"/>
  <c r="M31" i="19" s="1"/>
  <c r="N31" i="19" s="1"/>
  <c r="U12" i="20"/>
  <c r="V12" i="20" s="1"/>
  <c r="U15" i="20"/>
  <c r="V15" i="20" s="1"/>
  <c r="M71" i="19" s="1"/>
  <c r="N71" i="19" s="1"/>
  <c r="O71" i="19" s="1"/>
  <c r="U21" i="20"/>
  <c r="V21" i="20" s="1"/>
  <c r="U23" i="20"/>
  <c r="V23" i="20" s="1"/>
  <c r="U10" i="20"/>
  <c r="V10" i="20" s="1"/>
  <c r="M46" i="19"/>
  <c r="N46" i="19" s="1"/>
  <c r="M49" i="19"/>
  <c r="N49" i="19" s="1"/>
  <c r="M16" i="19"/>
  <c r="N16" i="19" s="1"/>
  <c r="M22" i="19"/>
  <c r="N22" i="19" s="1"/>
  <c r="F126" i="16"/>
  <c r="G126" i="16" s="1"/>
  <c r="H126" i="16" s="1"/>
  <c r="I126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M56" i="19" l="1"/>
  <c r="N56" i="19" s="1"/>
  <c r="M10" i="19"/>
  <c r="M68" i="19"/>
  <c r="N68" i="19" s="1"/>
  <c r="O68" i="19" s="1"/>
  <c r="M30" i="19"/>
  <c r="N30" i="19" s="1"/>
  <c r="M37" i="19"/>
  <c r="N37" i="19" s="1"/>
  <c r="M62" i="19"/>
  <c r="N62" i="19" s="1"/>
  <c r="O62" i="19" s="1"/>
  <c r="L27" i="33"/>
  <c r="M27" i="33" s="1"/>
  <c r="N27" i="33" s="1"/>
  <c r="L29" i="33"/>
  <c r="M29" i="33" s="1"/>
  <c r="N29" i="33" s="1"/>
  <c r="L28" i="33"/>
  <c r="M28" i="33" s="1"/>
  <c r="N28" i="33" s="1"/>
  <c r="L21" i="33"/>
  <c r="M21" i="33" s="1"/>
  <c r="N21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M69" i="19"/>
  <c r="N69" i="19" s="1"/>
  <c r="O69" i="19" s="1"/>
  <c r="L26" i="33"/>
  <c r="M26" i="33" s="1"/>
  <c r="N26" i="33" s="1"/>
  <c r="M35" i="19"/>
  <c r="N35" i="19" s="1"/>
  <c r="M59" i="19"/>
  <c r="N59" i="19" s="1"/>
  <c r="M12" i="19"/>
  <c r="N12" i="19" s="1"/>
  <c r="M70" i="19"/>
  <c r="N70" i="19" s="1"/>
  <c r="O70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N10" i="19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Q62" i="19" l="1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3" i="19" l="1"/>
  <c r="O4" i="19"/>
  <c r="O6" i="19"/>
  <c r="O2" i="19" l="1"/>
  <c r="F3" i="19" l="1"/>
  <c r="P23" i="30" l="1"/>
  <c r="P3" i="19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5" i="16"/>
  <c r="G10" i="16"/>
  <c r="G14" i="16" s="1"/>
  <c r="F2" i="19"/>
  <c r="C69" i="16" s="1"/>
  <c r="J4" i="19"/>
  <c r="J3" i="19"/>
  <c r="E10" i="16" s="1"/>
  <c r="E14" i="16" s="1"/>
  <c r="G15" i="16" l="1"/>
  <c r="L14" i="16"/>
  <c r="L10" i="16"/>
  <c r="E35" i="16"/>
  <c r="C80" i="16" s="1"/>
  <c r="J2" i="19"/>
  <c r="G80" i="16" l="1"/>
  <c r="C84" i="16"/>
  <c r="H14" i="16"/>
  <c r="G9" i="16" l="1"/>
  <c r="C47" i="18" l="1"/>
  <c r="B47" i="18"/>
  <c r="D47" i="18" l="1"/>
  <c r="G33" i="16"/>
  <c r="H11" i="16"/>
  <c r="H10" i="16"/>
  <c r="H35" i="16"/>
  <c r="G84" i="16" l="1"/>
  <c r="C77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E125" authorId="0" shapeId="0">
      <text>
        <r>
          <rPr>
            <b/>
            <sz val="9"/>
            <color indexed="81"/>
            <rFont val="Tahoma"/>
            <family val="2"/>
            <charset val="204"/>
          </rPr>
          <t>рейтинг "для принятия решений" на 01.07.21 В-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<sst xmlns="http://schemas.openxmlformats.org/spreadsheetml/2006/main" count="5265" uniqueCount="2237">
  <si>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</si>
  <si>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</si>
  <si>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</si>
  <si>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</si>
  <si>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</si>
  <si>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</si>
  <si>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</si>
  <si>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</si>
  <si>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</si>
  <si>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</si>
  <si>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</si>
  <si>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</si>
  <si>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</si>
  <si>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</si>
  <si>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</si>
  <si>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</si>
  <si>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</si>
  <si>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</si>
  <si>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</si>
  <si>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</si>
  <si>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</si>
  <si>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</si>
  <si>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</si>
  <si>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</si>
  <si>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</si>
  <si>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</si>
  <si>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</si>
  <si>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</si>
  <si>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</si>
  <si>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</si>
  <si>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</si>
  <si>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</si>
  <si>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</si>
  <si>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</si>
  <si>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</si>
  <si>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</si>
  <si>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</si>
  <si>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</si>
  <si>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</si>
  <si>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</si>
  <si>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</si>
  <si>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</si>
  <si>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</si>
  <si>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</si>
  <si>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</si>
  <si>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</si>
  <si>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</si>
  <si>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</si>
  <si>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</si>
  <si>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</si>
  <si>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</si>
  <si>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</si>
  <si>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</si>
  <si>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</si>
  <si>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</si>
  <si>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</si>
  <si>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</si>
  <si>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</si>
  <si>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</si>
  <si>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</si>
  <si>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</si>
  <si>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</si>
  <si>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</si>
  <si>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</si>
  <si>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</si>
  <si>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</si>
  <si>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</si>
  <si>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</si>
  <si>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</si>
  <si>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</si>
  <si>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</si>
  <si>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</si>
  <si>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</si>
  <si>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</si>
  <si>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</si>
  <si>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</si>
  <si>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</si>
  <si>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</si>
  <si>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</si>
  <si>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</si>
  <si>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</si>
  <si>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</si>
  <si>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</si>
  <si>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</si>
  <si>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</si>
  <si>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</si>
  <si>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</si>
  <si>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</si>
  <si>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</si>
  <si>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</si>
  <si>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</si>
  <si>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</si>
  <si>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</si>
  <si>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</si>
  <si>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</si>
  <si>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</si>
  <si>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</si>
  <si>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</si>
  <si>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</si>
  <si>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</si>
  <si>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</si>
  <si>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</si>
  <si>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</si>
  <si>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</si>
  <si>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</si>
  <si>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</si>
  <si>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</si>
  <si>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</si>
  <si>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</si>
  <si>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</si>
  <si>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</si>
  <si>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</si>
  <si>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</si>
  <si>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</si>
  <si>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</si>
  <si>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</si>
  <si>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</si>
  <si>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</si>
  <si>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</si>
  <si>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</si>
  <si>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</si>
  <si>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</si>
  <si>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</si>
  <si>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</si>
  <si>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</si>
  <si>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</si>
  <si>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</si>
  <si>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</si>
  <si>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</si>
  <si>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</si>
  <si>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</si>
  <si>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</si>
  <si>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</si>
  <si>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</si>
  <si>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</si>
  <si>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</si>
  <si>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</si>
  <si>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</si>
  <si>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</si>
  <si>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</si>
  <si>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</si>
  <si>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</si>
  <si>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</si>
  <si>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</si>
  <si>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</si>
  <si>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</si>
  <si>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</si>
  <si>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</si>
  <si>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</si>
  <si>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</si>
  <si>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</si>
  <si>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</si>
  <si>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</si>
  <si>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</si>
  <si>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</si>
  <si>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</si>
  <si>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</si>
  <si>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</si>
  <si>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</si>
  <si>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</si>
  <si>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</si>
  <si>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</si>
  <si>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</si>
  <si>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</si>
  <si>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</si>
  <si>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</si>
  <si>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</si>
  <si>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</si>
  <si>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</si>
  <si>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</si>
  <si>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</si>
  <si>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</si>
  <si>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</si>
  <si>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</si>
  <si>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</si>
  <si>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</si>
  <si>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</si>
  <si>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</si>
  <si>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</si>
  <si>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</si>
  <si>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</si>
  <si>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</si>
  <si>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</si>
  <si>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</si>
  <si>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</si>
  <si>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</si>
  <si>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</si>
  <si>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</si>
  <si>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</si>
  <si>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</si>
  <si>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</si>
  <si>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</si>
  <si>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</si>
  <si>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</si>
  <si>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</si>
  <si>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</si>
  <si>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</si>
  <si>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</si>
  <si>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</si>
  <si>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</si>
  <si>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</si>
  <si>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</si>
  <si>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</si>
  <si>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</si>
  <si>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</si>
  <si>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</si>
  <si>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</si>
  <si>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</si>
  <si>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</si>
  <si>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</si>
  <si>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</si>
  <si>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</si>
  <si>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</si>
  <si>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</si>
  <si>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</si>
  <si>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</si>
  <si>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</si>
  <si>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</si>
  <si>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</si>
  <si>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</si>
  <si>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</si>
  <si>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</si>
  <si>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</si>
  <si>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</si>
  <si>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</si>
  <si>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</si>
  <si>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</si>
  <si>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</si>
  <si>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</si>
  <si>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</si>
  <si>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</si>
  <si>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</si>
  <si>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</si>
  <si>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</si>
  <si>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</si>
  <si>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</si>
  <si>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</si>
  <si>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</si>
  <si>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</si>
  <si>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</si>
  <si>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</si>
  <si>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</si>
  <si>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</si>
  <si>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</si>
  <si>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</si>
  <si>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</si>
  <si>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</si>
  <si>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</si>
  <si>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</si>
  <si>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</si>
  <si>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</si>
  <si>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</si>
  <si>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</si>
  <si>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</si>
  <si>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</si>
  <si>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</si>
  <si>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</si>
  <si>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</si>
  <si>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</si>
  <si>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</si>
  <si>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</si>
  <si>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</si>
  <si>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</si>
  <si>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</si>
  <si>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</si>
  <si>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</si>
  <si>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</si>
  <si>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</si>
  <si>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</si>
  <si>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</si>
  <si>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</si>
  <si>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</si>
  <si>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</si>
  <si>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</si>
  <si>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</si>
  <si>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</si>
  <si>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</si>
  <si>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</si>
  <si>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</si>
  <si>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</si>
  <si>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</si>
  <si>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</si>
  <si>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</si>
  <si>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</si>
  <si>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</si>
  <si>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</si>
  <si>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</si>
  <si>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</si>
  <si>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</si>
  <si>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</si>
  <si>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</si>
  <si>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</si>
  <si>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</si>
  <si>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</si>
  <si>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</si>
  <si>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</si>
  <si>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</si>
  <si>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</si>
  <si>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</si>
  <si>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</si>
  <si>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</si>
  <si>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</si>
  <si>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</si>
  <si>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</si>
  <si>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</si>
  <si>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</si>
  <si>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</si>
  <si>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</si>
  <si>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</si>
  <si>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</si>
  <si>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</si>
  <si>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</si>
  <si>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</si>
  <si>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</si>
  <si>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</si>
  <si>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</si>
  <si>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</si>
  <si>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</si>
  <si>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</si>
  <si>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</si>
  <si>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</si>
  <si>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</si>
  <si>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</si>
  <si>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</si>
  <si>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</si>
  <si>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</si>
  <si>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</si>
  <si>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</si>
  <si>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</si>
  <si>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</si>
  <si>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</si>
  <si>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</si>
  <si>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</si>
  <si>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</si>
  <si>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</si>
  <si>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</si>
  <si>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</si>
  <si>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</si>
  <si>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</si>
  <si>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</si>
  <si>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</si>
  <si>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</si>
  <si>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</si>
  <si>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</si>
  <si>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</si>
  <si>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</si>
  <si>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</si>
  <si>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</si>
  <si>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</si>
  <si>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</si>
  <si>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</si>
  <si>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</si>
  <si>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</si>
  <si>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</si>
  <si>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</si>
  <si>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</si>
  <si>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</si>
  <si>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</si>
  <si>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</si>
  <si>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</si>
  <si>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</si>
  <si>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</si>
  <si>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</si>
  <si>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</si>
  <si>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</si>
  <si>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</si>
  <si>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</si>
  <si>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</si>
  <si>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</si>
  <si>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</si>
  <si>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</si>
  <si>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</si>
  <si>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</si>
  <si>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</si>
  <si>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</si>
  <si>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</si>
  <si>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</si>
  <si>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</si>
  <si>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IIB    6.750 05/16/23</t>
  </si>
  <si>
    <t>SVKBK 10.350 12/21/21</t>
  </si>
  <si>
    <t>AFKS   6.700 08/26/30 PUT</t>
  </si>
  <si>
    <t>IIB    5.950 03/10/23</t>
  </si>
  <si>
    <t>HEDTR  6.450 12/11/23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</si>
  <si>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</si>
  <si>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</si>
  <si>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</si>
  <si>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</si>
  <si>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</si>
  <si>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</si>
  <si>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</si>
  <si>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</si>
  <si>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</si>
  <si>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</si>
  <si>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</si>
  <si>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</si>
  <si>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</si>
  <si>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6.000 10/06/27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</si>
  <si>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</si>
  <si>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</si>
  <si>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</si>
  <si>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</si>
  <si>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</si>
  <si>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</si>
  <si>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</si>
  <si>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</si>
  <si>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</si>
  <si>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</si>
  <si>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</si>
  <si>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</si>
  <si>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</si>
  <si>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</si>
  <si>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</si>
  <si>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</si>
  <si>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</si>
  <si>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</si>
  <si>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</si>
  <si>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</si>
  <si>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</si>
  <si>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</si>
  <si>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</si>
  <si>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</si>
  <si>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</si>
  <si>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</si>
  <si>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</si>
  <si>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</si>
  <si>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</si>
  <si>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</si>
  <si>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</si>
  <si>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</si>
  <si>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</si>
  <si>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</si>
  <si>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</si>
  <si>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</si>
  <si>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</si>
  <si>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</si>
  <si>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</si>
  <si>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</si>
  <si>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</si>
  <si>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</si>
  <si>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</si>
  <si>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</si>
  <si>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</si>
  <si>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</si>
  <si>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</si>
  <si>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</si>
  <si>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</si>
  <si>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</si>
  <si>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</si>
  <si>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</si>
  <si>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</si>
  <si>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</si>
  <si>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</si>
  <si>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</si>
  <si>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</si>
  <si>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</si>
  <si>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</si>
  <si>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</si>
  <si>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</si>
  <si>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</si>
  <si>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</si>
  <si>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</si>
  <si>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</si>
  <si>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</si>
  <si>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</si>
  <si>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</si>
  <si>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</si>
  <si>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</si>
  <si>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</si>
  <si>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</si>
  <si>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</si>
  <si>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</si>
  <si>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</si>
  <si>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Биржевой код ЦБ</t>
  </si>
  <si>
    <t>Портфель обособленный, без АББ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</si>
  <si>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</si>
  <si>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</si>
  <si>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</si>
  <si>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</si>
  <si>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</t>
  </si>
  <si>
    <t>ТМК</t>
  </si>
  <si>
    <t>MAILR  1.625 10/01/25 CVT</t>
  </si>
  <si>
    <t>TRMK   7.600 05/21/27 PUT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</si>
  <si>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</si>
  <si>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</si>
  <si>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</si>
  <si>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</si>
  <si>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</si>
  <si>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</si>
  <si>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</si>
  <si>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</si>
  <si>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</si>
  <si>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</si>
  <si>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</si>
  <si>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</si>
  <si>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</si>
  <si>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</si>
  <si>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</si>
  <si>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</si>
  <si>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XS0743596040</t>
  </si>
  <si>
    <t>XS1634369067</t>
  </si>
  <si>
    <t>XS2243631095</t>
  </si>
  <si>
    <t>XS1951067039</t>
  </si>
  <si>
    <t>XS2099763075</t>
  </si>
  <si>
    <t>XS1533915721</t>
  </si>
  <si>
    <t>XS2120091991</t>
  </si>
  <si>
    <t>XS2239639433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</si>
  <si>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</si>
  <si>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</si>
  <si>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</si>
  <si>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</si>
  <si>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</si>
  <si>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</si>
  <si>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</si>
  <si>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</si>
  <si>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</si>
  <si>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</si>
  <si>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</si>
  <si>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</si>
  <si>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</si>
  <si>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</si>
  <si>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</si>
  <si>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</si>
  <si>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</si>
  <si>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</si>
  <si>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</si>
  <si>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</si>
  <si>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</si>
  <si>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</si>
  <si>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</si>
  <si>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</si>
  <si>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RU000A102Y58</t>
  </si>
  <si>
    <t>RU000A0JS5R1</t>
  </si>
  <si>
    <t>RU000A0JS603</t>
  </si>
  <si>
    <t>RU000A0JXSF8</t>
  </si>
  <si>
    <t>RU000A0JV4M0</t>
  </si>
  <si>
    <t>RU000A102CL3</t>
  </si>
  <si>
    <t>XS1964558339</t>
  </si>
  <si>
    <t>XS2159874002</t>
  </si>
  <si>
    <t>XS2131995958</t>
  </si>
  <si>
    <t>XS2249778247</t>
  </si>
  <si>
    <t xml:space="preserve"> Средний рейтинг </t>
  </si>
  <si>
    <t>RU000A0ZYJT2</t>
  </si>
  <si>
    <t>RU000A0ZZV86</t>
  </si>
  <si>
    <t>RU000A100DQ4</t>
  </si>
  <si>
    <t>RU000A100ZB9</t>
  </si>
  <si>
    <t>XS2318748956</t>
  </si>
  <si>
    <t>RU000A1034T9</t>
  </si>
  <si>
    <t>RU000A0ZZZ09</t>
  </si>
  <si>
    <t>RU000A102K13</t>
  </si>
  <si>
    <t>RU000A1033Z8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</si>
  <si>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</si>
  <si>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</si>
  <si>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</si>
  <si>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</si>
  <si>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</si>
  <si>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</si>
  <si>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</si>
  <si>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RU000A0JTM36</t>
  </si>
  <si>
    <t>RU000A0JTM51</t>
  </si>
  <si>
    <t>RU000A1023K1</t>
  </si>
  <si>
    <t>RU000A1023H7</t>
  </si>
  <si>
    <t>RU000A102GY7</t>
  </si>
  <si>
    <t>RU000A102RF3</t>
  </si>
  <si>
    <t>RU000A0ZYZ26</t>
  </si>
  <si>
    <t>RU000A1014N4</t>
  </si>
  <si>
    <t>GTLK   6.890 12/16/25 PUT</t>
  </si>
  <si>
    <t>GTLK   6.250 12/31/32 FRN PUT</t>
  </si>
  <si>
    <t>GTLK   7.350 03/18/33 PUT</t>
  </si>
  <si>
    <t>GTLK   7.980 03/06/25 PUT</t>
  </si>
  <si>
    <t>RUGV   6.460 03/03/27 FRN</t>
  </si>
  <si>
    <t>XS2343532508</t>
  </si>
  <si>
    <t>ДОМ.РФ</t>
  </si>
  <si>
    <t>XS0893212398</t>
  </si>
  <si>
    <t>XS2384475930</t>
  </si>
  <si>
    <t>RU000A103QH9</t>
  </si>
  <si>
    <t>RU000A103RD6</t>
  </si>
  <si>
    <t>Лидер-Инвест</t>
  </si>
  <si>
    <t>CBOMF  3.875 09/21/26</t>
  </si>
  <si>
    <t>VON    8.125 09/16/26 '26 MTN</t>
  </si>
  <si>
    <t>ETALO  9.100 09/15/26</t>
  </si>
  <si>
    <t>FASPM  8.000 11/15/24</t>
  </si>
  <si>
    <t>RU000A0ZYLU6</t>
  </si>
  <si>
    <t>RU000A0ZYQU5</t>
  </si>
  <si>
    <t>RU000A0ZZ1N0</t>
  </si>
  <si>
    <t>RU000A0ZZ7C0</t>
  </si>
  <si>
    <t>RU000A1004W6</t>
  </si>
  <si>
    <t>RU000A100ET6</t>
  </si>
  <si>
    <t>RU000A101590</t>
  </si>
  <si>
    <t>RU000A101SQ0</t>
  </si>
  <si>
    <t>RU000A0JQAL8</t>
  </si>
  <si>
    <t>RU000A0JQAM6</t>
  </si>
  <si>
    <t>RU000A0JR5F7</t>
  </si>
  <si>
    <t>RU000A0JRDY3</t>
  </si>
  <si>
    <t>RU000A0JTDX1</t>
  </si>
  <si>
    <t>RU000A0JTW83</t>
  </si>
  <si>
    <t>RU000A0JTZF1</t>
  </si>
  <si>
    <t>RU000A0JUKX4</t>
  </si>
  <si>
    <t>RU000A0JV4R9</t>
  </si>
  <si>
    <t>RU000A0JX2R1</t>
  </si>
  <si>
    <t>RU000A0ZYF20</t>
  </si>
  <si>
    <t>RU000A0ZYF38</t>
  </si>
  <si>
    <t>RU000A0ZYFM5</t>
  </si>
  <si>
    <t>RU000A0ZYFN3</t>
  </si>
  <si>
    <t>RU000A0JXRM6</t>
  </si>
  <si>
    <t>RU000A0ZYL89</t>
  </si>
  <si>
    <t>RU000A0ZZNW5</t>
  </si>
  <si>
    <t>RU000A0ZZCH9</t>
  </si>
  <si>
    <t>RU000A0ZZZ58</t>
  </si>
  <si>
    <t>RU000A0JX3M0</t>
  </si>
  <si>
    <t>RU000A100YY4</t>
  </si>
  <si>
    <t>RU000A1016B4</t>
  </si>
  <si>
    <t>RU000A1018T2</t>
  </si>
  <si>
    <t>RU000A101U95</t>
  </si>
  <si>
    <t>RU000A101TD6</t>
  </si>
  <si>
    <t>RU000A101X01</t>
  </si>
  <si>
    <t>RU000A102AP8</t>
  </si>
  <si>
    <t>RU000A102D46</t>
  </si>
  <si>
    <t>RU000A0JXS26</t>
  </si>
  <si>
    <t>RU000A0ZYLX0</t>
  </si>
  <si>
    <t>RU000A1019A0</t>
  </si>
  <si>
    <t>RU000A101JD7</t>
  </si>
  <si>
    <t>RU000A102GV3</t>
  </si>
  <si>
    <t>RU000A102JB9</t>
  </si>
  <si>
    <t>RU000A102GD1</t>
  </si>
  <si>
    <t>RU000A102L87</t>
  </si>
  <si>
    <t>RU000A103125</t>
  </si>
  <si>
    <t>RU000A1031K4</t>
  </si>
  <si>
    <t>RU000A103N43</t>
  </si>
  <si>
    <t>RU000A103W42</t>
  </si>
  <si>
    <t>RU000A102L53</t>
  </si>
  <si>
    <t>CH0522690715</t>
  </si>
  <si>
    <t>CH0419041618</t>
  </si>
  <si>
    <t>RU000A0JXN05</t>
  </si>
  <si>
    <t>RU000A0JXQ44</t>
  </si>
  <si>
    <t>RU000A0JXR84</t>
  </si>
  <si>
    <t>RU000A0JXZB2</t>
  </si>
  <si>
    <t>RU000A0ZYU05</t>
  </si>
  <si>
    <t>RU000A0ZZ4P9</t>
  </si>
  <si>
    <t>RU000A0ZZ9R4</t>
  </si>
  <si>
    <t>RU000A0ZZGT5</t>
  </si>
  <si>
    <t>RU000A0ZZRY2</t>
  </si>
  <si>
    <t>RU000A0ZZX19</t>
  </si>
  <si>
    <t>RU000A0ZZXL7</t>
  </si>
  <si>
    <t>RU000A1002C2</t>
  </si>
  <si>
    <t>RU000A1007Z2</t>
  </si>
  <si>
    <t>RU000A1008D7</t>
  </si>
  <si>
    <t>RU000A1009L8</t>
  </si>
  <si>
    <t>RU000A100HY9</t>
  </si>
  <si>
    <t>RU000A1010M4</t>
  </si>
  <si>
    <t>RU000A101H84</t>
  </si>
  <si>
    <t>RU000A101LS1</t>
  </si>
  <si>
    <t>RU000A101M04</t>
  </si>
  <si>
    <t>RU000A103EN3</t>
  </si>
  <si>
    <t>RU000A101TT2</t>
  </si>
  <si>
    <t>RU000A101Y18</t>
  </si>
  <si>
    <t>RU000A102564</t>
  </si>
  <si>
    <t>RU000A1028U9</t>
  </si>
  <si>
    <t>RU000A102E37</t>
  </si>
  <si>
    <t>RU000A102FE1</t>
  </si>
  <si>
    <t>RU000A102GA7</t>
  </si>
  <si>
    <t>RU000A102S72</t>
  </si>
  <si>
    <t>RU000A102QP4</t>
  </si>
  <si>
    <t>RU000A102R40</t>
  </si>
  <si>
    <t>CH0419041634</t>
  </si>
  <si>
    <t>RU000A0JQ7Z2</t>
  </si>
  <si>
    <t>CH0379268748</t>
  </si>
  <si>
    <t>XS1843437036</t>
  </si>
  <si>
    <t>RU000A0JQRD9</t>
  </si>
  <si>
    <t>RU000A0JTU85</t>
  </si>
  <si>
    <t>CH1100259816</t>
  </si>
  <si>
    <t>RU000A0JUAH8</t>
  </si>
  <si>
    <t>RU000A0JSGV0</t>
  </si>
  <si>
    <t>RU000A0JVB19</t>
  </si>
  <si>
    <t>RU000A0JVB27</t>
  </si>
  <si>
    <t>RU000A0JVKH5</t>
  </si>
  <si>
    <t>RU000A0JVY04</t>
  </si>
  <si>
    <t>XS1574068844</t>
  </si>
  <si>
    <t>XS1041815116</t>
  </si>
  <si>
    <t>RU000A0JWLU4</t>
  </si>
  <si>
    <t>XS0764220017</t>
  </si>
  <si>
    <t>XS2271376498</t>
  </si>
  <si>
    <t>XS0609017917</t>
  </si>
  <si>
    <t>XS1843431690</t>
  </si>
  <si>
    <t>XS1701384494</t>
  </si>
  <si>
    <t>XS1843442465</t>
  </si>
  <si>
    <t>XS1574787294</t>
  </si>
  <si>
    <t>XS1502188375</t>
  </si>
  <si>
    <t>RU000A0JVW71</t>
  </si>
  <si>
    <t>RU000A0JWD57</t>
  </si>
  <si>
    <t>RU000A0JWC82</t>
  </si>
  <si>
    <t>RU000A0JTZM7</t>
  </si>
  <si>
    <t>RU000A0JUCG6</t>
  </si>
  <si>
    <t>RU000A0JXJK7</t>
  </si>
  <si>
    <t>RU000A0JU542</t>
  </si>
  <si>
    <t>RU000A0JU7B7</t>
  </si>
  <si>
    <t>RU000A0JVJS4</t>
  </si>
  <si>
    <t>RU000A0JU9M0</t>
  </si>
  <si>
    <t>RU000A0JUX71</t>
  </si>
  <si>
    <t>RU000A0JWHU2</t>
  </si>
  <si>
    <t>RU000A0JTY57</t>
  </si>
  <si>
    <t>RU000A0JUPZ8</t>
  </si>
  <si>
    <t>RU000A100667</t>
  </si>
  <si>
    <t>RU000A100W03</t>
  </si>
  <si>
    <t>RU000A0JNYN1</t>
  </si>
  <si>
    <t>RU000A1030S9</t>
  </si>
  <si>
    <t>RU000A1030T7</t>
  </si>
  <si>
    <t>ДОЛЯ 1 ЭМИТЕНТА</t>
  </si>
  <si>
    <t>RU000A0ZYFE2</t>
  </si>
  <si>
    <t>RU000A0ZZRB0</t>
  </si>
  <si>
    <t>RU000A0ZZZ66</t>
  </si>
  <si>
    <t>RU000A100PQ8</t>
  </si>
  <si>
    <t>RU000A102788</t>
  </si>
  <si>
    <t>RU000A102A07</t>
  </si>
  <si>
    <t>RU000A102JZ8</t>
  </si>
  <si>
    <t>RU000A102S80</t>
  </si>
  <si>
    <t>RU000A1030D1</t>
  </si>
  <si>
    <t>RU000A1036E6</t>
  </si>
  <si>
    <t>RU000A1037F1</t>
  </si>
  <si>
    <t>RU000A103RS4</t>
  </si>
  <si>
    <t>XS2333280571</t>
  </si>
  <si>
    <t>XS2107554896</t>
  </si>
  <si>
    <t>XS1760786340</t>
  </si>
  <si>
    <t>XS2368111584</t>
  </si>
  <si>
    <t>XS1513741311</t>
  </si>
  <si>
    <t>XS1567117566</t>
  </si>
  <si>
    <t>RU000A0JUU90</t>
  </si>
  <si>
    <t>RU000A0JV0U1</t>
  </si>
  <si>
    <t>RU000A0JWPV3</t>
  </si>
  <si>
    <t>RU000A0JWUX9</t>
  </si>
  <si>
    <t>RU000A0JX5W4</t>
  </si>
  <si>
    <t>RU000A0JXRV7</t>
  </si>
  <si>
    <t>RU000A0ZYBM4</t>
  </si>
  <si>
    <t>RU000A0ZYGB6</t>
  </si>
  <si>
    <t>RU000A0ZYWB3</t>
  </si>
  <si>
    <t>RU000A0ZYU21</t>
  </si>
  <si>
    <t>RU000A100GW5</t>
  </si>
  <si>
    <t>RU000A103FT7</t>
  </si>
  <si>
    <t>CH0248531110</t>
  </si>
  <si>
    <t>XS0223715920</t>
  </si>
  <si>
    <t>XS0842078536</t>
  </si>
  <si>
    <t>RU000A101XW8</t>
  </si>
  <si>
    <t>RU000A101XX6</t>
  </si>
  <si>
    <t>RU000A101XY4</t>
  </si>
  <si>
    <t>RU000A101XZ1</t>
  </si>
  <si>
    <t>RU000A101Y00</t>
  </si>
  <si>
    <t>RU000A101Y26</t>
  </si>
  <si>
    <t>RU000A101Y34</t>
  </si>
  <si>
    <t>RU000A101Y42</t>
  </si>
  <si>
    <t>RU000A101Y59</t>
  </si>
  <si>
    <t>RU000A101Y67</t>
  </si>
  <si>
    <t>RU000A0NH1W7</t>
  </si>
  <si>
    <t>RU000A0NH1X5</t>
  </si>
  <si>
    <t>RU000A0NH1Y3</t>
  </si>
  <si>
    <t>RU000A0NH1Z0</t>
  </si>
  <si>
    <t>RU000A0NH210</t>
  </si>
  <si>
    <t>RU000A0NH236</t>
  </si>
  <si>
    <t>RU000A0NH251</t>
  </si>
  <si>
    <t>RU000A0NH269</t>
  </si>
  <si>
    <t>RU000A0NH277</t>
  </si>
  <si>
    <t>RU000A0NH285</t>
  </si>
  <si>
    <t>RU000A0NH293</t>
  </si>
  <si>
    <t>RU000A0NH2A1</t>
  </si>
  <si>
    <t>RU000A0NH2C7</t>
  </si>
  <si>
    <t>RU000A0NH2D5</t>
  </si>
  <si>
    <t>RU000A0NH2F0</t>
  </si>
  <si>
    <t>RU000A102739</t>
  </si>
  <si>
    <t>RU000A102762</t>
  </si>
  <si>
    <t>RU000A1027F2</t>
  </si>
  <si>
    <t>RU000A1027G0</t>
  </si>
  <si>
    <t>RU000A1027K2</t>
  </si>
  <si>
    <t>RU000A1027L0</t>
  </si>
  <si>
    <t>RU000A1027M8</t>
  </si>
  <si>
    <t>RU000A1027T3</t>
  </si>
  <si>
    <t>RU000A1027U1</t>
  </si>
  <si>
    <t>RU000A1027X5</t>
  </si>
  <si>
    <t>RU000A102EH7</t>
  </si>
  <si>
    <t>RU000A102EJ3</t>
  </si>
  <si>
    <t>RU000A102EP0</t>
  </si>
  <si>
    <t>RU000A102FA9</t>
  </si>
  <si>
    <t>RU000A102ER6</t>
  </si>
  <si>
    <t>RU000A102EV8</t>
  </si>
  <si>
    <t>RU000A102EC8</t>
  </si>
  <si>
    <t>RU000A102ED6</t>
  </si>
  <si>
    <t>RU000A102EW6</t>
  </si>
  <si>
    <t>RU000A102EX4</t>
  </si>
  <si>
    <t>RU000A102EY2</t>
  </si>
  <si>
    <t>RU000A102EZ9</t>
  </si>
  <si>
    <t>RU000A102F02</t>
  </si>
  <si>
    <t>RU000A102F10</t>
  </si>
  <si>
    <t>RU000A102HJ6</t>
  </si>
  <si>
    <t>RU000A102HL2</t>
  </si>
  <si>
    <t>RU000A102HM0</t>
  </si>
  <si>
    <t>RU000A102HQ1</t>
  </si>
  <si>
    <t>RU000A0NNE02</t>
  </si>
  <si>
    <t>RU000A0NNE10</t>
  </si>
  <si>
    <t>RU000A0NNE28</t>
  </si>
  <si>
    <t>RU000A0NNE36</t>
  </si>
  <si>
    <t>RU000A0NNE44</t>
  </si>
  <si>
    <t>RU000A0NNE51</t>
  </si>
  <si>
    <t>RU000A0NNE69</t>
  </si>
  <si>
    <t>RU000A0NNE77</t>
  </si>
  <si>
    <t>RU000A0NNE85</t>
  </si>
  <si>
    <t>RU000A0NNE93</t>
  </si>
  <si>
    <t>RU000A0NNEA2</t>
  </si>
  <si>
    <t>RU000A0NNEB0</t>
  </si>
  <si>
    <t>RU000A0NNEC8</t>
  </si>
  <si>
    <t>RU000A0NNED6</t>
  </si>
  <si>
    <t>RU000A0NNEE4</t>
  </si>
  <si>
    <t>RU000A0NNEF1</t>
  </si>
  <si>
    <t>RU000A0NNEG9</t>
  </si>
  <si>
    <t>RU000A0NNEH7</t>
  </si>
  <si>
    <t>RU000A0NNEJ3</t>
  </si>
  <si>
    <t>RU000A0NNEK1</t>
  </si>
  <si>
    <t>RU000A0NNEL9</t>
  </si>
  <si>
    <t>RU000A0NNEM7</t>
  </si>
  <si>
    <t>RU000A0NNEN5</t>
  </si>
  <si>
    <t>RU000A0NNEP0</t>
  </si>
  <si>
    <t>RU000A0NNEQ8</t>
  </si>
  <si>
    <t>RU000A102SZ9</t>
  </si>
  <si>
    <t>RU000A102XD6</t>
  </si>
  <si>
    <t>RU000A1032H8</t>
  </si>
  <si>
    <t>RU000A102Y74</t>
  </si>
  <si>
    <t>RU000A102Y82</t>
  </si>
  <si>
    <t>RU000A103182</t>
  </si>
  <si>
    <t>RU000A103190</t>
  </si>
  <si>
    <t>RU000A1031A5</t>
  </si>
  <si>
    <t>RU000A1031B3</t>
  </si>
  <si>
    <t>RU000A1031C1</t>
  </si>
  <si>
    <t>RU000A1031D9</t>
  </si>
  <si>
    <t>RU000A103141</t>
  </si>
  <si>
    <t>RU000A103158</t>
  </si>
  <si>
    <t>RU000A103166</t>
  </si>
  <si>
    <t>RU000A103489</t>
  </si>
  <si>
    <t>RU000A103497</t>
  </si>
  <si>
    <t>RU000A1034A9</t>
  </si>
  <si>
    <t>RU000A1034B7</t>
  </si>
  <si>
    <t>RU000A1034C5</t>
  </si>
  <si>
    <t>RU000A1034D3</t>
  </si>
  <si>
    <t>RU000A1034E1</t>
  </si>
  <si>
    <t>RU000A1034F8</t>
  </si>
  <si>
    <t>RU000A1034G6</t>
  </si>
  <si>
    <t>RU000A1039K7</t>
  </si>
  <si>
    <t>RU000A103GF4</t>
  </si>
  <si>
    <t>RU000A103Q81</t>
  </si>
  <si>
    <t>RU000A103BE8</t>
  </si>
  <si>
    <t>RU000A103QA4</t>
  </si>
  <si>
    <t>RU000A103QB2</t>
  </si>
  <si>
    <t>RU000A103QC0</t>
  </si>
  <si>
    <t>RU000A100EN9</t>
  </si>
  <si>
    <t>RU000A102LV3</t>
  </si>
  <si>
    <t>RU000A102PB6</t>
  </si>
  <si>
    <t>RU000A101491</t>
  </si>
  <si>
    <t>RU000A101F52</t>
  </si>
  <si>
    <t>RU000A101GV5</t>
  </si>
  <si>
    <t>RU000A101GX1</t>
  </si>
  <si>
    <t>RU000A101J90</t>
  </si>
  <si>
    <t>RU000A101JA3</t>
  </si>
  <si>
    <t>RU000A101KC7</t>
  </si>
  <si>
    <t>RU000A101LL6</t>
  </si>
  <si>
    <t>RU000A101KE3</t>
  </si>
  <si>
    <t>RU000A101MW1</t>
  </si>
  <si>
    <t>RU000A101MY7</t>
  </si>
  <si>
    <t>RU000A101NX7</t>
  </si>
  <si>
    <t>RU000A101P01</t>
  </si>
  <si>
    <t>RU000A101PR4</t>
  </si>
  <si>
    <t>RU000A101PS2</t>
  </si>
  <si>
    <t>RU000A101PW4</t>
  </si>
  <si>
    <t>RU000A101PX2</t>
  </si>
  <si>
    <t>RU000A101S57</t>
  </si>
  <si>
    <t>RU000A101S65</t>
  </si>
  <si>
    <t>RU000A101SK3</t>
  </si>
  <si>
    <t>RU000A101SL1</t>
  </si>
  <si>
    <t>RU000A101SJ5</t>
  </si>
  <si>
    <t>RU000A101SN7</t>
  </si>
  <si>
    <t>RU000A101SP2</t>
  </si>
  <si>
    <t>RU000A101TF1</t>
  </si>
  <si>
    <t>RU000A101TG9</t>
  </si>
  <si>
    <t>RU000A101TH7</t>
  </si>
  <si>
    <t>RU000A101TJ3</t>
  </si>
  <si>
    <t>RU000A101TN5</t>
  </si>
  <si>
    <t>RU000A101TM7</t>
  </si>
  <si>
    <t>RU000A101V78</t>
  </si>
  <si>
    <t>RU000A101V86</t>
  </si>
  <si>
    <t>RU000A101V94</t>
  </si>
  <si>
    <t>RU000A101VA8</t>
  </si>
  <si>
    <t>RU000A101VB6</t>
  </si>
  <si>
    <t>RU000A101VC4</t>
  </si>
  <si>
    <t>RU000A101VD2</t>
  </si>
  <si>
    <t>RU000A101VE0</t>
  </si>
  <si>
    <t>RU000A0JV3Q3</t>
  </si>
  <si>
    <t>RU000A0JU773</t>
  </si>
  <si>
    <t>RU000A102QT6</t>
  </si>
  <si>
    <t>RU000A103042</t>
  </si>
  <si>
    <t>RU000A103059</t>
  </si>
  <si>
    <t>RU000A103091</t>
  </si>
  <si>
    <t>RU000A1030A7</t>
  </si>
  <si>
    <t>RU000A1030B5</t>
  </si>
  <si>
    <t>RU000A1030C3</t>
  </si>
  <si>
    <t>RU000A1032W7</t>
  </si>
  <si>
    <t>RU000A1034Z6</t>
  </si>
  <si>
    <t>RU000A103505</t>
  </si>
  <si>
    <t>RU000A103513</t>
  </si>
  <si>
    <t>RU000A1035M1</t>
  </si>
  <si>
    <t>RU000A1035Z3</t>
  </si>
  <si>
    <t>RU000A103620</t>
  </si>
  <si>
    <t>RU000A103638</t>
  </si>
  <si>
    <t>RU000A103653</t>
  </si>
  <si>
    <t>RU000A103CH9</t>
  </si>
  <si>
    <t>RU000A102TE2</t>
  </si>
  <si>
    <t>RU000A103810</t>
  </si>
  <si>
    <t>RU000A103844</t>
  </si>
  <si>
    <t>RU000A103851</t>
  </si>
  <si>
    <t>RU000A103869</t>
  </si>
  <si>
    <t>RU000A103877</t>
  </si>
  <si>
    <t>RU000A103885</t>
  </si>
  <si>
    <t>RU000A103893</t>
  </si>
  <si>
    <t>RU000A1038E2</t>
  </si>
  <si>
    <t>RU000A1038G7</t>
  </si>
  <si>
    <t>RU000A102U60</t>
  </si>
  <si>
    <t>RU000A1038H5</t>
  </si>
  <si>
    <t>RU000A103AU6</t>
  </si>
  <si>
    <t>RU000A103AV4</t>
  </si>
  <si>
    <t>RU000A103AW2</t>
  </si>
  <si>
    <t>RU000A103AX0</t>
  </si>
  <si>
    <t>RU000A103AY8</t>
  </si>
  <si>
    <t>RU000A103B13</t>
  </si>
  <si>
    <t>RU000A103B21</t>
  </si>
  <si>
    <t>RU000A103B39</t>
  </si>
  <si>
    <t>RU000A103B47</t>
  </si>
  <si>
    <t>RU000A103CK3</t>
  </si>
  <si>
    <t>RU000A103GM0</t>
  </si>
  <si>
    <t>RU000A102ZW1</t>
  </si>
  <si>
    <t>RU000A103HV9</t>
  </si>
  <si>
    <t>RU000A103HW7</t>
  </si>
  <si>
    <t>RU000A103HX5</t>
  </si>
  <si>
    <t>RU000A103HY3</t>
  </si>
  <si>
    <t>RU000A103HZ0</t>
  </si>
  <si>
    <t>RU000A103J15</t>
  </si>
  <si>
    <t>RU000A103J31</t>
  </si>
  <si>
    <t>RU000A102ZX9</t>
  </si>
  <si>
    <t>RU000A103026</t>
  </si>
  <si>
    <t>RU000A103034</t>
  </si>
  <si>
    <t>RU000A102QJ7</t>
  </si>
  <si>
    <t>RU000A103SA0</t>
  </si>
  <si>
    <t>RU000A103SB8</t>
  </si>
  <si>
    <t>RU000A103SC6</t>
  </si>
  <si>
    <t>RU000A102QL3</t>
  </si>
  <si>
    <t>RU000A102QM1</t>
  </si>
  <si>
    <t>RU000A102QN9</t>
  </si>
  <si>
    <t>RU000A1034P7</t>
  </si>
  <si>
    <t>RU000A1034Q5</t>
  </si>
  <si>
    <t>RU000A103S89</t>
  </si>
  <si>
    <t>RU000A103S97</t>
  </si>
  <si>
    <t>RU000A102879</t>
  </si>
  <si>
    <t>RU000A102887</t>
  </si>
  <si>
    <t>RU000A1014J2</t>
  </si>
  <si>
    <t>RU000A0JVNL1</t>
  </si>
  <si>
    <t>RU000A0JVRV1</t>
  </si>
  <si>
    <t>RU000A0JUFE4</t>
  </si>
  <si>
    <t>RU000A0JUFF1</t>
  </si>
  <si>
    <t>RU000A0JUFG9</t>
  </si>
  <si>
    <t>RU000A0JUFH7</t>
  </si>
  <si>
    <t>RU000A0JUEE7</t>
  </si>
  <si>
    <t>RU000A0JV8D0</t>
  </si>
  <si>
    <t>RU000A0JV8G3</t>
  </si>
  <si>
    <t>RU000A0JV9D8</t>
  </si>
  <si>
    <t>RU000A0JV9H9</t>
  </si>
  <si>
    <t>RU000A0JVQQ3</t>
  </si>
  <si>
    <t>RU000A0JT403</t>
  </si>
  <si>
    <t>RU000A0JT6B2</t>
  </si>
  <si>
    <t>RU000A0JS4Z7</t>
  </si>
  <si>
    <t>XS0993162683</t>
  </si>
  <si>
    <t>XS0559915961</t>
  </si>
  <si>
    <t>RU000A0JUTB1</t>
  </si>
  <si>
    <t>RU000A0JW6P7</t>
  </si>
  <si>
    <t>RU000A0JX4Q9</t>
  </si>
  <si>
    <t>RU000A0JXU48</t>
  </si>
  <si>
    <t>RU000A0ZYLJ9</t>
  </si>
  <si>
    <t>RU000A0ZZZP3</t>
  </si>
  <si>
    <t>RU000A1001V4</t>
  </si>
  <si>
    <t>RU000A1003W8</t>
  </si>
  <si>
    <t>RU000A100BM7</t>
  </si>
  <si>
    <t>RU000A100GY1</t>
  </si>
  <si>
    <t>RU000A1013P1</t>
  </si>
  <si>
    <t>RU000A102R16</t>
  </si>
  <si>
    <t>RU000A102UX0</t>
  </si>
  <si>
    <t>RU000A102UY8</t>
  </si>
  <si>
    <t>RU000A101TB0</t>
  </si>
  <si>
    <t>RU000A101WE8</t>
  </si>
  <si>
    <t>RU000A101WF5</t>
  </si>
  <si>
    <t>RU000A102FC5</t>
  </si>
  <si>
    <t>RU000A102K96</t>
  </si>
  <si>
    <t>RU000A1031S7</t>
  </si>
  <si>
    <t>RU000A1031T5</t>
  </si>
  <si>
    <t>RU000A1031U3</t>
  </si>
  <si>
    <t>RU000A1031Y5</t>
  </si>
  <si>
    <t>RU000A1031Z2</t>
  </si>
  <si>
    <t>RU000A103FY7</t>
  </si>
  <si>
    <t>RU000A103LT5</t>
  </si>
  <si>
    <t>RU000A103LX7</t>
  </si>
  <si>
    <t>RU000A103LY5</t>
  </si>
  <si>
    <t>RU000A103SE2</t>
  </si>
  <si>
    <t>RU000A0JS5E9</t>
  </si>
  <si>
    <t>RU000A0JS5M2</t>
  </si>
  <si>
    <t>RU000A0JS5F6</t>
  </si>
  <si>
    <t>RU000A0JVUN2</t>
  </si>
  <si>
    <t>RU000A0JVUP7</t>
  </si>
  <si>
    <t>XS2393505008</t>
  </si>
  <si>
    <t>XS2069992258</t>
  </si>
  <si>
    <t>XS1589324075</t>
  </si>
  <si>
    <t>XS1298447019</t>
  </si>
  <si>
    <t>RU000A100VQ6</t>
  </si>
  <si>
    <t>RU000A0JWTV5</t>
  </si>
  <si>
    <t>RU000A0JX199</t>
  </si>
  <si>
    <t>RU000A0JXE06</t>
  </si>
  <si>
    <t>RU000A0JXPG2</t>
  </si>
  <si>
    <t>RU000A0JY023</t>
  </si>
  <si>
    <t>RU000A0ZYAP9</t>
  </si>
  <si>
    <t>RU000A0ZZ984</t>
  </si>
  <si>
    <t>RU000A0ZZAL5</t>
  </si>
  <si>
    <t>RU000A0ZZV11</t>
  </si>
  <si>
    <t>RU000A1003A4</t>
  </si>
  <si>
    <t>RU000A100FE5</t>
  </si>
  <si>
    <t>RU000A100Z91</t>
  </si>
  <si>
    <t>RU000A101GD3</t>
  </si>
  <si>
    <t>RU000A101QL5</t>
  </si>
  <si>
    <t>RU000A101SC0</t>
  </si>
  <si>
    <t>RU000A101SD8</t>
  </si>
  <si>
    <t>RU000A1038M5</t>
  </si>
  <si>
    <t>RU000A102VR0</t>
  </si>
  <si>
    <t>XS2010027451</t>
  </si>
  <si>
    <t>XS1577961516</t>
  </si>
  <si>
    <t>XS1713473608</t>
  </si>
  <si>
    <t>RU000A0JV375</t>
  </si>
  <si>
    <t>RU000A0JVWD9</t>
  </si>
  <si>
    <t>RU000A0JVWJ6</t>
  </si>
  <si>
    <t>RU000A0JWST1</t>
  </si>
  <si>
    <t>JP90B0049BP6</t>
  </si>
  <si>
    <t>CH0404311711</t>
  </si>
  <si>
    <t>XS2301292400</t>
  </si>
  <si>
    <t>CH1120085688</t>
  </si>
  <si>
    <t>CH0374882816</t>
  </si>
  <si>
    <t>XS1721463500</t>
  </si>
  <si>
    <t>XS1795409082</t>
  </si>
  <si>
    <t>CH0346828400</t>
  </si>
  <si>
    <t>XS1911645049</t>
  </si>
  <si>
    <t>XS2157526315</t>
  </si>
  <si>
    <t>XS2196334671</t>
  </si>
  <si>
    <t>XS1521039054</t>
  </si>
  <si>
    <t>XS2363250833</t>
  </si>
  <si>
    <t>XS2243636219</t>
  </si>
  <si>
    <t>XS1592279522</t>
  </si>
  <si>
    <t>XS0906949523</t>
  </si>
  <si>
    <t>XS0805570354</t>
  </si>
  <si>
    <t>XS1585190389</t>
  </si>
  <si>
    <t>XS0885736925</t>
  </si>
  <si>
    <t>XS1951084471</t>
  </si>
  <si>
    <t>XS0290580595</t>
  </si>
  <si>
    <t>XS0316524130</t>
  </si>
  <si>
    <t>XS0191754729</t>
  </si>
  <si>
    <t>RU000A0ZZER4</t>
  </si>
  <si>
    <t>RU000A0JUAN6</t>
  </si>
  <si>
    <t>RU000A0JUAP1</t>
  </si>
  <si>
    <t>RU000A0ZZES2</t>
  </si>
  <si>
    <t>RU000A0ZZET0</t>
  </si>
  <si>
    <t>RU000A0ZZQU2</t>
  </si>
  <si>
    <t>RU000A0ZZUL3</t>
  </si>
  <si>
    <t>RU000A0ZZXM5</t>
  </si>
  <si>
    <t>RU000A1002E8</t>
  </si>
  <si>
    <t>RU000A1003R8</t>
  </si>
  <si>
    <t>RU000A1007E7</t>
  </si>
  <si>
    <t>RU000A100832</t>
  </si>
  <si>
    <t>RU000A100AF3</t>
  </si>
  <si>
    <t>RU000A100DX0</t>
  </si>
  <si>
    <t>RU000A100HH4</t>
  </si>
  <si>
    <t>RU000A100JB3</t>
  </si>
  <si>
    <t>RU000A100VR4</t>
  </si>
  <si>
    <t>RU000A101350</t>
  </si>
  <si>
    <t>RU000A101TK1</t>
  </si>
  <si>
    <t>RU000A101Z74</t>
  </si>
  <si>
    <t>RU000A102DB2</t>
  </si>
  <si>
    <t>RU000A102GJ8</t>
  </si>
  <si>
    <t>RU000A102LU5</t>
  </si>
  <si>
    <t>RU000A1010V5</t>
  </si>
  <si>
    <t>RU000A101731</t>
  </si>
  <si>
    <t>RU000A101XL1</t>
  </si>
  <si>
    <t>RU000A102F51</t>
  </si>
  <si>
    <t>RU000A102F69</t>
  </si>
  <si>
    <t>RU000A0ZZFZ4</t>
  </si>
  <si>
    <t>RU000A0JT6J5</t>
  </si>
  <si>
    <t>XS0800582255</t>
  </si>
  <si>
    <t>RU000A0JU7Y9</t>
  </si>
  <si>
    <t>RU000A0JUMH3</t>
  </si>
  <si>
    <t>RU000A0JUQ39</t>
  </si>
  <si>
    <t>RU000A0JUV08</t>
  </si>
  <si>
    <t>RU000A0JXP45</t>
  </si>
  <si>
    <t>RU000A0ZYEE5</t>
  </si>
  <si>
    <t>RU000A0ZYRX7</t>
  </si>
  <si>
    <t>RU000A0ZYRY5</t>
  </si>
  <si>
    <t>RU000A103EA0</t>
  </si>
  <si>
    <t>RU000A103EB8</t>
  </si>
  <si>
    <t>RU000A103EC6</t>
  </si>
  <si>
    <t>RU000A103ED4</t>
  </si>
  <si>
    <t>RU000A101ER8</t>
  </si>
  <si>
    <t>XS2401571448</t>
  </si>
  <si>
    <t>XS2401571521</t>
  </si>
  <si>
    <t>XS0919504562</t>
  </si>
  <si>
    <t>XS1514045886</t>
  </si>
  <si>
    <t>XS0304274599</t>
  </si>
  <si>
    <t>RU000A100WC4</t>
  </si>
  <si>
    <t>RU000A1014H6</t>
  </si>
  <si>
    <t>RU000A103FP5</t>
  </si>
  <si>
    <t>RU000A103GW9</t>
  </si>
  <si>
    <t>RU000A0ZZE87</t>
  </si>
  <si>
    <t>XS1143363940</t>
  </si>
  <si>
    <t>XS2281299763</t>
  </si>
  <si>
    <t>XS1759801720</t>
  </si>
  <si>
    <t>XS1510534677</t>
  </si>
  <si>
    <t>XS1589106910</t>
  </si>
  <si>
    <t>XS2392969395</t>
  </si>
  <si>
    <t>XS1601094755</t>
  </si>
  <si>
    <t>RU000A100FF2</t>
  </si>
  <si>
    <t>RU000A100KS5</t>
  </si>
  <si>
    <t>RU000A100KT3</t>
  </si>
  <si>
    <t>RU000A100SF5</t>
  </si>
  <si>
    <t>RU000A100WT8</t>
  </si>
  <si>
    <t>RU000A101160</t>
  </si>
  <si>
    <t>RU000A1016Y6</t>
  </si>
  <si>
    <t>RU000A1016X8</t>
  </si>
  <si>
    <t>RU000A1016W0</t>
  </si>
  <si>
    <t>RU000A101DL3</t>
  </si>
  <si>
    <t>RU000A101DK5</t>
  </si>
  <si>
    <t>RU000A101WY6</t>
  </si>
  <si>
    <t>RU000A102044</t>
  </si>
  <si>
    <t>RU000A102051</t>
  </si>
  <si>
    <t>RU000A1024V6</t>
  </si>
  <si>
    <t>RU000A1029V5</t>
  </si>
  <si>
    <t>RU000A102GE9</t>
  </si>
  <si>
    <t>RU000A100BB0</t>
  </si>
  <si>
    <t>RU000A100KL0</t>
  </si>
  <si>
    <t>RU000A100TF3</t>
  </si>
  <si>
    <t>RU000A1011C3</t>
  </si>
  <si>
    <t>RU000A0JWDN6</t>
  </si>
  <si>
    <t>XS1533921299</t>
  </si>
  <si>
    <t>XS1577964965</t>
  </si>
  <si>
    <t>RU000A0ZZ4T1</t>
  </si>
  <si>
    <t>RU000A0JWMZ1</t>
  </si>
  <si>
    <t>RU000A0JWN22</t>
  </si>
  <si>
    <t>RU000A0ZZ505</t>
  </si>
  <si>
    <t>RU000A0ZZY59</t>
  </si>
  <si>
    <t>RU000A0JRVN8</t>
  </si>
  <si>
    <t>RU000A0JS6N8</t>
  </si>
  <si>
    <t>RU000A0JT7M7</t>
  </si>
  <si>
    <t>RU000A0JT874</t>
  </si>
  <si>
    <t>RU000A0JU1Q8</t>
  </si>
  <si>
    <t>RU000A0JU6A1</t>
  </si>
  <si>
    <t>RU000A0JUAD7</t>
  </si>
  <si>
    <t>RU000A0JVN56</t>
  </si>
  <si>
    <t>RU000A0JVN64</t>
  </si>
  <si>
    <t>RU000A0JVN98</t>
  </si>
  <si>
    <t>RU000A0JW1V6</t>
  </si>
  <si>
    <t>RU000A0JW1Z7</t>
  </si>
  <si>
    <t>RU000A0ZZUS8</t>
  </si>
  <si>
    <t>XS0979891925</t>
  </si>
  <si>
    <t>RU000A102KS1</t>
  </si>
  <si>
    <t>RU000A101DD0</t>
  </si>
  <si>
    <t>RU000A102KV5</t>
  </si>
  <si>
    <t>RU000A1036F3</t>
  </si>
  <si>
    <t>RU000A102RL1</t>
  </si>
  <si>
    <t>RU000A103GX7</t>
  </si>
  <si>
    <t>RU000A103N84</t>
  </si>
  <si>
    <t>RU000A101129</t>
  </si>
  <si>
    <t>RU000A103GT5</t>
  </si>
  <si>
    <t>RU000A101WQ2</t>
  </si>
  <si>
    <t>RU000A102713</t>
  </si>
  <si>
    <t>RU000A0ZYXJ4</t>
  </si>
  <si>
    <t>RU000A0ZZPZ3</t>
  </si>
  <si>
    <t>RU000A0ZZVQ0</t>
  </si>
  <si>
    <t>RU000A0JV805</t>
  </si>
  <si>
    <t>RU000A0JVWB3</t>
  </si>
  <si>
    <t>RU000A1011R1</t>
  </si>
  <si>
    <t>RU000A0JUW31</t>
  </si>
  <si>
    <t>RU000A0JUW72</t>
  </si>
  <si>
    <t>RU000A0JV3R1</t>
  </si>
  <si>
    <t>RU000A0JV987</t>
  </si>
  <si>
    <t>RU000A0JXVM8</t>
  </si>
  <si>
    <t>RU000A101MG4</t>
  </si>
  <si>
    <t>XS2046736919</t>
  </si>
  <si>
    <t>RU000A1008W7</t>
  </si>
  <si>
    <t>RU000A1008L0</t>
  </si>
  <si>
    <t>XS2325559396</t>
  </si>
  <si>
    <t>RU000A0JXHE4</t>
  </si>
  <si>
    <t>RU000A0JXME4</t>
  </si>
  <si>
    <t>RU000A0JXTY7</t>
  </si>
  <si>
    <t>RU000A101WB4</t>
  </si>
  <si>
    <t>RU000A102F85</t>
  </si>
  <si>
    <t>RU000A103GZ2</t>
  </si>
  <si>
    <t>RU000A103MY3</t>
  </si>
  <si>
    <t>RU000A101HU5</t>
  </si>
  <si>
    <t>RU000A0ZZCX6</t>
  </si>
  <si>
    <t>RU000A0ZZZY5</t>
  </si>
  <si>
    <t>RU000A1018N5</t>
  </si>
  <si>
    <t>RU000A102192</t>
  </si>
  <si>
    <t>RU000A1021A6</t>
  </si>
  <si>
    <t>RU000A102HX7</t>
  </si>
  <si>
    <t>RU000A0JVT43</t>
  </si>
  <si>
    <t>RU000A0JVZA8</t>
  </si>
  <si>
    <t>RU000A102HA5</t>
  </si>
  <si>
    <t>RU000A0JS5B5</t>
  </si>
  <si>
    <t>RU000A0JS5A7</t>
  </si>
  <si>
    <t>RU000A0JS5L4</t>
  </si>
  <si>
    <t>XS2400040973</t>
  </si>
  <si>
    <t>XS1603335610</t>
  </si>
  <si>
    <t>RU000A100YF3</t>
  </si>
  <si>
    <t>RU000A101EF3</t>
  </si>
  <si>
    <t>RU000A0JW5H6</t>
  </si>
  <si>
    <t>RU000A100B73</t>
  </si>
  <si>
    <t>RU000A101R90</t>
  </si>
  <si>
    <t>RU000A0JX2V3</t>
  </si>
  <si>
    <t>RU000A0JXRD5</t>
  </si>
  <si>
    <t>RU000A0JXS59</t>
  </si>
  <si>
    <t>RU000A0ZZ5H3</t>
  </si>
  <si>
    <t>RU000A0ZZ5J9</t>
  </si>
  <si>
    <t>RU000A100SZ3</t>
  </si>
  <si>
    <t>RU000A1008Y3</t>
  </si>
  <si>
    <t>RU000A100UT2</t>
  </si>
  <si>
    <t>RU000A102E52</t>
  </si>
  <si>
    <t>RU000A101ZH4</t>
  </si>
  <si>
    <t>RU000A0JVZY8</t>
  </si>
  <si>
    <t>RU000A0JWGV2</t>
  </si>
  <si>
    <t>RU000A0JWTL6</t>
  </si>
  <si>
    <t>RU000A0JXMP0</t>
  </si>
  <si>
    <t>RU000A0JW1G7</t>
  </si>
  <si>
    <t>RU000A100ER0</t>
  </si>
  <si>
    <t>RU000A101EW8</t>
  </si>
  <si>
    <t>RU000A100YR8</t>
  </si>
  <si>
    <t>RU000A102HB3</t>
  </si>
  <si>
    <t>RU000A1000H5</t>
  </si>
  <si>
    <t>RU000A101XE6</t>
  </si>
  <si>
    <t>RU000A102GW1</t>
  </si>
  <si>
    <t>RU000A102QQ2</t>
  </si>
  <si>
    <t>RU000A0ZYX28</t>
  </si>
  <si>
    <t>RU000A0ZYWZ2</t>
  </si>
  <si>
    <t>XS2291914971</t>
  </si>
  <si>
    <t>XS2113968148</t>
  </si>
  <si>
    <t>XS2010043656</t>
  </si>
  <si>
    <t>RU000A101376</t>
  </si>
  <si>
    <t>RU000A101PP8</t>
  </si>
  <si>
    <t>RU000A0ZYJR6</t>
  </si>
  <si>
    <t>RU000A100DZ5</t>
  </si>
  <si>
    <t>RU000A101MB5</t>
  </si>
  <si>
    <t>RU000A102G01</t>
  </si>
  <si>
    <t>RU000A103NZ8</t>
  </si>
  <si>
    <t>RU000A0JXKQ2</t>
  </si>
  <si>
    <t>RU000A101LQ5</t>
  </si>
  <si>
    <t>RU000A102SC8</t>
  </si>
  <si>
    <t>RU000A102TJ1</t>
  </si>
  <si>
    <t>XS2116222451</t>
  </si>
  <si>
    <t>RU000A0JWCM0</t>
  </si>
  <si>
    <t>RU000A0JXPD9</t>
  </si>
  <si>
    <t>XS2058691663</t>
  </si>
  <si>
    <t>XS1625994618</t>
  </si>
  <si>
    <t>XS0889401724</t>
  </si>
  <si>
    <t>XS2184900186</t>
  </si>
  <si>
    <t>XS2226716392</t>
  </si>
  <si>
    <t>XS0643183220</t>
  </si>
  <si>
    <t>RU000A0JVXZ0</t>
  </si>
  <si>
    <t>RU000A0JWZY6</t>
  </si>
  <si>
    <t>RU000A0JXN21</t>
  </si>
  <si>
    <t>RU000A0ZYQY7</t>
  </si>
  <si>
    <t>RU000A0ZYWU3</t>
  </si>
  <si>
    <t>RU000A1005L6</t>
  </si>
  <si>
    <t>RU000A1008J4</t>
  </si>
  <si>
    <t>RU000A100N12</t>
  </si>
  <si>
    <t>RU000A101012</t>
  </si>
  <si>
    <t>RU000A101Q26</t>
  </si>
  <si>
    <t>RU000A102FS1</t>
  </si>
  <si>
    <t>RU000A102FT9</t>
  </si>
  <si>
    <t>RU000A102SV8</t>
  </si>
  <si>
    <t>RU000A102SX4</t>
  </si>
  <si>
    <t>RU000A103372</t>
  </si>
  <si>
    <t>RU000A103C95</t>
  </si>
  <si>
    <t>RU000A101XN7</t>
  </si>
  <si>
    <t>RU000A103P33</t>
  </si>
  <si>
    <t>RU000A0JX2P5</t>
  </si>
  <si>
    <t>RU000A0JX2X9</t>
  </si>
  <si>
    <t>RU000A0JX9X4</t>
  </si>
  <si>
    <t>RU000A0JS3U0</t>
  </si>
  <si>
    <t>RU000A0JTM28</t>
  </si>
  <si>
    <t>RU000A0JTM44</t>
  </si>
  <si>
    <t>RU000A0JWH87</t>
  </si>
  <si>
    <t>RU000A0JVEQ9</t>
  </si>
  <si>
    <t>RU000A0JVFD4</t>
  </si>
  <si>
    <t>RU000A0JUML5</t>
  </si>
  <si>
    <t>RU000A0JVHF5</t>
  </si>
  <si>
    <t>RU000A0JWGD0</t>
  </si>
  <si>
    <t>RU000A0JWX04</t>
  </si>
  <si>
    <t>RU000A0JX2Q3</t>
  </si>
  <si>
    <t>RU000A100D30</t>
  </si>
  <si>
    <t>RU000A100D63</t>
  </si>
  <si>
    <t>RU000A100D89</t>
  </si>
  <si>
    <t>BYM000000828</t>
  </si>
  <si>
    <t>BYM000000869</t>
  </si>
  <si>
    <t>BYM000000992</t>
  </si>
  <si>
    <t>BYM000000646</t>
  </si>
  <si>
    <t>BYM000000968</t>
  </si>
  <si>
    <t>BYM000000935</t>
  </si>
  <si>
    <t>BYM000001008</t>
  </si>
  <si>
    <t>BYM000000943</t>
  </si>
  <si>
    <t>BYM000000554</t>
  </si>
  <si>
    <t>BYM000000844</t>
  </si>
  <si>
    <t>BYM000000679</t>
  </si>
  <si>
    <t>BYM000000885</t>
  </si>
  <si>
    <t>BYM000000570</t>
  </si>
  <si>
    <t>BYM000000851</t>
  </si>
  <si>
    <t>BYM000000752</t>
  </si>
  <si>
    <t>BYM000001024</t>
  </si>
  <si>
    <t>BYM000000547</t>
  </si>
  <si>
    <t>BYM000000489</t>
  </si>
  <si>
    <t>BYM000000455</t>
  </si>
  <si>
    <t>BYM000000562</t>
  </si>
  <si>
    <t>BYM000000539</t>
  </si>
  <si>
    <t>BYM000000521</t>
  </si>
  <si>
    <t>BYM000000737</t>
  </si>
  <si>
    <t>BYM000000612</t>
  </si>
  <si>
    <t>XS1760804184</t>
  </si>
  <si>
    <t>XS2120882183</t>
  </si>
  <si>
    <t>BYM000000505</t>
  </si>
  <si>
    <t>BYM000000471</t>
  </si>
  <si>
    <t>BYM000000901</t>
  </si>
  <si>
    <t>BYM000000448</t>
  </si>
  <si>
    <t>XS1634369224</t>
  </si>
  <si>
    <t>BYM000000604</t>
  </si>
  <si>
    <t>BYM000001057</t>
  </si>
  <si>
    <t>BYM000001065</t>
  </si>
  <si>
    <t>BYM000001099</t>
  </si>
  <si>
    <t>BYM000001107</t>
  </si>
  <si>
    <t>BYM000001115</t>
  </si>
  <si>
    <t>BYM000001123</t>
  </si>
  <si>
    <t>BYM000001131</t>
  </si>
  <si>
    <t>BYM000001149</t>
  </si>
  <si>
    <t>BYM000001156</t>
  </si>
  <si>
    <t>BYM000001180</t>
  </si>
  <si>
    <t>BYM000001214</t>
  </si>
  <si>
    <t>BYM000001198</t>
  </si>
  <si>
    <t>BYM000001081</t>
  </si>
  <si>
    <t>BYM000001164</t>
  </si>
  <si>
    <t>BYM000001040</t>
  </si>
  <si>
    <t>BYM000001172</t>
  </si>
  <si>
    <t>BYM000001032</t>
  </si>
  <si>
    <t>BYM000001206</t>
  </si>
  <si>
    <t>BYM000001073</t>
  </si>
  <si>
    <t>RU000A100A33</t>
  </si>
  <si>
    <t>RU000A100G03</t>
  </si>
  <si>
    <t>RU000A0JXNF9</t>
  </si>
  <si>
    <t>RU000A0JXYL4</t>
  </si>
  <si>
    <t>RU000A0ZYDS7</t>
  </si>
  <si>
    <t>RU000A0ZYLC4</t>
  </si>
  <si>
    <t>RU000A0ZYLQ4</t>
  </si>
  <si>
    <t>RU000A0ZYXV9</t>
  </si>
  <si>
    <t>RU000A101137</t>
  </si>
  <si>
    <t>RU000A1017J5</t>
  </si>
  <si>
    <t>RU000A101GJ0</t>
  </si>
  <si>
    <t>RU000A102L95</t>
  </si>
  <si>
    <t>XS0997544860</t>
  </si>
  <si>
    <t>RU000A0JWK41</t>
  </si>
  <si>
    <t>XS1843443273</t>
  </si>
  <si>
    <t>XS1405775377</t>
  </si>
  <si>
    <t>RU000A100P85</t>
  </si>
  <si>
    <t>KZ2C00005981</t>
  </si>
  <si>
    <t>KZ2C00004075</t>
  </si>
  <si>
    <t>KZ2C00002475</t>
  </si>
  <si>
    <t>KZ2C00002467</t>
  </si>
  <si>
    <t>KZ2C00003051</t>
  </si>
  <si>
    <t>KZ2C00001212</t>
  </si>
  <si>
    <t>KZ2C00001188</t>
  </si>
  <si>
    <t>RU000A0ZYU39</t>
  </si>
  <si>
    <t>XS2398776307</t>
  </si>
  <si>
    <t>RU000A0JUG56</t>
  </si>
  <si>
    <t>RU000A0JUG72</t>
  </si>
  <si>
    <t>RU000A0JXT58</t>
  </si>
  <si>
    <t>RU000A0JUG98</t>
  </si>
  <si>
    <t>XS2293903766</t>
  </si>
  <si>
    <t>XS2289850153</t>
  </si>
  <si>
    <t>HU0000359245</t>
  </si>
  <si>
    <t>XS2333787047</t>
  </si>
  <si>
    <t>XS2314258968</t>
  </si>
  <si>
    <t>HU0000358825</t>
  </si>
  <si>
    <t>XS2237392027</t>
  </si>
  <si>
    <t>XS2240977608</t>
  </si>
  <si>
    <t>ROSXSYT9K848</t>
  </si>
  <si>
    <t>XS2322936597</t>
  </si>
  <si>
    <t>XS2180177623</t>
  </si>
  <si>
    <t>RU000A101LM4</t>
  </si>
  <si>
    <t>RU000A101LN2</t>
  </si>
  <si>
    <t>RU000A0JUV81</t>
  </si>
  <si>
    <t>RU000A0JUJG1</t>
  </si>
  <si>
    <t>RU000A0JUW23</t>
  </si>
  <si>
    <t>RU000A0JWZT6</t>
  </si>
  <si>
    <t>RU000A0ZYMD0</t>
  </si>
  <si>
    <t>RU000A0ZYH44</t>
  </si>
  <si>
    <t>RU000A100220</t>
  </si>
  <si>
    <t>RU000A100TH9</t>
  </si>
  <si>
    <t>RU000A102F28</t>
  </si>
  <si>
    <t>RU000A103DU0</t>
  </si>
  <si>
    <t>RU000A0JS6M0</t>
  </si>
  <si>
    <t>RU000A0JVUY9</t>
  </si>
  <si>
    <t>RU000A0JX2D1</t>
  </si>
  <si>
    <t>RU000A0JWUB5</t>
  </si>
  <si>
    <t>RU000A0JVWA5</t>
  </si>
  <si>
    <t>RU000A0JWGS8</t>
  </si>
  <si>
    <t>RU000A0JVNB2</t>
  </si>
  <si>
    <t>RU000A0JWNB0</t>
  </si>
  <si>
    <t>RU000A0JUL67</t>
  </si>
  <si>
    <t>RU000A0JUL91</t>
  </si>
  <si>
    <t>RU000A0JULA0</t>
  </si>
  <si>
    <t>RU000A0JULC6</t>
  </si>
  <si>
    <t>RU000A0JX132</t>
  </si>
  <si>
    <t>RU000A0JX355</t>
  </si>
  <si>
    <t>RU000A0JX413</t>
  </si>
  <si>
    <t>RU000A0JXQK2</t>
  </si>
  <si>
    <t>RU000A0JXR68</t>
  </si>
  <si>
    <t>RU000A0JXXD3</t>
  </si>
  <si>
    <t>RU000A0JXXE1</t>
  </si>
  <si>
    <t>RU000A0ZYCP5</t>
  </si>
  <si>
    <t>RU000A0ZYJH7</t>
  </si>
  <si>
    <t>RU000A0ZYJJ3</t>
  </si>
  <si>
    <t>RU000A0ZYLG5</t>
  </si>
  <si>
    <t>RU000A0ZYT40</t>
  </si>
  <si>
    <t>RU000A0ZYVU5</t>
  </si>
  <si>
    <t>RU000A1008P1</t>
  </si>
  <si>
    <t>RU000A1008Q9</t>
  </si>
  <si>
    <t>RU000A100KY3</t>
  </si>
  <si>
    <t>RU000A100YQ0</t>
  </si>
  <si>
    <t>RU000A101SF3</t>
  </si>
  <si>
    <t>RU000A103FC3</t>
  </si>
  <si>
    <t>RU000A102EF1</t>
  </si>
  <si>
    <t>RU000A102EE4</t>
  </si>
  <si>
    <t>RU000A0JT940</t>
  </si>
  <si>
    <t>RU000A0JT965</t>
  </si>
  <si>
    <t>RU000A0JTYL2</t>
  </si>
  <si>
    <t>RU000A0JTS06</t>
  </si>
  <si>
    <t>RU000A0JTS22</t>
  </si>
  <si>
    <t>RU000A0JTYM0</t>
  </si>
  <si>
    <t>RU000A0JTYN8</t>
  </si>
  <si>
    <t>RU000A0JUFU0</t>
  </si>
  <si>
    <t>RU000A0JV1W5</t>
  </si>
  <si>
    <t>RU000A0JV1X3</t>
  </si>
  <si>
    <t>RU000A0JV1Y1</t>
  </si>
  <si>
    <t>RU000A0JUCS1</t>
  </si>
  <si>
    <t>RU000A0JUCR3</t>
  </si>
  <si>
    <t>RU000A0JUFV8</t>
  </si>
  <si>
    <t>RU000A0JV201</t>
  </si>
  <si>
    <t>RU000A0JV219</t>
  </si>
  <si>
    <t>RU000A0JV235</t>
  </si>
  <si>
    <t>RU000A0JV243</t>
  </si>
  <si>
    <t>RU000A0JV250</t>
  </si>
  <si>
    <t>RU000A0JV268</t>
  </si>
  <si>
    <t>RU000A0JV227</t>
  </si>
  <si>
    <t>RU000A0JTMG7</t>
  </si>
  <si>
    <t>RU000A0JTMK9</t>
  </si>
  <si>
    <t>RU000A0JVD25</t>
  </si>
  <si>
    <t>XS1912655054</t>
  </si>
  <si>
    <t>XS2082937967</t>
  </si>
  <si>
    <t>XS1912654677</t>
  </si>
  <si>
    <t>RU000A0ZZ117</t>
  </si>
  <si>
    <t>RU000A0ZZBN9</t>
  </si>
  <si>
    <t>RU000A0ZZE20</t>
  </si>
  <si>
    <t>RU000A0ZZXS2</t>
  </si>
  <si>
    <t>RU000A0ZZWZ9</t>
  </si>
  <si>
    <t>RU000A100K80</t>
  </si>
  <si>
    <t>RU000A1012R9</t>
  </si>
  <si>
    <t>RU000A101C89</t>
  </si>
  <si>
    <t>RU000A101QW2</t>
  </si>
  <si>
    <t>RU000A102YG7</t>
  </si>
  <si>
    <t>RU000A1025U5</t>
  </si>
  <si>
    <t>RU000A102FR3</t>
  </si>
  <si>
    <t>RU000A102CU4</t>
  </si>
  <si>
    <t>RU000A102RQ0</t>
  </si>
  <si>
    <t>RU000A102RS6</t>
  </si>
  <si>
    <t>RU000A102YH5</t>
  </si>
  <si>
    <t>RU000A103661</t>
  </si>
  <si>
    <t>RU000A1038U8</t>
  </si>
  <si>
    <t>RU000A103G42</t>
  </si>
  <si>
    <t>RU000A103G59</t>
  </si>
  <si>
    <t>RU000A103G75</t>
  </si>
  <si>
    <t>RU000A103H66</t>
  </si>
  <si>
    <t>RU000A103KG4</t>
  </si>
  <si>
    <t>RU000A102HC1</t>
  </si>
  <si>
    <t>RU000A103Q24</t>
  </si>
  <si>
    <t>XS0848530977</t>
  </si>
  <si>
    <t>XS0935311240</t>
  </si>
  <si>
    <t>RU000A0ZZDM7</t>
  </si>
  <si>
    <t>RU000A0ZZ5U6</t>
  </si>
  <si>
    <t>RU000A0ZZ992</t>
  </si>
  <si>
    <t>RU000A0ZZE38</t>
  </si>
  <si>
    <t>RU000A1031J6</t>
  </si>
  <si>
    <t>RU000A0ZZW69</t>
  </si>
  <si>
    <t>RU000A0ZZP27</t>
  </si>
  <si>
    <t>RU000A1003H9</t>
  </si>
  <si>
    <t>RU000A100VT0</t>
  </si>
  <si>
    <t>RU000A100X51</t>
  </si>
  <si>
    <t>RU000A100ZP9</t>
  </si>
  <si>
    <t>RU000A1013E5</t>
  </si>
  <si>
    <t>RU000A1016M1</t>
  </si>
  <si>
    <t>RU000A101A24</t>
  </si>
  <si>
    <t>RU000A101CX0</t>
  </si>
  <si>
    <t>RU000A101E04</t>
  </si>
  <si>
    <t>RU000A101G51</t>
  </si>
  <si>
    <t>RU000A101J74</t>
  </si>
  <si>
    <t>RU000A101KD5</t>
  </si>
  <si>
    <t>RU000A101L13</t>
  </si>
  <si>
    <t>RU000A100931</t>
  </si>
  <si>
    <t>RU000A0ZZRU0</t>
  </si>
  <si>
    <t>RU000A0ZZTX0</t>
  </si>
  <si>
    <t>RU000A1004M7</t>
  </si>
  <si>
    <t>RU000A1007C1</t>
  </si>
  <si>
    <t>RU000A101QR2</t>
  </si>
  <si>
    <t>RU000A101VU6</t>
  </si>
  <si>
    <t>RU000A101ZT9</t>
  </si>
  <si>
    <t>RU000A1022Q0</t>
  </si>
  <si>
    <t>RU000A102689</t>
  </si>
  <si>
    <t>RU000A102A98</t>
  </si>
  <si>
    <t>RU000A102E86</t>
  </si>
  <si>
    <t>RU000A102JU9</t>
  </si>
  <si>
    <t>RU000A103AL5</t>
  </si>
  <si>
    <t>RU000A103FB5</t>
  </si>
  <si>
    <t>RU000A103LG2</t>
  </si>
  <si>
    <t>RU000A0ZZD88</t>
  </si>
  <si>
    <t>RU000A0ZZFC3</t>
  </si>
  <si>
    <t>RU000A0ZZMB1</t>
  </si>
  <si>
    <t>RU000A0ZZPE8</t>
  </si>
  <si>
    <t>RU000A101CY8</t>
  </si>
  <si>
    <t>RU000A101EL1</t>
  </si>
  <si>
    <t>RU000A101HG4</t>
  </si>
  <si>
    <t>RU000A101GF8</t>
  </si>
  <si>
    <t>RU000A101GT9</t>
  </si>
  <si>
    <t>RU000A101HK6</t>
  </si>
  <si>
    <t>RU000A101DR0</t>
  </si>
  <si>
    <t>RU000A101FQ7</t>
  </si>
  <si>
    <t>RU000A101ED8</t>
  </si>
  <si>
    <t>RU000A101J58</t>
  </si>
  <si>
    <t>RU000A101KH6</t>
  </si>
  <si>
    <t>RU000A101L21</t>
  </si>
  <si>
    <t>RU000A101LF8</t>
  </si>
  <si>
    <t>RU000A101T31</t>
  </si>
  <si>
    <t>RU000A101QV4</t>
  </si>
  <si>
    <t>RU000A101QY8</t>
  </si>
  <si>
    <t>RU000A101T23</t>
  </si>
  <si>
    <t>RU000A101TZ9</t>
  </si>
  <si>
    <t>RU000A101V11</t>
  </si>
  <si>
    <t>RU000A101VS0</t>
  </si>
  <si>
    <t>RU000A101WV2</t>
  </si>
  <si>
    <t>RU000A101WU4</t>
  </si>
  <si>
    <t>RU000A101ZR3</t>
  </si>
  <si>
    <t>RU000A101ZS1</t>
  </si>
  <si>
    <t>RU000A102168</t>
  </si>
  <si>
    <t>RU000A102176</t>
  </si>
  <si>
    <t>RU000A102242</t>
  </si>
  <si>
    <t>RU000A102259</t>
  </si>
  <si>
    <t>RU000A1023X4</t>
  </si>
  <si>
    <t>RU000A1023Y2</t>
  </si>
  <si>
    <t>RU000A1025R1</t>
  </si>
  <si>
    <t>RU000A1025S9</t>
  </si>
  <si>
    <t>RU000A1028K0</t>
  </si>
  <si>
    <t>RU000A102A72</t>
  </si>
  <si>
    <t>RU000A102A80</t>
  </si>
  <si>
    <t>RU000A102BR2</t>
  </si>
  <si>
    <t>RU000A102BS0</t>
  </si>
  <si>
    <t>RU000A102D53</t>
  </si>
  <si>
    <t>RU000A102D61</t>
  </si>
  <si>
    <t>RU000A102GZ4</t>
  </si>
  <si>
    <t>RU000A102JW5</t>
  </si>
  <si>
    <t>RU000A103JQ5</t>
  </si>
  <si>
    <t>RU000A1031G2</t>
  </si>
  <si>
    <t>RU000A102UC4</t>
  </si>
  <si>
    <t>RU000A102SU0</t>
  </si>
  <si>
    <t>RU000A102RE6</t>
  </si>
  <si>
    <t>RU000A102X26</t>
  </si>
  <si>
    <t>RU000A102ZZ4</t>
  </si>
  <si>
    <t>RU000A1032N6</t>
  </si>
  <si>
    <t>RU000A103539</t>
  </si>
  <si>
    <t>RU000A103AF7</t>
  </si>
  <si>
    <t>RU000A103C87</t>
  </si>
  <si>
    <t>RU000A103FM2</t>
  </si>
  <si>
    <t>RU000A103LF4</t>
  </si>
  <si>
    <t>RU000A103P25</t>
  </si>
  <si>
    <t>RU000A103RU0</t>
  </si>
  <si>
    <t>RU000A100KZ0</t>
  </si>
  <si>
    <t>RU000A100PX4</t>
  </si>
  <si>
    <t>RU000A100TP2</t>
  </si>
  <si>
    <t>RU000A100VV6</t>
  </si>
  <si>
    <t>RU000A100X36</t>
  </si>
  <si>
    <t>RU000A100YB2</t>
  </si>
  <si>
    <t>RU000A1011F6</t>
  </si>
  <si>
    <t>RU000A1011H2</t>
  </si>
  <si>
    <t>RU000A1011K6</t>
  </si>
  <si>
    <t>RU000A101640</t>
  </si>
  <si>
    <t>RU000A101C48</t>
  </si>
  <si>
    <t>RU000A101FD5</t>
  </si>
  <si>
    <t>RU000A100DS0</t>
  </si>
  <si>
    <t>RU000A100EC2</t>
  </si>
  <si>
    <t>RU000A1017Q0</t>
  </si>
  <si>
    <t>RU000A1017R8</t>
  </si>
  <si>
    <t>RU000A100634</t>
  </si>
  <si>
    <t>RU000A0ZZTW2</t>
  </si>
  <si>
    <t>RU000A103C79</t>
  </si>
  <si>
    <t>RU000A100H69</t>
  </si>
  <si>
    <t>RU000A100S41</t>
  </si>
  <si>
    <t>RU000A101CD2</t>
  </si>
  <si>
    <t>RU000A1013J4</t>
  </si>
  <si>
    <t>RU000A102W35</t>
  </si>
  <si>
    <t>RU000A103471</t>
  </si>
  <si>
    <t>RU000A1003G1</t>
  </si>
  <si>
    <t>RU000A101N37</t>
  </si>
  <si>
    <t>RU000A101JE5</t>
  </si>
  <si>
    <t>RU000A101KB9</t>
  </si>
  <si>
    <t>RU000A101MK6</t>
  </si>
  <si>
    <t>RU000A101QT8</t>
  </si>
  <si>
    <t>RU000A101V03</t>
  </si>
  <si>
    <t>RU000A101ZL6</t>
  </si>
  <si>
    <t>RU000A1022S6</t>
  </si>
  <si>
    <t>RU000A100V87</t>
  </si>
  <si>
    <t>RU000A100B57</t>
  </si>
  <si>
    <t>RU000A100EB4</t>
  </si>
  <si>
    <t>RU000A100Z59</t>
  </si>
  <si>
    <t>RU000A1027A3</t>
  </si>
  <si>
    <t>RU000A1029W3</t>
  </si>
  <si>
    <t>RU000A102DV0</t>
  </si>
  <si>
    <t>RU000A100N79</t>
  </si>
  <si>
    <t>RU000A1018P0</t>
  </si>
  <si>
    <t>RU000A101G69</t>
  </si>
  <si>
    <t>RU000A102RG1</t>
  </si>
  <si>
    <t>RU000A102SR6</t>
  </si>
  <si>
    <t>RU000A101D62</t>
  </si>
  <si>
    <t>RU000A103AG5</t>
  </si>
  <si>
    <t>RU000A1025K6</t>
  </si>
  <si>
    <t>RU000A0ZZY83</t>
  </si>
  <si>
    <t>RU000A1000J1</t>
  </si>
  <si>
    <t>RU000A1004N5</t>
  </si>
  <si>
    <t>RU000A0ZZQK3</t>
  </si>
  <si>
    <t>RU000A102JA1</t>
  </si>
  <si>
    <t>RU000A0ZZHD7</t>
  </si>
  <si>
    <t>RU000A100Z83</t>
  </si>
  <si>
    <t>RU000A100H51</t>
  </si>
  <si>
    <t>RU000A100SQ2</t>
  </si>
  <si>
    <t>RU000A101327</t>
  </si>
  <si>
    <t>RU000A101QU6</t>
  </si>
  <si>
    <t>RU000A1026Q1</t>
  </si>
  <si>
    <t>RU000A1029X1</t>
  </si>
  <si>
    <t>RU000A102267</t>
  </si>
  <si>
    <t>RU000A100MZ6</t>
  </si>
  <si>
    <t>RU000A103521</t>
  </si>
  <si>
    <t>RU000A102HP3</t>
  </si>
  <si>
    <t>RU000A101LB7</t>
  </si>
  <si>
    <t>RU000A101MH2</t>
  </si>
  <si>
    <t>RU000A101QX0</t>
  </si>
  <si>
    <t>RU000A101UZ7</t>
  </si>
  <si>
    <t>RU000A101YG9</t>
  </si>
  <si>
    <t>RU000A1021N9</t>
  </si>
  <si>
    <t>RU000A1029S1</t>
  </si>
  <si>
    <t>RU000A102GL4</t>
  </si>
  <si>
    <t>RU000A102GM2</t>
  </si>
  <si>
    <t>RU000A102RA4</t>
  </si>
  <si>
    <t>RU000A101CR2</t>
  </si>
  <si>
    <t>RU000A100L48</t>
  </si>
  <si>
    <t>RU000A100NY7</t>
  </si>
  <si>
    <t>RU000A100R34</t>
  </si>
  <si>
    <t>RU000A100TU2</t>
  </si>
  <si>
    <t>RU000A100XA6</t>
  </si>
  <si>
    <t>RU000A1010Y9</t>
  </si>
  <si>
    <t>RU000A1015V4</t>
  </si>
  <si>
    <t>RU000A1019U8</t>
  </si>
  <si>
    <t>RU000A101EB2</t>
  </si>
  <si>
    <t>RU000A101HH2</t>
  </si>
  <si>
    <t>RU000A101QJ9</t>
  </si>
  <si>
    <t>RU000A101SW8</t>
  </si>
  <si>
    <t>RU000A101W28</t>
  </si>
  <si>
    <t>RU000A101ZQ5</t>
  </si>
  <si>
    <t>RU000A101JW7</t>
  </si>
  <si>
    <t>RU000A101LU7</t>
  </si>
  <si>
    <t>RU000A102AN3</t>
  </si>
  <si>
    <t>RU000A1027B1</t>
  </si>
  <si>
    <t>RU000A103216</t>
  </si>
  <si>
    <t>RU000A100Z75</t>
  </si>
  <si>
    <t>RU000A101400</t>
  </si>
  <si>
    <t>RU000A100NB5</t>
  </si>
  <si>
    <t>RU000A100R83</t>
  </si>
  <si>
    <t>RU000A100WV4</t>
  </si>
  <si>
    <t>RU000A101S32</t>
  </si>
  <si>
    <t>RU000A1031H0</t>
  </si>
  <si>
    <t>RU000A102622</t>
  </si>
  <si>
    <t>RU000A1026P3</t>
  </si>
  <si>
    <t>RU000A1029Q5</t>
  </si>
  <si>
    <t>RU000A102CA6</t>
  </si>
  <si>
    <t>RU000A101Y75</t>
  </si>
  <si>
    <t>RU000A101LT9</t>
  </si>
  <si>
    <t>RU000A101SS6</t>
  </si>
  <si>
    <t>RU000A101W36</t>
  </si>
  <si>
    <t>RU000A103TL5</t>
  </si>
  <si>
    <t>RU000A101WG3</t>
  </si>
  <si>
    <t>RU000A1020F7</t>
  </si>
  <si>
    <t>RU000A1021M1</t>
  </si>
  <si>
    <t>RU000A1022N7</t>
  </si>
  <si>
    <t>RU000A1023Z9</t>
  </si>
  <si>
    <t>RU000A102614</t>
  </si>
  <si>
    <t>RU000A1026N8</t>
  </si>
  <si>
    <t>RU000A100AK3</t>
  </si>
  <si>
    <t>RU000A100HM4</t>
  </si>
  <si>
    <t>RU000A1007T5</t>
  </si>
  <si>
    <t>RU000A100FH8</t>
  </si>
  <si>
    <t>RU000A100LN4</t>
  </si>
  <si>
    <t>RU000A100PA2</t>
  </si>
  <si>
    <t>RU000A100RR2</t>
  </si>
  <si>
    <t>RU000A100TV0</t>
  </si>
  <si>
    <t>RU000A101HF6</t>
  </si>
  <si>
    <t>RU000A100XB4</t>
  </si>
  <si>
    <t>RU000A101103</t>
  </si>
  <si>
    <t>RU000A1015U6</t>
  </si>
  <si>
    <t>RU000A1019T0</t>
  </si>
  <si>
    <t>RU000A102GQ3</t>
  </si>
  <si>
    <t>RU000A102GR1</t>
  </si>
  <si>
    <t>RU000A101Y83</t>
  </si>
  <si>
    <t>RU000A101ZV5</t>
  </si>
  <si>
    <t>RU000A1022R8</t>
  </si>
  <si>
    <t>RU000A1025L4</t>
  </si>
  <si>
    <t>RU000A1026M0</t>
  </si>
  <si>
    <t>RU000A1029R3</t>
  </si>
  <si>
    <t>RU000A102C88</t>
  </si>
  <si>
    <t>RU000A102GN0</t>
  </si>
  <si>
    <t>RU000A102GP5</t>
  </si>
  <si>
    <t>RU000A102RD8</t>
  </si>
  <si>
    <t>RU000A102WC0</t>
  </si>
  <si>
    <t>RU000A102TH5</t>
  </si>
  <si>
    <t>RU000A103596</t>
  </si>
  <si>
    <t>RU000A103AP6</t>
  </si>
  <si>
    <t>RU000A103CP2</t>
  </si>
  <si>
    <t>RU000A103FA7</t>
  </si>
  <si>
    <t>RU000A103HE5</t>
  </si>
  <si>
    <t>RU000A103LE7</t>
  </si>
  <si>
    <t>RU000A101A40</t>
  </si>
  <si>
    <t>RU000A101GP7</t>
  </si>
  <si>
    <t>RU000A101J41</t>
  </si>
  <si>
    <t>RU000A100NV3</t>
  </si>
  <si>
    <t>RU000A100R91</t>
  </si>
  <si>
    <t>RU000A100UY2</t>
  </si>
  <si>
    <t>RU000A101657</t>
  </si>
  <si>
    <t>RU000A101C14</t>
  </si>
  <si>
    <t>RU000A102FL6</t>
  </si>
  <si>
    <t>RU000A102V69</t>
  </si>
  <si>
    <t>RU000A102RC0</t>
  </si>
  <si>
    <t>RU000A103976</t>
  </si>
  <si>
    <t>RU000A101WT6</t>
  </si>
  <si>
    <t>RU000A1020G5</t>
  </si>
  <si>
    <t>RU000A102283</t>
  </si>
  <si>
    <t>RU000A102416</t>
  </si>
  <si>
    <t>RU000A103968</t>
  </si>
  <si>
    <t>RU000A103AM3</t>
  </si>
  <si>
    <t>RU000A103273</t>
  </si>
  <si>
    <t>RU000A1032K2</t>
  </si>
  <si>
    <t>RU000A103588</t>
  </si>
  <si>
    <t>RU000A103F92</t>
  </si>
  <si>
    <t>RU000A1028J2</t>
  </si>
  <si>
    <t>RU000A102DF3</t>
  </si>
  <si>
    <t>RU000A103JB7</t>
  </si>
  <si>
    <t>RU000A103LD9</t>
  </si>
  <si>
    <t>RU000A103PF5</t>
  </si>
  <si>
    <t>RU000A103299</t>
  </si>
  <si>
    <t>RU000A1021P4</t>
  </si>
  <si>
    <t>RU000A1021Q2</t>
  </si>
  <si>
    <t>RU000A1024N3</t>
  </si>
  <si>
    <t>RU000A1024T0</t>
  </si>
  <si>
    <t>RU000A1029C5</t>
  </si>
  <si>
    <t>RU000A1029E1</t>
  </si>
  <si>
    <t>RU000A102BZ5</t>
  </si>
  <si>
    <t>RU000A102C13</t>
  </si>
  <si>
    <t>RU000A102HH0</t>
  </si>
  <si>
    <t>RU000A102HK4</t>
  </si>
  <si>
    <t>RU000A102WA4</t>
  </si>
  <si>
    <t>RU000A103281</t>
  </si>
  <si>
    <t>RU000A102C96</t>
  </si>
  <si>
    <t>RU000A102358</t>
  </si>
  <si>
    <t>RU000A102341</t>
  </si>
  <si>
    <t>RU000A1025J8</t>
  </si>
  <si>
    <t>RU000A1026E7</t>
  </si>
  <si>
    <t>RU000A102A64</t>
  </si>
  <si>
    <t>RU000A102A56</t>
  </si>
  <si>
    <t>RU000A102BE0</t>
  </si>
  <si>
    <t>RU000A102D38</t>
  </si>
  <si>
    <t>RU000A102D87</t>
  </si>
  <si>
    <t>RU000A102DG1</t>
  </si>
  <si>
    <t>RU000A102G76</t>
  </si>
  <si>
    <t>RU000A102GG4</t>
  </si>
  <si>
    <t>RU000A102GH2</t>
  </si>
  <si>
    <t>RU000A103RV8</t>
  </si>
  <si>
    <t>RU000A103PH1</t>
  </si>
  <si>
    <t>RU000A103TN1</t>
  </si>
  <si>
    <t>RU000A103MW7</t>
  </si>
  <si>
    <t>RU000A101VL5</t>
  </si>
  <si>
    <t>RU000A101KF0</t>
  </si>
  <si>
    <t>RU000A101VK7</t>
  </si>
  <si>
    <t>RU000A103CR8</t>
  </si>
  <si>
    <t>RU000A102WB2</t>
  </si>
  <si>
    <t>RU000A102VD0</t>
  </si>
  <si>
    <t>RU000A102W50</t>
  </si>
  <si>
    <t>RU000A1032C9</t>
  </si>
  <si>
    <t>RU000A1032L0</t>
  </si>
  <si>
    <t>RU000A103RW6</t>
  </si>
  <si>
    <t>RU000A0ZZWX4</t>
  </si>
  <si>
    <t>RU000A0ZZWY2</t>
  </si>
  <si>
    <t>RU000A0ZZZ41</t>
  </si>
  <si>
    <t>RU000A100FG0</t>
  </si>
  <si>
    <t>RU000A100H44</t>
  </si>
  <si>
    <t>RU000A0ZZMA3</t>
  </si>
  <si>
    <t>RU000A0ZZKS9</t>
  </si>
  <si>
    <t>RU000A101H19</t>
  </si>
  <si>
    <t>RU000A0ZZP19</t>
  </si>
  <si>
    <t>RU000A0ZZKR1</t>
  </si>
  <si>
    <t>RU000A101QH3</t>
  </si>
  <si>
    <t>RU000A101SX6</t>
  </si>
  <si>
    <t>RU000A101U20</t>
  </si>
  <si>
    <t>RU000A0ZZP35</t>
  </si>
  <si>
    <t>RU000A0ZZQ18</t>
  </si>
  <si>
    <t>RU000A0ZZSJ1</t>
  </si>
  <si>
    <t>RU000A0ZZSK9</t>
  </si>
  <si>
    <t>RU000A0ZZUX8</t>
  </si>
  <si>
    <t>RU000A100188</t>
  </si>
  <si>
    <t>RU000A100196</t>
  </si>
  <si>
    <t>RU000A100295</t>
  </si>
  <si>
    <t>RU000A100444</t>
  </si>
  <si>
    <t>RU000A100451</t>
  </si>
  <si>
    <t>RU000A100576</t>
  </si>
  <si>
    <t>RU000A1006R1</t>
  </si>
  <si>
    <t>RU000A1008A3</t>
  </si>
  <si>
    <t>RU000A100BR6</t>
  </si>
  <si>
    <t>RU000A100BP0</t>
  </si>
  <si>
    <t>RU000A100DL5</t>
  </si>
  <si>
    <t>RU000A1001R2</t>
  </si>
  <si>
    <t>RU000A1004P0</t>
  </si>
  <si>
    <t>RU000A102TD4</t>
  </si>
  <si>
    <t>RU000A102FJ0</t>
  </si>
  <si>
    <t>RU000A102BG5</t>
  </si>
  <si>
    <t>RU000A0JXQ85</t>
  </si>
  <si>
    <t>RU000A1008B1</t>
  </si>
  <si>
    <t>XS2387703866</t>
  </si>
  <si>
    <t>XS1631338495</t>
  </si>
  <si>
    <t>RU000A102796</t>
  </si>
  <si>
    <t>RU000A102FH4</t>
  </si>
  <si>
    <t>RU000A102FW3</t>
  </si>
  <si>
    <t>XS2075963293</t>
  </si>
  <si>
    <t>RU000A103760</t>
  </si>
  <si>
    <t>RU000A100UG9</t>
  </si>
  <si>
    <t>RU000A101806</t>
  </si>
  <si>
    <t>RU000A101X84</t>
  </si>
  <si>
    <t>RU000A1021Z3</t>
  </si>
  <si>
    <t>RU000A1026G2</t>
  </si>
  <si>
    <t>RU000A102AD4</t>
  </si>
  <si>
    <t>RU000A102AE2</t>
  </si>
  <si>
    <t>RU000A102DW8</t>
  </si>
  <si>
    <t>RU000A102DX6</t>
  </si>
  <si>
    <t>RU000A102QK5</t>
  </si>
  <si>
    <t>RU000A102K47</t>
  </si>
  <si>
    <t>RU000A102K54</t>
  </si>
  <si>
    <t>RU000A102PT8</t>
  </si>
  <si>
    <t>RU000A102PV4</t>
  </si>
  <si>
    <t>RU000A101Q83</t>
  </si>
  <si>
    <t>RU000A101UJ1</t>
  </si>
  <si>
    <t>RU000A1020E0</t>
  </si>
  <si>
    <t>RU000A1025Y7</t>
  </si>
  <si>
    <t>RU000A0JU872</t>
  </si>
  <si>
    <t>RU000A0JU0N7</t>
  </si>
  <si>
    <t>RU000A0JRZ74</t>
  </si>
  <si>
    <t>RU000A0JV3L4</t>
  </si>
  <si>
    <t>RU000A0JV573</t>
  </si>
  <si>
    <t>RU000A1021C2</t>
  </si>
  <si>
    <t>RU000A102861</t>
  </si>
  <si>
    <t>RU000A100EW0</t>
  </si>
  <si>
    <t>RU000A1013Z0</t>
  </si>
  <si>
    <t>RU000A1017Z1</t>
  </si>
  <si>
    <t>RU000A101GA9</t>
  </si>
  <si>
    <t>RU000A101T07</t>
  </si>
  <si>
    <t>RU000A102DC0</t>
  </si>
  <si>
    <t>RU000A101YL9</t>
  </si>
  <si>
    <t>RU000A103NP9</t>
  </si>
  <si>
    <t>RU000A0JVC59</t>
  </si>
  <si>
    <t>RU000A0JXLR8</t>
  </si>
  <si>
    <t>RU000A100L14</t>
  </si>
  <si>
    <t>RU000A101GR3</t>
  </si>
  <si>
    <t>RU000A102R73</t>
  </si>
  <si>
    <t>RU000A1035Y6</t>
  </si>
  <si>
    <t>RU000A103PT6</t>
  </si>
  <si>
    <t>RU000A101RJ7</t>
  </si>
  <si>
    <t>BG2100005219</t>
  </si>
  <si>
    <t>RU000A0JS264</t>
  </si>
  <si>
    <t>RU000A0JT3J2</t>
  </si>
  <si>
    <t>RU000A0JTH82</t>
  </si>
  <si>
    <t>RU000A0JU2N3</t>
  </si>
  <si>
    <t>XS0795156719</t>
  </si>
  <si>
    <t>XS1062071862</t>
  </si>
  <si>
    <t>RU000A0JVPJ0</t>
  </si>
  <si>
    <t>RU000A0JVDR9</t>
  </si>
  <si>
    <t>RU000A0JURM2</t>
  </si>
  <si>
    <t>RU000A0JUWV3</t>
  </si>
  <si>
    <t>RU000A0JVP21</t>
  </si>
  <si>
    <t>RU000A0JWX46</t>
  </si>
  <si>
    <t>RU000A0JXTG4</t>
  </si>
  <si>
    <t>RU000A0JXYE9</t>
  </si>
  <si>
    <t>RU000A0JXYG4</t>
  </si>
  <si>
    <t>RU000A0JXYH2</t>
  </si>
  <si>
    <t/>
  </si>
  <si>
    <t>Тип инструмента</t>
  </si>
  <si>
    <t>Облигация</t>
  </si>
  <si>
    <t>Валюта отчета</t>
  </si>
  <si>
    <t>RUR</t>
  </si>
  <si>
    <t>Дата отчета</t>
  </si>
  <si>
    <t>Книга</t>
  </si>
  <si>
    <t>Инструмент</t>
  </si>
  <si>
    <t>ВалИнструмента</t>
  </si>
  <si>
    <t>Код инструмента</t>
  </si>
  <si>
    <t>Номин.Стоимость</t>
  </si>
  <si>
    <t>Учетная цена</t>
  </si>
  <si>
    <t>РынСтоимость*</t>
  </si>
  <si>
    <t>CF</t>
  </si>
  <si>
    <t>Рассчитанная форвардная котировка</t>
  </si>
  <si>
    <t>Дней до оферты/погашения</t>
  </si>
  <si>
    <t>Дата оферты/погашения</t>
  </si>
  <si>
    <t>Дюрация (лет)</t>
  </si>
  <si>
    <t>ДатаПоставки</t>
  </si>
  <si>
    <t xml:space="preserve">Б_DCM </t>
  </si>
  <si>
    <t xml:space="preserve">ЛидерИнП03 </t>
  </si>
  <si>
    <t>Cash</t>
  </si>
  <si>
    <t>Not Priced</t>
  </si>
  <si>
    <t xml:space="preserve">Б_ИнвКЦБ_HTM </t>
  </si>
  <si>
    <t xml:space="preserve">ABHFIN 2.7 03/11/23 </t>
  </si>
  <si>
    <t xml:space="preserve">ABHFIN 2.875 11/09/22 </t>
  </si>
  <si>
    <t xml:space="preserve">ALFARU 5.95 04/15/30 (new) </t>
  </si>
  <si>
    <t xml:space="preserve">ALFARU 9.35 08/06/22 </t>
  </si>
  <si>
    <t xml:space="preserve">BELRUS 5.875 02/24/26 </t>
  </si>
  <si>
    <t xml:space="preserve">BELRUS 6.875 02/28/23 </t>
  </si>
  <si>
    <t xml:space="preserve">CHEPRU 4.5 09/19/24 </t>
  </si>
  <si>
    <t xml:space="preserve">CHMFRU 5.9 10/17/22  </t>
  </si>
  <si>
    <t xml:space="preserve">CRBKMO 4.7 01/29/25 </t>
  </si>
  <si>
    <t xml:space="preserve">CRBKMO 5.15 02/20/24 </t>
  </si>
  <si>
    <t xml:space="preserve">EVRAZ 5.375 03/20/23 </t>
  </si>
  <si>
    <t xml:space="preserve">GAZPRU 3.25 02/25/30 </t>
  </si>
  <si>
    <t xml:space="preserve">GAZPRU 4.5985 PERP </t>
  </si>
  <si>
    <t xml:space="preserve">GMKNRM 3.849 04/08/22 </t>
  </si>
  <si>
    <t xml:space="preserve">GTLKOA 4.949 02/18/26 </t>
  </si>
  <si>
    <t xml:space="preserve">HCDNDA 5.075 02/15/23 </t>
  </si>
  <si>
    <t xml:space="preserve">HYDRRM 8.125 09/28/22 </t>
  </si>
  <si>
    <t xml:space="preserve">MAILLI 1.625 10/01/25 </t>
  </si>
  <si>
    <t xml:space="preserve">ROSNRM 4.199 03/06/22 </t>
  </si>
  <si>
    <t xml:space="preserve">RUALRU 4.85 02/01/23 </t>
  </si>
  <si>
    <t xml:space="preserve">SBERRU 6.125 02/07/22 </t>
  </si>
  <si>
    <t xml:space="preserve">SCFRU 5.375 06/16/23 </t>
  </si>
  <si>
    <t xml:space="preserve">SIBNEF 4.375 09/19/22 </t>
  </si>
  <si>
    <t xml:space="preserve">VEBBNK 6.025 07/05/22 </t>
  </si>
  <si>
    <t xml:space="preserve">VIP 7.25 04/26/23  </t>
  </si>
  <si>
    <t xml:space="preserve">VIP 8.125 09/16/26 REGS </t>
  </si>
  <si>
    <t xml:space="preserve">Брусника-001Р-02 </t>
  </si>
  <si>
    <t xml:space="preserve">ГТЛК 1P-08 </t>
  </si>
  <si>
    <t xml:space="preserve">ГТЛК 1Р-07 </t>
  </si>
  <si>
    <t xml:space="preserve">ГТЛК 1Р-09 </t>
  </si>
  <si>
    <t xml:space="preserve">ГТЛК БО-04 </t>
  </si>
  <si>
    <t xml:space="preserve">ГТЛК БО-07 </t>
  </si>
  <si>
    <t xml:space="preserve">ИА АкБарс 2 кл.А </t>
  </si>
  <si>
    <t>RU000A0JW316</t>
  </si>
  <si>
    <t xml:space="preserve">ИА ТФБ1 А </t>
  </si>
  <si>
    <t xml:space="preserve">МБЭС 1P-01 </t>
  </si>
  <si>
    <t xml:space="preserve">МежИнБ01Р4 </t>
  </si>
  <si>
    <t xml:space="preserve">МЕТАЛИНВ 2 </t>
  </si>
  <si>
    <t xml:space="preserve">МЕТАЛИНВ 3 </t>
  </si>
  <si>
    <t xml:space="preserve">МСП Банк-1-об </t>
  </si>
  <si>
    <t xml:space="preserve">МСП Банк-2-об </t>
  </si>
  <si>
    <t xml:space="preserve">РЖД-41 обл </t>
  </si>
  <si>
    <t xml:space="preserve">РОСНАНО 6 </t>
  </si>
  <si>
    <t xml:space="preserve">РОСНАНО 8 </t>
  </si>
  <si>
    <t xml:space="preserve">РОСНАНО2Р4 </t>
  </si>
  <si>
    <t xml:space="preserve">РСХБ 08Т1 </t>
  </si>
  <si>
    <t xml:space="preserve">РСХБ 20 </t>
  </si>
  <si>
    <t xml:space="preserve">РСХБ-С01Е-01 </t>
  </si>
  <si>
    <t xml:space="preserve">РУСАБрБ2Р1 </t>
  </si>
  <si>
    <t xml:space="preserve">Сегежа1P1R </t>
  </si>
  <si>
    <t xml:space="preserve">СИНХФБО1Р1 </t>
  </si>
  <si>
    <t xml:space="preserve">СистемБ1P1 </t>
  </si>
  <si>
    <t xml:space="preserve">СистемБ1Р4 </t>
  </si>
  <si>
    <t xml:space="preserve">СовкЛиз1P1 </t>
  </si>
  <si>
    <t xml:space="preserve">ТМК-7-боб </t>
  </si>
  <si>
    <t xml:space="preserve">Б_КапитЦБАСВ </t>
  </si>
  <si>
    <t xml:space="preserve">ОФЗ 29006 </t>
  </si>
  <si>
    <t>RU000A0JV4L2</t>
  </si>
  <si>
    <t xml:space="preserve">ОФЗ 29007 </t>
  </si>
  <si>
    <t xml:space="preserve">ОФЗ 29008 </t>
  </si>
  <si>
    <t>RU000A0JV4P3</t>
  </si>
  <si>
    <t xml:space="preserve">ОФЗ 29009 </t>
  </si>
  <si>
    <t>RU000A0JV4N8</t>
  </si>
  <si>
    <t xml:space="preserve">ОФЗ 29010 </t>
  </si>
  <si>
    <t>RU000A0JV4Q1</t>
  </si>
  <si>
    <t xml:space="preserve">Б_СтратЦБ_HTM </t>
  </si>
  <si>
    <t xml:space="preserve">RURAIL 7.45 09/18/28  </t>
  </si>
  <si>
    <t>Forward</t>
  </si>
  <si>
    <t xml:space="preserve">ДОМ.РФ ИА-11-об </t>
  </si>
  <si>
    <t xml:space="preserve">ДОМРФИА 2P </t>
  </si>
  <si>
    <t xml:space="preserve">ИА ДОМ 6Р2 </t>
  </si>
  <si>
    <t xml:space="preserve">ИА ДОМ 9Р2 </t>
  </si>
  <si>
    <t xml:space="preserve">ИА ДОМ10Р2 </t>
  </si>
  <si>
    <t xml:space="preserve">ИАДОМ Б1P4 </t>
  </si>
  <si>
    <t xml:space="preserve">МГор74-об </t>
  </si>
  <si>
    <t xml:space="preserve">МТС-Банк-001P-01 </t>
  </si>
  <si>
    <t xml:space="preserve">Б_ТоргГЦБ </t>
  </si>
  <si>
    <t xml:space="preserve">RUSSIA 1.85 11/20/32 </t>
  </si>
  <si>
    <t xml:space="preserve">ОФЗ 26232 </t>
  </si>
  <si>
    <t xml:space="preserve">ОФЗ 52002 </t>
  </si>
  <si>
    <t xml:space="preserve">Б_ТоргГЦБ_HTM </t>
  </si>
  <si>
    <t xml:space="preserve">Б_ТоргКЦБ </t>
  </si>
  <si>
    <t xml:space="preserve">CRBKMO 3,875 09/21/26 </t>
  </si>
  <si>
    <t xml:space="preserve">GAZPRU 2.95 01/27/29 </t>
  </si>
  <si>
    <t xml:space="preserve">GMKNRM 2.55 09/11/25 </t>
  </si>
  <si>
    <t xml:space="preserve">iХэдХ1P01R </t>
  </si>
  <si>
    <t xml:space="preserve">LUKOIL 3.875 05/06/30 </t>
  </si>
  <si>
    <t xml:space="preserve">VIP 3.375 11/25/27 </t>
  </si>
  <si>
    <t xml:space="preserve">VTB 9.5 PERP </t>
  </si>
  <si>
    <t xml:space="preserve">Башнефть07 </t>
  </si>
  <si>
    <t xml:space="preserve">Башнефть09 </t>
  </si>
  <si>
    <t xml:space="preserve">ИнфрОблP1 </t>
  </si>
  <si>
    <t xml:space="preserve">МежИнБ01P5 </t>
  </si>
  <si>
    <t xml:space="preserve">ОткрХол 5 </t>
  </si>
  <si>
    <t xml:space="preserve">РосбанкБ11 </t>
  </si>
  <si>
    <t xml:space="preserve">Систем1P15 </t>
  </si>
  <si>
    <t xml:space="preserve">Тинькофф3R </t>
  </si>
  <si>
    <t xml:space="preserve">ХКФБанк-7-боб </t>
  </si>
  <si>
    <t xml:space="preserve">Б_ЭмисГрп </t>
  </si>
  <si>
    <t xml:space="preserve">AKBARS 8 07/13/22 </t>
  </si>
  <si>
    <t>XS0805131439</t>
  </si>
  <si>
    <t>Номин стоимость в валюте выпуска</t>
  </si>
  <si>
    <t>БЕЗ дубликатов</t>
  </si>
  <si>
    <t>Выпуск</t>
  </si>
  <si>
    <t>СПРАВОЧНИК</t>
  </si>
  <si>
    <t>RU000A102CK5</t>
  </si>
  <si>
    <t>XS0088543193</t>
  </si>
  <si>
    <t>RU000A1034K8</t>
  </si>
  <si>
    <t>RU000A0ZZVE6</t>
  </si>
  <si>
    <t>RU000A100QS2</t>
  </si>
  <si>
    <t>RU000A101CK7</t>
  </si>
  <si>
    <t>RU000A0ZYCK6</t>
  </si>
  <si>
    <t>RU000A101FA1</t>
  </si>
  <si>
    <t>RU000A103BQ2</t>
  </si>
  <si>
    <t>RU000A0JS3W6</t>
  </si>
  <si>
    <t>RU000A0JSMA2</t>
  </si>
  <si>
    <t>RU000A0JTJL3</t>
  </si>
  <si>
    <t>RU000A0JTK38</t>
  </si>
  <si>
    <t>RU000A0JU4L3</t>
  </si>
  <si>
    <t>RU000A0JVW48</t>
  </si>
  <si>
    <t>RU000A0JWM07</t>
  </si>
  <si>
    <t>RU000A0JXB41</t>
  </si>
  <si>
    <t>RU000A0JXFM1</t>
  </si>
  <si>
    <t>RU000A0JXQF2</t>
  </si>
  <si>
    <t>RU000A0ZYU88</t>
  </si>
  <si>
    <t>RU000A0ZYUA9</t>
  </si>
  <si>
    <t>RU000A0ZYUB7</t>
  </si>
  <si>
    <t>RU000A0ZZYW2</t>
  </si>
  <si>
    <t>RU000A1007F4</t>
  </si>
  <si>
    <t>RU000A100A82</t>
  </si>
  <si>
    <t>RU000A100EG3</t>
  </si>
  <si>
    <t>RU000A100EF5</t>
  </si>
  <si>
    <t>RU000A100MY9</t>
  </si>
  <si>
    <t>RU000A101F94</t>
  </si>
  <si>
    <t>RU000A101QE0</t>
  </si>
  <si>
    <t>RU000A1028E3</t>
  </si>
  <si>
    <t>RU000A102BT8</t>
  </si>
  <si>
    <t>RU000A1038Z7</t>
  </si>
  <si>
    <t>RU000A1038V6</t>
  </si>
  <si>
    <t>RU000A103901</t>
  </si>
  <si>
    <t>RU000A103BR0</t>
  </si>
  <si>
    <t>RU000A0JX0H6</t>
  </si>
  <si>
    <t>RU000A101KT1</t>
  </si>
  <si>
    <t>RU000A101N52</t>
  </si>
  <si>
    <t>RU000A1025A7</t>
  </si>
  <si>
    <t>RU000A1025B5</t>
  </si>
  <si>
    <t>RU000A1028D5</t>
  </si>
  <si>
    <t>RU000A102A31</t>
  </si>
  <si>
    <t>RU000A102A49</t>
  </si>
  <si>
    <t>RU000A102BV4</t>
  </si>
  <si>
    <t>RU000A0JXTS9</t>
  </si>
  <si>
    <t>RU000A0ZYYN4</t>
  </si>
  <si>
    <t>XS0767472458</t>
  </si>
  <si>
    <t>RU000A0JWHA4</t>
  </si>
  <si>
    <t>XS0971721450</t>
  </si>
  <si>
    <t>RU0002867854</t>
  </si>
  <si>
    <t>RU0002868001</t>
  </si>
  <si>
    <t>RU000A0D0G29</t>
  </si>
  <si>
    <t>RU000A0GN9A7</t>
  </si>
  <si>
    <t>RU000A0JPLH5</t>
  </si>
  <si>
    <t>RU000A0JRTL6</t>
  </si>
  <si>
    <t>RU000A1006S9</t>
  </si>
  <si>
    <t>RU000A0JXU14</t>
  </si>
  <si>
    <t>XS0767473852</t>
  </si>
  <si>
    <t>XS0971721963</t>
  </si>
  <si>
    <t>RU000A0JVMH1</t>
  </si>
  <si>
    <t>RU000A102069</t>
  </si>
  <si>
    <t>RU000A103MX5</t>
  </si>
  <si>
    <t>RU000A100SG3</t>
  </si>
  <si>
    <t>RU000A1019F9</t>
  </si>
  <si>
    <t>RU000A101WW0</t>
  </si>
  <si>
    <t>RU000A102P00</t>
  </si>
  <si>
    <t>RU000A103GG2</t>
  </si>
  <si>
    <t>XS0114288789</t>
  </si>
  <si>
    <t>RU000A102KU7</t>
  </si>
  <si>
    <t>RU000A0JV4X7</t>
  </si>
  <si>
    <t>RU000A0JV4Y5</t>
  </si>
  <si>
    <t>RU000A100AJ5</t>
  </si>
  <si>
    <t>RU000A0ZYM21</t>
  </si>
  <si>
    <t>RU000A100J18</t>
  </si>
  <si>
    <t>Вложения (руб) на 01.11.2021</t>
  </si>
  <si>
    <t>Позиционный отчет по RUR; 01.11.2021</t>
  </si>
  <si>
    <t>01.11.2021</t>
  </si>
  <si>
    <t>РынСтоимость</t>
  </si>
  <si>
    <t>Номинал</t>
  </si>
  <si>
    <t xml:space="preserve">LUKOIL 3.6 10/26/31 </t>
  </si>
  <si>
    <t xml:space="preserve">LUKOIL 2.8 04/26/27 </t>
  </si>
  <si>
    <t xml:space="preserve">ГТЛК-7-2029-евро </t>
  </si>
  <si>
    <t>ИА Дом РФ</t>
  </si>
  <si>
    <t>на 01.11.2021</t>
  </si>
  <si>
    <t>корпоративные еврооблигации</t>
  </si>
  <si>
    <t>госеврооблигации</t>
  </si>
  <si>
    <t>корпоративные рублевые облигации</t>
  </si>
  <si>
    <t>АБФ-БО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</si>
  <si>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</si>
  <si>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</si>
  <si>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</si>
  <si>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</si>
  <si>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</si>
  <si>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</si>
  <si>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</si>
  <si>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Альфа-Банк-2030-еврооб</t>
  </si>
  <si>
    <t>Газпром-2030-еврооб</t>
  </si>
  <si>
    <t>Альфа-Банк-2022-еврооб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</si>
  <si>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</si>
  <si>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</si>
  <si>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</si>
  <si>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</si>
  <si>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</si>
  <si>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</si>
  <si>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РусГидро-2022-еврооб</t>
  </si>
  <si>
    <t>Сбербанк-2022-еврооб</t>
  </si>
  <si>
    <t>Россия-2032-еврооб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</si>
  <si>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</si>
  <si>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</si>
  <si>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</si>
  <si>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</si>
  <si>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</si>
  <si>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Беларусь-2026-еврооб</t>
  </si>
  <si>
    <t>Mail.ru-2025-еврооб</t>
  </si>
  <si>
    <t>VEON Holdings-2026-еврооб</t>
  </si>
  <si>
    <t>Лукойл-2031-еврооб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</si>
  <si>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</si>
  <si>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</si>
  <si>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</si>
  <si>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</si>
  <si>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</si>
  <si>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</si>
  <si>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</si>
  <si>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</si>
  <si>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</si>
  <si>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</si>
  <si>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</si>
  <si>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</si>
  <si>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</si>
  <si>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</si>
  <si>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Россельхозбанк-С01Е-01</t>
  </si>
  <si>
    <t>Сегежа-001P-01R-боб</t>
  </si>
  <si>
    <t>РЖД-41-об</t>
  </si>
  <si>
    <t>Роснано-2р4-боб</t>
  </si>
  <si>
    <t>МИБ-01Р4-боб</t>
  </si>
  <si>
    <t>Русал Братск-002Р-01-боб</t>
  </si>
  <si>
    <t>Совкомбанк Лизинг-п01-боб</t>
  </si>
  <si>
    <t>Металлоинвест-2-об</t>
  </si>
  <si>
    <t>Металлоинвест-3-об</t>
  </si>
  <si>
    <t>Брусника-1P02-об</t>
  </si>
  <si>
    <t>МСП-01-об</t>
  </si>
  <si>
    <t>МСП-02-об</t>
  </si>
  <si>
    <t>ТМК-БО-7</t>
  </si>
  <si>
    <t>ОФЗ-29007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</si>
  <si>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</si>
  <si>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</si>
  <si>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</si>
  <si>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</si>
  <si>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</si>
  <si>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РОСНАНО</t>
  </si>
  <si>
    <t>Московский Кредитный Банк</t>
  </si>
  <si>
    <t>Ипотечный агент ДОМ.РФ</t>
  </si>
  <si>
    <t>МТС-Банк</t>
  </si>
  <si>
    <t>Москва</t>
  </si>
  <si>
    <t>РЖД-2028</t>
  </si>
  <si>
    <t>ИА ДОМ.РФ-02р-об</t>
  </si>
  <si>
    <t>ИА ДОМ.РФ-06р-об</t>
  </si>
  <si>
    <t>ИА ДОМ.РФ-009р-об</t>
  </si>
  <si>
    <t>ИА ДОМ.РФ-010P-боб</t>
  </si>
  <si>
    <t>МТС-Банк-01-об</t>
  </si>
  <si>
    <t>ИА ДОМ.РФ-8P2-об</t>
  </si>
  <si>
    <t>ИА ДОМ.РФ-Б1P4-об</t>
  </si>
  <si>
    <t>Москва-74-об</t>
  </si>
  <si>
    <t>облигации субъектов РФ</t>
  </si>
  <si>
    <t>акции обыкновенные</t>
  </si>
  <si>
    <t>акции привилегированные</t>
  </si>
  <si>
    <t>Норникель-2025-еврооб</t>
  </si>
  <si>
    <t>Газпром-2029-еврооб</t>
  </si>
  <si>
    <t>ВТБ-2012-еврооб</t>
  </si>
  <si>
    <t>VEON Holdings-2027-еврооб</t>
  </si>
  <si>
    <t>МКБ-2026-еврооб</t>
  </si>
  <si>
    <t>Лукойл-2027-еврооб</t>
  </si>
  <si>
    <t>ГТЛК-2029-еврооб</t>
  </si>
  <si>
    <t>Открытие Холдинг-5-об</t>
  </si>
  <si>
    <t>Тинькофф-001P-03R-боб</t>
  </si>
  <si>
    <t>Росбанк-11-боб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</si>
  <si>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</si>
  <si>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</si>
  <si>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</si>
  <si>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</si>
  <si>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</si>
  <si>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</si>
  <si>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Лидер-Инвест-БO-ПO3</t>
  </si>
  <si>
    <t>СОПФ Инфраструктурные облигации-01</t>
  </si>
  <si>
    <t>ОФЗ-52002</t>
  </si>
  <si>
    <t>ОФЗ-26232</t>
  </si>
  <si>
    <t>SNGS</t>
  </si>
  <si>
    <t>YNDX</t>
  </si>
  <si>
    <t>GMKN</t>
  </si>
  <si>
    <t>LKOH</t>
  </si>
  <si>
    <t>GAZP</t>
  </si>
  <si>
    <t>LKOH   2.800 04/26/27 '27</t>
  </si>
  <si>
    <t>LKOH   3.600 10/26/31 '31</t>
  </si>
  <si>
    <t>GTEPT  4.349 02/27/29</t>
  </si>
  <si>
    <t>GTLK   7.400 01/18/33 FRN PUT</t>
  </si>
  <si>
    <t>The record could not be found</t>
  </si>
  <si>
    <t>Access Denied: User req to PE(4612)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</si>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</sst>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  <numFmt numFmtId="178" formatCode="#,##0.0000"/>
    <numFmt numFmtId="179" formatCode="dd\.mm\.yyyy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rgb="FF23395D"/>
      <name val="Calibri"/>
      <family val="2"/>
      <charset val="204"/>
    </font>
    <font>
      <b/>
      <sz val="11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0F7FB"/>
      </patternFill>
    </fill>
    <fill>
      <patternFill patternType="solid">
        <fgColor rgb="FFE0E0E0"/>
      </patternFill>
    </fill>
    <fill>
      <patternFill patternType="solid">
        <fgColor rgb="FFB3CFEB"/>
      </patternFill>
    </fill>
    <fill>
      <patternFill patternType="solid">
        <fgColor rgb="FFC9DDF1"/>
      </patternFill>
    </fill>
    <fill>
      <patternFill patternType="solid">
        <fgColor rgb="FFA7D9C9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  <xf numFmtId="0" fontId="47" fillId="0" borderId="0"/>
  </cellStyleXfs>
  <cellXfs count="291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8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1" fillId="2" borderId="1" xfId="0" applyNumberFormat="1" applyFont="1" applyFill="1" applyBorder="1"/>
    <xf numFmtId="0" fontId="16" fillId="2" borderId="1" xfId="10" applyFont="1" applyFill="1" applyBorder="1" applyAlignment="1">
      <alignment vertical="center"/>
    </xf>
    <xf numFmtId="3" fontId="16" fillId="2" borderId="1" xfId="10" applyNumberFormat="1" applyFont="1" applyFill="1" applyBorder="1" applyAlignment="1">
      <alignment vertical="center"/>
    </xf>
    <xf numFmtId="10" fontId="16" fillId="2" borderId="1" xfId="10" applyNumberFormat="1" applyFont="1" applyFill="1" applyBorder="1" applyAlignment="1">
      <alignment vertical="center"/>
    </xf>
    <xf numFmtId="9" fontId="0" fillId="0" borderId="1" xfId="0" applyNumberFormat="1" applyBorder="1"/>
    <xf numFmtId="3" fontId="38" fillId="0" borderId="0" xfId="10" applyNumberFormat="1" applyFont="1" applyAlignment="1">
      <alignment horizontal="center" vertical="center"/>
    </xf>
    <xf numFmtId="3" fontId="16" fillId="0" borderId="0" xfId="10" applyNumberFormat="1" applyFont="1" applyAlignment="1">
      <alignment vertical="center"/>
    </xf>
    <xf numFmtId="4" fontId="0" fillId="0" borderId="0" xfId="0" applyNumberFormat="1"/>
    <xf numFmtId="0" fontId="48" fillId="13" borderId="0" xfId="22" applyFont="1" applyFill="1" applyAlignment="1">
      <alignment horizontal="left"/>
    </xf>
    <xf numFmtId="0" fontId="47" fillId="0" borderId="0" xfId="22"/>
    <xf numFmtId="0" fontId="49" fillId="14" borderId="0" xfId="22" applyFont="1" applyFill="1" applyAlignment="1">
      <alignment horizontal="center"/>
    </xf>
    <xf numFmtId="0" fontId="49" fillId="3" borderId="0" xfId="22" applyFont="1" applyFill="1" applyAlignment="1">
      <alignment horizontal="center"/>
    </xf>
    <xf numFmtId="0" fontId="50" fillId="15" borderId="0" xfId="22" applyFont="1" applyFill="1" applyAlignment="1">
      <alignment horizontal="left"/>
    </xf>
    <xf numFmtId="3" fontId="50" fillId="15" borderId="0" xfId="22" applyNumberFormat="1" applyFont="1" applyFill="1" applyAlignment="1">
      <alignment horizontal="right"/>
    </xf>
    <xf numFmtId="178" fontId="50" fillId="15" borderId="0" xfId="22" applyNumberFormat="1" applyFont="1" applyFill="1" applyAlignment="1">
      <alignment horizontal="right"/>
    </xf>
    <xf numFmtId="4" fontId="50" fillId="15" borderId="0" xfId="22" applyNumberFormat="1" applyFont="1" applyFill="1" applyAlignment="1">
      <alignment horizontal="right"/>
    </xf>
    <xf numFmtId="179" fontId="50" fillId="15" borderId="0" xfId="22" applyNumberFormat="1" applyFont="1" applyFill="1" applyAlignment="1">
      <alignment horizontal="center"/>
    </xf>
    <xf numFmtId="0" fontId="50" fillId="16" borderId="0" xfId="22" applyFont="1" applyFill="1" applyAlignment="1">
      <alignment horizontal="left"/>
    </xf>
    <xf numFmtId="3" fontId="50" fillId="16" borderId="0" xfId="22" applyNumberFormat="1" applyFont="1" applyFill="1" applyAlignment="1">
      <alignment horizontal="right"/>
    </xf>
    <xf numFmtId="178" fontId="50" fillId="16" borderId="0" xfId="22" applyNumberFormat="1" applyFont="1" applyFill="1" applyAlignment="1">
      <alignment horizontal="right"/>
    </xf>
    <xf numFmtId="4" fontId="50" fillId="16" borderId="0" xfId="22" applyNumberFormat="1" applyFont="1" applyFill="1" applyAlignment="1">
      <alignment horizontal="right"/>
    </xf>
    <xf numFmtId="179" fontId="50" fillId="16" borderId="0" xfId="22" applyNumberFormat="1" applyFont="1" applyFill="1" applyAlignment="1">
      <alignment horizontal="center"/>
    </xf>
    <xf numFmtId="0" fontId="50" fillId="0" borderId="0" xfId="22" applyFont="1" applyAlignment="1">
      <alignment horizontal="left"/>
    </xf>
    <xf numFmtId="3" fontId="50" fillId="0" borderId="0" xfId="22" applyNumberFormat="1" applyFont="1" applyAlignment="1">
      <alignment horizontal="right"/>
    </xf>
    <xf numFmtId="178" fontId="50" fillId="0" borderId="0" xfId="22" applyNumberFormat="1" applyFont="1" applyAlignment="1">
      <alignment horizontal="right"/>
    </xf>
    <xf numFmtId="4" fontId="50" fillId="0" borderId="0" xfId="22" applyNumberFormat="1" applyFont="1" applyAlignment="1">
      <alignment horizontal="right"/>
    </xf>
    <xf numFmtId="179" fontId="50" fillId="0" borderId="0" xfId="22" applyNumberFormat="1" applyFont="1" applyAlignment="1">
      <alignment horizontal="center"/>
    </xf>
    <xf numFmtId="0" fontId="50" fillId="17" borderId="0" xfId="22" applyFont="1" applyFill="1" applyAlignment="1">
      <alignment horizontal="left"/>
    </xf>
    <xf numFmtId="3" fontId="50" fillId="17" borderId="0" xfId="22" applyNumberFormat="1" applyFont="1" applyFill="1" applyAlignment="1">
      <alignment horizontal="right"/>
    </xf>
    <xf numFmtId="178" fontId="50" fillId="17" borderId="0" xfId="22" applyNumberFormat="1" applyFont="1" applyFill="1" applyAlignment="1">
      <alignment horizontal="right"/>
    </xf>
    <xf numFmtId="4" fontId="50" fillId="17" borderId="0" xfId="22" applyNumberFormat="1" applyFont="1" applyFill="1" applyAlignment="1">
      <alignment horizontal="right"/>
    </xf>
    <xf numFmtId="179" fontId="50" fillId="17" borderId="0" xfId="22" applyNumberFormat="1" applyFont="1" applyFill="1" applyAlignment="1">
      <alignment horizontal="center"/>
    </xf>
    <xf numFmtId="9" fontId="0" fillId="0" borderId="0" xfId="0" applyNumberFormat="1"/>
    <xf numFmtId="0" fontId="0" fillId="18" borderId="0" xfId="0" applyFill="1"/>
    <xf numFmtId="3" fontId="0" fillId="18" borderId="0" xfId="0" applyNumberFormat="1" applyFill="1"/>
    <xf numFmtId="3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3" fontId="0" fillId="5" borderId="1" xfId="0" applyNumberFormat="1" applyFill="1" applyBorder="1" applyAlignment="1">
      <alignment horizontal="center" vertical="center" wrapText="1"/>
    </xf>
    <xf numFmtId="9" fontId="0" fillId="2" borderId="0" xfId="0" applyNumberFormat="1" applyFill="1"/>
    <xf numFmtId="0" fontId="0" fillId="0" borderId="8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5" borderId="0" xfId="0" applyFont="1" applyFill="1" applyAlignment="1">
      <alignment horizontal="center" vertical="center" wrapText="1"/>
    </xf>
    <xf numFmtId="0" fontId="39" fillId="9" borderId="5" xfId="0" applyFont="1" applyFill="1" applyBorder="1" applyAlignment="1">
      <alignment horizontal="center"/>
    </xf>
    <xf numFmtId="0" fontId="39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39" fillId="0" borderId="3" xfId="0" applyFont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</cellXfs>
  <cellStyles count="23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Обычный 8" xfId="22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2"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9" Type="http://schemas.openxmlformats.org/officeDocument/2006/relationships/theme" Target="theme/theme1.xml"/><Relationship Id="rId21" Type="http://schemas.openxmlformats.org/officeDocument/2006/relationships/externalLink" Target="externalLinks/externalLink9.xml"/><Relationship Id="rId34" Type="http://schemas.openxmlformats.org/officeDocument/2006/relationships/externalLink" Target="externalLinks/externalLink22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externalLink" Target="externalLinks/externalLink17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externalLink" Target="externalLinks/externalLink20.xml"/><Relationship Id="rId37" Type="http://schemas.openxmlformats.org/officeDocument/2006/relationships/externalLink" Target="externalLinks/externalLink25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36" Type="http://schemas.openxmlformats.org/officeDocument/2006/relationships/externalLink" Target="externalLinks/externalLink24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externalLink" Target="externalLinks/externalLink18.xml"/><Relationship Id="rId35" Type="http://schemas.openxmlformats.org/officeDocument/2006/relationships/externalLink" Target="externalLinks/externalLink23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externalLink" Target="externalLinks/externalLink21.xml"/><Relationship Id="rId38" Type="http://schemas.openxmlformats.org/officeDocument/2006/relationships/externalLink" Target="externalLinks/externalLink2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9/1/2021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2226.5899497846872</c:v>
                </c:pt>
                <c:pt idx="1">
                  <c:v>938.87583969508898</c:v>
                </c:pt>
                <c:pt idx="2">
                  <c:v>2130</c:v>
                </c:pt>
                <c:pt idx="3">
                  <c:v>758.71682959291832</c:v>
                </c:pt>
                <c:pt idx="4">
                  <c:v>6054.1826190726952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10/1/2021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2200.7141144815764</c:v>
                </c:pt>
                <c:pt idx="1">
                  <c:v>1322</c:v>
                </c:pt>
                <c:pt idx="2">
                  <c:v>2764</c:v>
                </c:pt>
                <c:pt idx="3">
                  <c:v>745.35344293885521</c:v>
                </c:pt>
                <c:pt idx="4">
                  <c:v>7032.0675574204315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11/1/2021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1753.5882423616265</c:v>
                </c:pt>
                <c:pt idx="1">
                  <c:v>1684</c:v>
                </c:pt>
                <c:pt idx="2">
                  <c:v>2477</c:v>
                </c:pt>
                <c:pt idx="3">
                  <c:v>733.21656088703617</c:v>
                </c:pt>
                <c:pt idx="4">
                  <c:v>6647.8048032486631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062306064"/>
        <c:axId val="-1062306608"/>
      </c:barChart>
      <c:catAx>
        <c:axId val="-1062306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306608"/>
        <c:crosses val="autoZero"/>
        <c:auto val="1"/>
        <c:lblAlgn val="ctr"/>
        <c:lblOffset val="100"/>
        <c:noMultiLvlLbl val="0"/>
      </c:catAx>
      <c:valAx>
        <c:axId val="-10623066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-106230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9/1/2021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106.49371526008588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10/1/2021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104.780029947404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11/1/2021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100.2942536581798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062294640"/>
        <c:axId val="-1062303888"/>
      </c:barChart>
      <c:catAx>
        <c:axId val="-1062294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303888"/>
        <c:crosses val="autoZero"/>
        <c:auto val="1"/>
        <c:lblAlgn val="ctr"/>
        <c:lblOffset val="100"/>
        <c:noMultiLvlLbl val="0"/>
      </c:catAx>
      <c:valAx>
        <c:axId val="-1062303888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-106229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.11.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af-ZA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'1'!$B$78:$B$83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'1'!$C$78:$C$83</c:f>
              <c:numCache>
                <c:formatCode>#,##0</c:formatCode>
                <c:ptCount val="6"/>
                <c:pt idx="0">
                  <c:v>1684</c:v>
                </c:pt>
                <c:pt idx="1">
                  <c:v>629</c:v>
                </c:pt>
                <c:pt idx="2">
                  <c:v>1853.8824960198062</c:v>
                </c:pt>
                <c:pt idx="3">
                  <c:v>733.21656088703617</c:v>
                </c:pt>
                <c:pt idx="4">
                  <c:v>2477</c:v>
                </c:pt>
                <c:pt idx="5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Pt>
            <c:idx val="1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23-0913-47F7-9FF6-0F61F1608E48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7.5176632373494215E-2"/>
                  <c:y val="-0.1301494333265648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0.11066791213204001"/>
                  <c:y val="-6.90652609376592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4.1929590234533146E-2"/>
                  <c:y val="-0.11127809716084616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21909157004713448"/>
                  <c:y val="-3.3475786468405239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7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23-0913-47F7-9FF6-0F61F1608E48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политика'!$A$2:$A$19</c:f>
              <c:strCache>
                <c:ptCount val="18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Финансовые услуги (кроме лизинга)</c:v>
                </c:pt>
                <c:pt idx="17">
                  <c:v>Прочее</c:v>
                </c:pt>
              </c:strCache>
            </c:strRef>
          </c:cat>
          <c:val>
            <c:numRef>
              <c:f>'Инвест политика'!$C$2:$C$19</c:f>
              <c:numCache>
                <c:formatCode>0%</c:formatCode>
                <c:ptCount val="18"/>
                <c:pt idx="0" formatCode="0.0%">
                  <c:v>0.3549374044279473</c:v>
                </c:pt>
                <c:pt idx="1">
                  <c:v>1.5500505790445046E-2</c:v>
                </c:pt>
                <c:pt idx="2">
                  <c:v>1.4844682387393424E-2</c:v>
                </c:pt>
                <c:pt idx="3">
                  <c:v>0.26195214693614549</c:v>
                </c:pt>
                <c:pt idx="4">
                  <c:v>3.3347883141089357E-2</c:v>
                </c:pt>
                <c:pt idx="5">
                  <c:v>2.2883263403171192E-2</c:v>
                </c:pt>
                <c:pt idx="6">
                  <c:v>1.5215405647401613E-2</c:v>
                </c:pt>
                <c:pt idx="7">
                  <c:v>4.4392491211217376E-2</c:v>
                </c:pt>
                <c:pt idx="8">
                  <c:v>4.5544283473359155E-2</c:v>
                </c:pt>
                <c:pt idx="9">
                  <c:v>0</c:v>
                </c:pt>
                <c:pt idx="10">
                  <c:v>0.12232412187856918</c:v>
                </c:pt>
                <c:pt idx="11">
                  <c:v>1.6213789289264223E-2</c:v>
                </c:pt>
                <c:pt idx="12">
                  <c:v>4.1151887667014164E-2</c:v>
                </c:pt>
                <c:pt idx="13">
                  <c:v>8.9736855119632621E-3</c:v>
                </c:pt>
                <c:pt idx="14">
                  <c:v>6.2500677259277014E-4</c:v>
                </c:pt>
                <c:pt idx="15">
                  <c:v>0</c:v>
                </c:pt>
                <c:pt idx="16">
                  <c:v>1.4214262120141373E-3</c:v>
                </c:pt>
                <c:pt idx="17">
                  <c:v>6.7201625041260482E-4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политика'!$A$2:$A$19</c15:sqref>
                        </c15:formulaRef>
                      </c:ext>
                    </c:extLst>
                    <c:strCache>
                      <c:ptCount val="18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Финансовые услуги (кроме лизинга)</c:v>
                      </c:pt>
                      <c:pt idx="17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24619384181.5</c:v>
                      </c:pt>
                      <c:pt idx="1">
                        <c:v>1075155512.78</c:v>
                      </c:pt>
                      <c:pt idx="2">
                        <c:v>1029665890.91</c:v>
                      </c:pt>
                      <c:pt idx="3">
                        <c:v>18169684181.310001</c:v>
                      </c:pt>
                      <c:pt idx="4">
                        <c:v>2313096158.5</c:v>
                      </c:pt>
                      <c:pt idx="5">
                        <c:v>1587242837.8099999</c:v>
                      </c:pt>
                      <c:pt idx="6">
                        <c:v>1055380223.2099999</c:v>
                      </c:pt>
                      <c:pt idx="7">
                        <c:v>3079178982.7400002</c:v>
                      </c:pt>
                      <c:pt idx="8">
                        <c:v>3159070298.3500004</c:v>
                      </c:pt>
                      <c:pt idx="9">
                        <c:v>0</c:v>
                      </c:pt>
                      <c:pt idx="10">
                        <c:v>8484720160.8600006</c:v>
                      </c:pt>
                      <c:pt idx="11">
                        <c:v>1124630716.77</c:v>
                      </c:pt>
                      <c:pt idx="12">
                        <c:v>2854402268.1999998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7969072515783042E-2"/>
                  <c:y val="0.1473532850572545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184394164394609E-2"/>
                  <c:y val="-9.28449341495275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5086040331054652E-2"/>
                  <c:y val="-5.964276645682524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2211882811078578E-2"/>
                  <c:y val="6.156020708873739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7075202897688311E-3"/>
                  <c:y val="-9.486181908410187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3.4178486086377323E-2"/>
                  <c:y val="9.17687472624656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'1'!$D$57:$D$67</c15:sqref>
                  </c15:fullRef>
                </c:ext>
              </c:extLst>
              <c:f>('1'!$D$57,'1'!$D$59:$D$65)</c:f>
              <c:numCache>
                <c:formatCode>0%</c:formatCode>
                <c:ptCount val="8"/>
                <c:pt idx="0">
                  <c:v>2.1314626359824996E-2</c:v>
                </c:pt>
                <c:pt idx="1">
                  <c:v>0.20050527997358228</c:v>
                </c:pt>
                <c:pt idx="2">
                  <c:v>0.30722418680257957</c:v>
                </c:pt>
                <c:pt idx="3">
                  <c:v>0.20614616761050972</c:v>
                </c:pt>
                <c:pt idx="4">
                  <c:v>0.13015370874941454</c:v>
                </c:pt>
                <c:pt idx="5">
                  <c:v>1.4959932796314792E-2</c:v>
                </c:pt>
                <c:pt idx="6">
                  <c:v>0.10230914851339881</c:v>
                </c:pt>
                <c:pt idx="7">
                  <c:v>1.7386949194375358E-2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>
                <c15:categoryFilterException>
                  <c15:sqref>'1'!$D$66</c15:sqref>
                  <c15:spPr xmlns:c15="http://schemas.microsoft.com/office/drawing/2012/chart">
                    <a:solidFill>
                      <a:srgbClr val="D3E9E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  <c15:dLbl>
                    <c:idx val="7"/>
                    <c:layout>
                      <c:manualLayout>
                        <c:x val="0"/>
                        <c:y val="-9.8092632528842871E-2"/>
                      </c:manualLayout>
                    </c:layout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separator>
</c:separator>
                    <c:extLst xmlns:c16r2="http://schemas.microsoft.com/office/drawing/2015/06/chart">
                      <c:ext xmlns:c16="http://schemas.microsoft.com/office/drawing/2014/chart" uri="{C3380CC4-5D6E-409C-BE32-E72D297353CC}">
                        <c16:uniqueId val="{00000011-0417-4813-A758-E9B57DBF1D0A}"/>
                      </c:ex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8528163786.579999</c:v>
                </c:pt>
                <c:pt idx="1">
                  <c:v>57013270010.699997</c:v>
                </c:pt>
                <c:pt idx="2">
                  <c:v>603866250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062303344"/>
        <c:axId val="-1062304976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062302256"/>
        <c:axId val="-1062295728"/>
      </c:lineChart>
      <c:catAx>
        <c:axId val="-106230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304976"/>
        <c:crosses val="autoZero"/>
        <c:auto val="1"/>
        <c:lblAlgn val="ctr"/>
        <c:lblOffset val="100"/>
        <c:noMultiLvlLbl val="0"/>
      </c:catAx>
      <c:valAx>
        <c:axId val="-1062304976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303344"/>
        <c:crosses val="autoZero"/>
        <c:crossBetween val="between"/>
      </c:valAx>
      <c:valAx>
        <c:axId val="-106229572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302256"/>
        <c:crosses val="max"/>
        <c:crossBetween val="between"/>
      </c:valAx>
      <c:catAx>
        <c:axId val="-1062302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062295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1062299536"/>
        <c:axId val="-1062308784"/>
      </c:barChart>
      <c:catAx>
        <c:axId val="-106229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062308784"/>
        <c:crosses val="autoZero"/>
        <c:auto val="1"/>
        <c:lblAlgn val="ctr"/>
        <c:lblOffset val="100"/>
        <c:noMultiLvlLbl val="0"/>
      </c:catAx>
      <c:valAx>
        <c:axId val="-106230878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06229953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970945</xdr:colOff>
      <xdr:row>14</xdr:row>
      <xdr:rowOff>135465</xdr:rowOff>
    </xdr:from>
    <xdr:to>
      <xdr:col>5</xdr:col>
      <xdr:colOff>656166</xdr:colOff>
      <xdr:row>31</xdr:row>
      <xdr:rowOff>84666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83</xdr:row>
      <xdr:rowOff>158751</xdr:rowOff>
    </xdr:from>
    <xdr:to>
      <xdr:col>4</xdr:col>
      <xdr:colOff>21166</xdr:colOff>
      <xdr:row>101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93</xdr:row>
      <xdr:rowOff>9069</xdr:rowOff>
    </xdr:from>
    <xdr:to>
      <xdr:col>2</xdr:col>
      <xdr:colOff>687917</xdr:colOff>
      <xdr:row>95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ysClr val="windowText" lastClr="000000"/>
              </a:solidFill>
            </a:rPr>
            <a:t>7 387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102</xdr:row>
      <xdr:rowOff>23131</xdr:rowOff>
    </xdr:from>
    <xdr:to>
      <xdr:col>5</xdr:col>
      <xdr:colOff>624417</xdr:colOff>
      <xdr:row>122</xdr:row>
      <xdr:rowOff>21167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486831</xdr:colOff>
      <xdr:row>54</xdr:row>
      <xdr:rowOff>14816</xdr:rowOff>
    </xdr:from>
    <xdr:to>
      <xdr:col>9</xdr:col>
      <xdr:colOff>687915</xdr:colOff>
      <xdr:row>70</xdr:row>
      <xdr:rowOff>74083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1217082</xdr:colOff>
      <xdr:row>0</xdr:row>
      <xdr:rowOff>0</xdr:rowOff>
    </xdr:from>
    <xdr:to>
      <xdr:col>8</xdr:col>
      <xdr:colOff>31749</xdr:colOff>
      <xdr:row>14</xdr:row>
      <xdr:rowOff>105832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  <sheetName val="Список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126"/>
  <sheetViews>
    <sheetView topLeftCell="A65" zoomScale="90" zoomScaleNormal="90" workbookViewId="0">
      <selection activeCell="A80" sqref="A80:XFD80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62" t="s">
        <v>11</v>
      </c>
      <c r="C6" s="262"/>
      <c r="D6" s="262"/>
      <c r="E6" s="262"/>
    </row>
    <row r="8" spans="2:19" x14ac:dyDescent="0.25">
      <c r="B8" s="37" t="s">
        <v>41</v>
      </c>
      <c r="G8" s="265" t="s">
        <v>18</v>
      </c>
      <c r="H8" s="265"/>
    </row>
    <row r="9" spans="2:19" x14ac:dyDescent="0.25">
      <c r="B9" s="5" t="s">
        <v>12</v>
      </c>
      <c r="C9" s="7">
        <v>44440</v>
      </c>
      <c r="D9" s="7">
        <v>44470</v>
      </c>
      <c r="E9" s="220">
        <v>44501</v>
      </c>
      <c r="F9" s="1"/>
      <c r="G9" s="18">
        <f>E9</f>
        <v>44501</v>
      </c>
      <c r="H9" s="23" t="s">
        <v>17</v>
      </c>
      <c r="J9" s="18">
        <v>44470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2226.5899497846872</v>
      </c>
      <c r="D10" s="13">
        <v>2200.7141144815764</v>
      </c>
      <c r="E10" s="25">
        <f ca="1">'портефль до погашения'!J3/1000000</f>
        <v>1753.5882423616265</v>
      </c>
      <c r="G10" s="25">
        <f ca="1">'портефль до погашения'!F3/1000000</f>
        <v>58897.840563089994</v>
      </c>
      <c r="H10" s="24">
        <f ca="1">E10/G10</f>
        <v>2.9773387709914827E-2</v>
      </c>
      <c r="J10" s="217">
        <v>58954.236372199979</v>
      </c>
      <c r="K10" s="24">
        <v>3.7329193793430741E-2</v>
      </c>
      <c r="L10" s="2">
        <f ca="1">G10-J10</f>
        <v>-56.395809109984839</v>
      </c>
      <c r="Q10" s="2"/>
    </row>
    <row r="11" spans="2:19" x14ac:dyDescent="0.25">
      <c r="B11" s="5" t="s">
        <v>4</v>
      </c>
      <c r="C11" s="13">
        <v>938.87583969508898</v>
      </c>
      <c r="D11" s="13">
        <v>1322</v>
      </c>
      <c r="E11" s="8">
        <v>1684</v>
      </c>
      <c r="G11" s="217">
        <v>44238</v>
      </c>
      <c r="H11" s="24">
        <f>E11/G11</f>
        <v>3.8066820380668207E-2</v>
      </c>
      <c r="J11" s="217">
        <v>36438</v>
      </c>
      <c r="K11" s="24">
        <v>3.6280805752236675E-2</v>
      </c>
      <c r="L11" s="2">
        <f>G11-J11</f>
        <v>7800</v>
      </c>
      <c r="Q11" s="2"/>
    </row>
    <row r="12" spans="2:19" x14ac:dyDescent="0.25">
      <c r="B12" s="5" t="s">
        <v>95</v>
      </c>
      <c r="C12" s="8">
        <v>2130</v>
      </c>
      <c r="D12" s="8">
        <v>2764</v>
      </c>
      <c r="E12" s="8">
        <v>2477</v>
      </c>
      <c r="G12" s="217">
        <v>38398</v>
      </c>
      <c r="H12" s="24">
        <f>E12/G12</f>
        <v>6.4508568154591384E-2</v>
      </c>
      <c r="J12" s="219">
        <v>46799</v>
      </c>
      <c r="K12" s="24">
        <v>5.9061091048954038E-2</v>
      </c>
      <c r="L12" s="2">
        <f>G12-J12</f>
        <v>-8401</v>
      </c>
      <c r="O12" s="2"/>
      <c r="Q12" s="2"/>
    </row>
    <row r="13" spans="2:19" x14ac:dyDescent="0.25">
      <c r="B13" s="5" t="s">
        <v>476</v>
      </c>
      <c r="C13" s="8">
        <v>758.71682959291832</v>
      </c>
      <c r="D13" s="8">
        <v>745.35344293885521</v>
      </c>
      <c r="E13" s="57">
        <f>'страт портфель'!I18/1000000</f>
        <v>733.21656088703617</v>
      </c>
      <c r="G13" s="57">
        <f>'страт портфель'!E18/1000000</f>
        <v>66145.300047280005</v>
      </c>
      <c r="H13" s="24">
        <f>E13/G13</f>
        <v>1.1084938164358469E-2</v>
      </c>
      <c r="J13" s="219">
        <v>67329.36617347</v>
      </c>
      <c r="K13" s="24">
        <v>1.1070257828040407E-2</v>
      </c>
      <c r="L13" s="2">
        <f>G13-J13</f>
        <v>-1184.066126189995</v>
      </c>
      <c r="O13" s="2"/>
      <c r="Q13" s="2"/>
    </row>
    <row r="14" spans="2:19" x14ac:dyDescent="0.25">
      <c r="B14" s="10" t="s">
        <v>5</v>
      </c>
      <c r="C14" s="11">
        <v>6054.1826190726952</v>
      </c>
      <c r="D14" s="11">
        <v>7032.0675574204315</v>
      </c>
      <c r="E14" s="11">
        <f ca="1">SUM(E10:E13)</f>
        <v>6647.8048032486631</v>
      </c>
      <c r="G14" s="14">
        <f ca="1">SUM(G10:G13)</f>
        <v>207679.14061037</v>
      </c>
      <c r="H14" s="24">
        <f ca="1">E14/G14</f>
        <v>3.2009978391237238E-2</v>
      </c>
      <c r="J14" s="14">
        <v>209520.60254567</v>
      </c>
      <c r="K14" s="24">
        <v>3.3562654326023261E-2</v>
      </c>
      <c r="L14" s="2">
        <f ca="1">G14-J14</f>
        <v>-1841.4619353000016</v>
      </c>
      <c r="Q14" s="2"/>
    </row>
    <row r="15" spans="2:19" x14ac:dyDescent="0.25">
      <c r="B15" s="19"/>
      <c r="C15" s="20"/>
      <c r="D15" s="20"/>
      <c r="E15" s="20"/>
      <c r="G15" s="24">
        <f ca="1">E14/G14</f>
        <v>3.2009978391237238E-2</v>
      </c>
      <c r="H15" s="210"/>
      <c r="I15" s="16"/>
      <c r="J15" s="24">
        <v>3.3562654326023261E-2</v>
      </c>
      <c r="K15" s="210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61" t="s">
        <v>36</v>
      </c>
      <c r="J20" s="261"/>
      <c r="K20" s="261"/>
      <c r="L20" s="261"/>
      <c r="M20" s="261"/>
      <c r="N20" s="261"/>
      <c r="O20" s="261"/>
      <c r="P20" s="6"/>
    </row>
    <row r="21" spans="7:16" x14ac:dyDescent="0.25">
      <c r="G21" s="2"/>
      <c r="I21" s="261"/>
      <c r="J21" s="261"/>
      <c r="K21" s="261"/>
      <c r="L21" s="261"/>
      <c r="M21" s="261"/>
      <c r="N21" s="261"/>
      <c r="O21" s="261"/>
      <c r="P21" s="6"/>
    </row>
    <row r="22" spans="7:16" x14ac:dyDescent="0.25">
      <c r="G22" s="2"/>
      <c r="I22" s="261"/>
      <c r="J22" s="261"/>
      <c r="K22" s="261"/>
      <c r="L22" s="261"/>
      <c r="M22" s="261"/>
      <c r="N22" s="261"/>
      <c r="O22" s="261"/>
      <c r="P22" s="6"/>
    </row>
    <row r="23" spans="7:16" x14ac:dyDescent="0.25">
      <c r="I23" s="261"/>
      <c r="J23" s="261"/>
      <c r="K23" s="261"/>
      <c r="L23" s="261"/>
      <c r="M23" s="261"/>
      <c r="N23" s="261"/>
      <c r="O23" s="261"/>
      <c r="P23" s="6"/>
    </row>
    <row r="24" spans="7:16" x14ac:dyDescent="0.25">
      <c r="I24" s="261"/>
      <c r="J24" s="261"/>
      <c r="K24" s="261"/>
      <c r="L24" s="261"/>
      <c r="M24" s="261"/>
      <c r="N24" s="261"/>
      <c r="O24" s="261"/>
      <c r="P24" s="6"/>
    </row>
    <row r="31" spans="7:16" x14ac:dyDescent="0.25">
      <c r="K31" s="2"/>
    </row>
    <row r="33" spans="2:8" x14ac:dyDescent="0.25">
      <c r="B33" s="37" t="s">
        <v>48</v>
      </c>
      <c r="G33" s="265" t="str">
        <f>G8</f>
        <v>Всего портфель (до погашения)</v>
      </c>
      <c r="H33" s="265"/>
    </row>
    <row r="34" spans="2:8" ht="24.75" customHeight="1" x14ac:dyDescent="0.25">
      <c r="B34" s="12" t="s">
        <v>15</v>
      </c>
      <c r="C34" s="17">
        <v>44440</v>
      </c>
      <c r="D34" s="17">
        <v>44470</v>
      </c>
      <c r="E34" s="17">
        <f>E9</f>
        <v>44501</v>
      </c>
      <c r="G34" s="22">
        <f>E34</f>
        <v>44501</v>
      </c>
      <c r="H34" s="23" t="s">
        <v>17</v>
      </c>
    </row>
    <row r="35" spans="2:8" x14ac:dyDescent="0.25">
      <c r="B35" s="5" t="s">
        <v>3</v>
      </c>
      <c r="C35" s="56">
        <v>106.49371526008588</v>
      </c>
      <c r="D35" s="56">
        <v>104.780029947404</v>
      </c>
      <c r="E35" s="25">
        <f ca="1">'портефль до погашения'!J4/1000000</f>
        <v>100.2942536581798</v>
      </c>
      <c r="G35" s="25">
        <f ca="1">'портефль до погашения'!F4/1000000</f>
        <v>2939.0867069229998</v>
      </c>
      <c r="H35" s="24">
        <f ca="1">E35/G35</f>
        <v>3.4124292223818145E-2</v>
      </c>
    </row>
    <row r="36" spans="2:8" x14ac:dyDescent="0.25">
      <c r="G36" s="21"/>
    </row>
    <row r="50" spans="2:8" x14ac:dyDescent="0.25">
      <c r="B50" s="37" t="s">
        <v>201</v>
      </c>
      <c r="G50" s="265"/>
      <c r="H50" s="265"/>
    </row>
    <row r="51" spans="2:8" ht="30" x14ac:dyDescent="0.25">
      <c r="B51" s="12" t="s">
        <v>202</v>
      </c>
      <c r="C51" s="17">
        <v>44440</v>
      </c>
      <c r="D51" s="17">
        <v>44470</v>
      </c>
      <c r="E51" s="17">
        <f>E34</f>
        <v>44501</v>
      </c>
      <c r="G51" s="22">
        <f>E51</f>
        <v>44501</v>
      </c>
      <c r="H51" s="23" t="s">
        <v>17</v>
      </c>
    </row>
    <row r="52" spans="2:8" x14ac:dyDescent="0.25">
      <c r="B52" s="5" t="s">
        <v>3</v>
      </c>
      <c r="C52" s="56">
        <v>0</v>
      </c>
      <c r="D52" s="56">
        <v>0</v>
      </c>
      <c r="E52" s="78">
        <v>0</v>
      </c>
      <c r="G52" s="217"/>
      <c r="H52" s="24" t="e">
        <f>E52/G52</f>
        <v>#DIV/0!</v>
      </c>
    </row>
    <row r="56" spans="2:8" x14ac:dyDescent="0.25">
      <c r="B56" s="266" t="s">
        <v>428</v>
      </c>
      <c r="C56" s="266"/>
      <c r="D56" s="4"/>
    </row>
    <row r="57" spans="2:8" x14ac:dyDescent="0.25">
      <c r="B57" s="156" t="s">
        <v>70</v>
      </c>
      <c r="C57" s="55">
        <f>SUMIF('портефль до погашения'!$L$8:$L$100,B57,'портефль до погашения'!$F$8:$F$100)</f>
        <v>1318031000</v>
      </c>
      <c r="D57" s="224">
        <f>C57/$C$68</f>
        <v>2.1314626359824996E-2</v>
      </c>
    </row>
    <row r="58" spans="2:8" x14ac:dyDescent="0.25">
      <c r="B58" s="139" t="s">
        <v>72</v>
      </c>
      <c r="C58" s="55">
        <f>SUMIF('портефль до погашения'!$L$8:$L$100,B58,'портефль до погашения'!$F$8:$F$100)</f>
        <v>0</v>
      </c>
      <c r="D58" s="224">
        <f t="shared" ref="D58:D67" si="0">C58/$C$68</f>
        <v>0</v>
      </c>
    </row>
    <row r="59" spans="2:8" x14ac:dyDescent="0.25">
      <c r="B59" s="139" t="s">
        <v>74</v>
      </c>
      <c r="C59" s="55">
        <f>SUMIF('портефль до погашения'!$L$8:$L$100,B59,'портефль до погашения'!$F$8:$F$100)</f>
        <v>12398630414.98</v>
      </c>
      <c r="D59" s="224">
        <f t="shared" si="0"/>
        <v>0.20050527997358228</v>
      </c>
    </row>
    <row r="60" spans="2:8" x14ac:dyDescent="0.25">
      <c r="B60" s="139" t="s">
        <v>76</v>
      </c>
      <c r="C60" s="55">
        <f>SUMIF('портефль до погашения'!$L$8:$L$100,B60,'портефль до погашения'!$F$8:$F$100)</f>
        <v>18997799694.899998</v>
      </c>
      <c r="D60" s="224">
        <f t="shared" si="0"/>
        <v>0.30722418680257957</v>
      </c>
    </row>
    <row r="61" spans="2:8" x14ac:dyDescent="0.25">
      <c r="B61" s="156" t="s">
        <v>78</v>
      </c>
      <c r="C61" s="55">
        <f>SUMIF('портефль до погашения'!$L$8:$L$100,B61,'портефль до погашения'!$F$8:$F$100)</f>
        <v>12747445573.522997</v>
      </c>
      <c r="D61" s="224">
        <f t="shared" si="0"/>
        <v>0.20614616761050972</v>
      </c>
    </row>
    <row r="62" spans="2:8" x14ac:dyDescent="0.25">
      <c r="B62" s="157" t="s">
        <v>80</v>
      </c>
      <c r="C62" s="55">
        <f>SUMIF('портефль до погашения'!$L$8:$L$100,B62,'портефль до погашения'!$F$8:$F$100)</f>
        <v>8048305421.8599997</v>
      </c>
      <c r="D62" s="224">
        <f t="shared" si="0"/>
        <v>0.13015370874941454</v>
      </c>
    </row>
    <row r="63" spans="2:8" x14ac:dyDescent="0.25">
      <c r="B63" s="157" t="s">
        <v>82</v>
      </c>
      <c r="C63" s="55">
        <f>SUMIF('портефль до погашения'!$L$8:$L$100,B63,'портефль до погашения'!$F$8:$F$100)</f>
        <v>925076276.28999996</v>
      </c>
      <c r="D63" s="224">
        <f t="shared" si="0"/>
        <v>1.4959932796314792E-2</v>
      </c>
    </row>
    <row r="64" spans="2:8" x14ac:dyDescent="0.25">
      <c r="B64" s="156" t="s">
        <v>84</v>
      </c>
      <c r="C64" s="55">
        <f>SUMIF('портефль до погашения'!$L$8:$L$100,B64,'портефль до погашения'!$F$8:$F$100)</f>
        <v>6326483375.6800003</v>
      </c>
      <c r="D64" s="224">
        <f t="shared" si="0"/>
        <v>0.10230914851339881</v>
      </c>
    </row>
    <row r="65" spans="2:19" x14ac:dyDescent="0.25">
      <c r="B65" s="156" t="s">
        <v>86</v>
      </c>
      <c r="C65" s="55">
        <f>SUMIF('портефль до погашения'!$L$8:$L$100,B65,'портефль до погашения'!$F$8:$F$100)</f>
        <v>1075155512.78</v>
      </c>
      <c r="D65" s="224">
        <f t="shared" si="0"/>
        <v>1.7386949194375358E-2</v>
      </c>
    </row>
    <row r="66" spans="2:19" x14ac:dyDescent="0.25">
      <c r="B66" s="156" t="s">
        <v>88</v>
      </c>
      <c r="C66" s="55">
        <f>SUMIF('портефль до погашения'!$L$8:$L$100,B66,'портефль до погашения'!$F$8:$F$100)</f>
        <v>0</v>
      </c>
      <c r="D66" s="224">
        <f t="shared" si="0"/>
        <v>0</v>
      </c>
    </row>
    <row r="67" spans="2:19" x14ac:dyDescent="0.25">
      <c r="B67" s="156" t="s">
        <v>115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</row>
    <row r="68" spans="2:19" x14ac:dyDescent="0.25">
      <c r="C68" s="2">
        <f>SUM(C57:C67)</f>
        <v>61836927270.012993</v>
      </c>
      <c r="D68" s="21">
        <f>SUM(D57:D67)</f>
        <v>1.0000000000000002</v>
      </c>
    </row>
    <row r="69" spans="2:19" x14ac:dyDescent="0.25">
      <c r="B69" s="186" t="s">
        <v>429</v>
      </c>
      <c r="C69" s="187">
        <f ca="1">C68-'портефль до погашения'!F2</f>
        <v>0</v>
      </c>
    </row>
    <row r="70" spans="2:19" x14ac:dyDescent="0.25">
      <c r="B70" s="185"/>
      <c r="C70" s="185"/>
    </row>
    <row r="77" spans="2:19" x14ac:dyDescent="0.25">
      <c r="C77" s="1">
        <f>E9</f>
        <v>44501</v>
      </c>
      <c r="D77" s="107" t="s">
        <v>19</v>
      </c>
      <c r="E77" s="1">
        <v>44470</v>
      </c>
      <c r="G77" s="26" t="s">
        <v>38</v>
      </c>
      <c r="S77">
        <v>1</v>
      </c>
    </row>
    <row r="78" spans="2:19" x14ac:dyDescent="0.25">
      <c r="B78" s="5" t="s">
        <v>9</v>
      </c>
      <c r="C78" s="13">
        <f>E11</f>
        <v>1684</v>
      </c>
      <c r="E78" s="8">
        <v>1322</v>
      </c>
      <c r="G78" s="14">
        <f>C78-E78</f>
        <v>362</v>
      </c>
    </row>
    <row r="79" spans="2:19" x14ac:dyDescent="0.25">
      <c r="B79" s="5" t="s">
        <v>10</v>
      </c>
      <c r="C79" s="13">
        <v>629</v>
      </c>
      <c r="D79" t="s">
        <v>37</v>
      </c>
      <c r="E79" s="8">
        <v>567</v>
      </c>
      <c r="G79" s="14">
        <f t="shared" ref="G79:G83" si="1">C79-E79</f>
        <v>62</v>
      </c>
    </row>
    <row r="80" spans="2:19" x14ac:dyDescent="0.25">
      <c r="B80" s="5" t="s">
        <v>190</v>
      </c>
      <c r="C80" s="13">
        <f ca="1">E10+E35</f>
        <v>1853.8824960198062</v>
      </c>
      <c r="E80" s="8">
        <v>2305.4941444289802</v>
      </c>
      <c r="G80" s="14">
        <f t="shared" ca="1" si="1"/>
        <v>-451.61164840917399</v>
      </c>
    </row>
    <row r="81" spans="2:13" ht="30" x14ac:dyDescent="0.25">
      <c r="B81" s="12" t="s">
        <v>477</v>
      </c>
      <c r="C81" s="13">
        <f>E13</f>
        <v>733.21656088703617</v>
      </c>
      <c r="E81" s="8">
        <v>745.35344293885521</v>
      </c>
      <c r="G81" s="14">
        <f t="shared" si="1"/>
        <v>-12.136882051819043</v>
      </c>
    </row>
    <row r="82" spans="2:13" x14ac:dyDescent="0.25">
      <c r="B82" s="5" t="s">
        <v>189</v>
      </c>
      <c r="C82" s="13">
        <f>E12</f>
        <v>2477</v>
      </c>
      <c r="E82" s="8">
        <v>2764</v>
      </c>
      <c r="G82" s="14">
        <f t="shared" si="1"/>
        <v>-287</v>
      </c>
    </row>
    <row r="83" spans="2:13" x14ac:dyDescent="0.25">
      <c r="B83" s="5" t="s">
        <v>30</v>
      </c>
      <c r="C83" s="13">
        <v>10</v>
      </c>
      <c r="D83" t="s">
        <v>29</v>
      </c>
      <c r="E83" s="8">
        <v>9</v>
      </c>
      <c r="G83" s="14">
        <f t="shared" si="1"/>
        <v>1</v>
      </c>
    </row>
    <row r="84" spans="2:13" x14ac:dyDescent="0.25">
      <c r="C84" s="2">
        <f ca="1">SUM(C78:C83)</f>
        <v>7387.0990569068426</v>
      </c>
      <c r="E84" s="2">
        <v>7712.8475873678353</v>
      </c>
      <c r="G84" s="2">
        <f ca="1">E84-C84</f>
        <v>325.7485304609927</v>
      </c>
    </row>
    <row r="85" spans="2:13" ht="15" customHeight="1" x14ac:dyDescent="0.25">
      <c r="E85" s="264" t="s">
        <v>16</v>
      </c>
      <c r="F85" s="261"/>
      <c r="G85" s="261"/>
      <c r="H85" s="261"/>
      <c r="I85" s="261"/>
    </row>
    <row r="86" spans="2:13" x14ac:dyDescent="0.25">
      <c r="E86" s="261"/>
      <c r="F86" s="261"/>
      <c r="G86" s="261"/>
      <c r="H86" s="261"/>
      <c r="I86" s="261"/>
    </row>
    <row r="87" spans="2:13" x14ac:dyDescent="0.25">
      <c r="E87" s="261"/>
      <c r="F87" s="261"/>
      <c r="G87" s="261"/>
      <c r="H87" s="261"/>
      <c r="I87" s="261"/>
    </row>
    <row r="88" spans="2:13" x14ac:dyDescent="0.25">
      <c r="E88" s="261"/>
      <c r="F88" s="261"/>
      <c r="G88" s="261"/>
      <c r="H88" s="261"/>
      <c r="I88" s="261"/>
      <c r="J88" s="4"/>
      <c r="K88" s="4"/>
      <c r="L88" s="4"/>
      <c r="M88" s="4"/>
    </row>
    <row r="89" spans="2:13" x14ac:dyDescent="0.25">
      <c r="E89" s="261"/>
      <c r="F89" s="261"/>
      <c r="G89" s="261"/>
      <c r="H89" s="261"/>
      <c r="I89" s="261"/>
      <c r="J89" s="4"/>
      <c r="K89" s="4"/>
      <c r="L89" s="4"/>
      <c r="M89" s="4"/>
    </row>
    <row r="90" spans="2:13" x14ac:dyDescent="0.25">
      <c r="E90" s="261"/>
      <c r="F90" s="261"/>
      <c r="G90" s="261"/>
      <c r="H90" s="261"/>
      <c r="I90" s="261"/>
      <c r="J90" s="4"/>
      <c r="K90" s="4"/>
      <c r="L90" s="4"/>
      <c r="M90" s="4"/>
    </row>
    <row r="91" spans="2:13" x14ac:dyDescent="0.25">
      <c r="E91" s="261"/>
      <c r="F91" s="261"/>
      <c r="G91" s="261"/>
      <c r="H91" s="261"/>
      <c r="I91" s="261"/>
      <c r="J91" s="4"/>
      <c r="K91" s="4"/>
      <c r="L91" s="4"/>
      <c r="M91" s="4"/>
    </row>
    <row r="92" spans="2:13" x14ac:dyDescent="0.25">
      <c r="E92" s="261"/>
      <c r="F92" s="261"/>
      <c r="G92" s="261"/>
      <c r="H92" s="261"/>
      <c r="I92" s="261"/>
      <c r="J92" s="4"/>
      <c r="K92" s="4"/>
    </row>
    <row r="93" spans="2:13" x14ac:dyDescent="0.25">
      <c r="E93" s="261"/>
      <c r="F93" s="261"/>
      <c r="G93" s="261"/>
      <c r="H93" s="261"/>
      <c r="I93" s="261"/>
      <c r="J93" s="4"/>
      <c r="K93" s="4"/>
    </row>
    <row r="94" spans="2:13" x14ac:dyDescent="0.25">
      <c r="E94" s="261"/>
      <c r="F94" s="261"/>
      <c r="G94" s="261"/>
      <c r="H94" s="261"/>
      <c r="I94" s="261"/>
      <c r="J94" s="4"/>
      <c r="K94" s="4"/>
    </row>
    <row r="95" spans="2:13" x14ac:dyDescent="0.25">
      <c r="E95" s="261"/>
      <c r="F95" s="261"/>
      <c r="G95" s="261"/>
      <c r="H95" s="261"/>
      <c r="I95" s="261"/>
      <c r="J95" s="4"/>
      <c r="K95" s="4"/>
    </row>
    <row r="96" spans="2:13" x14ac:dyDescent="0.25">
      <c r="G96" s="4"/>
      <c r="H96" s="4"/>
      <c r="I96" s="4"/>
      <c r="J96" s="4"/>
      <c r="K96" s="4"/>
    </row>
    <row r="97" spans="2:11" x14ac:dyDescent="0.25">
      <c r="J97" s="4"/>
      <c r="K97" s="4"/>
    </row>
    <row r="98" spans="2:11" x14ac:dyDescent="0.25">
      <c r="J98" s="4"/>
      <c r="K98" s="4"/>
    </row>
    <row r="99" spans="2:11" x14ac:dyDescent="0.25"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x14ac:dyDescent="0.25">
      <c r="B123" s="4"/>
      <c r="C123" s="4"/>
      <c r="D123" s="4"/>
      <c r="G123" s="4"/>
      <c r="H123" s="4"/>
      <c r="I123" s="4"/>
      <c r="J123" s="4"/>
      <c r="K123" s="4"/>
    </row>
    <row r="124" spans="1:15" ht="14.45" customHeight="1" x14ac:dyDescent="0.25">
      <c r="B124" s="263"/>
      <c r="C124" s="263"/>
      <c r="D124" s="263"/>
      <c r="E124" s="211">
        <f>E9</f>
        <v>44501</v>
      </c>
      <c r="K124" s="6"/>
      <c r="L124" s="6"/>
      <c r="M124" s="6"/>
      <c r="N124" s="6"/>
    </row>
    <row r="125" spans="1:15" ht="75" customHeight="1" x14ac:dyDescent="0.25">
      <c r="A125" s="5"/>
      <c r="B125" s="123" t="s">
        <v>19</v>
      </c>
      <c r="C125" s="23" t="s">
        <v>185</v>
      </c>
      <c r="D125" s="123" t="s">
        <v>451</v>
      </c>
      <c r="E125" s="23" t="s">
        <v>163</v>
      </c>
      <c r="F125" s="80" t="s">
        <v>164</v>
      </c>
      <c r="G125" s="80" t="s">
        <v>165</v>
      </c>
      <c r="H125" s="80" t="s">
        <v>186</v>
      </c>
      <c r="I125" s="23" t="s">
        <v>187</v>
      </c>
      <c r="J125" s="260"/>
      <c r="K125" s="261"/>
      <c r="L125" s="261"/>
      <c r="M125" s="261"/>
      <c r="N125" s="261"/>
      <c r="O125" s="6"/>
    </row>
    <row r="126" spans="1:15" x14ac:dyDescent="0.25">
      <c r="A126" s="9" t="s">
        <v>188</v>
      </c>
      <c r="B126" s="195"/>
      <c r="C126" s="133">
        <f>D126*B126</f>
        <v>0</v>
      </c>
      <c r="D126" s="134">
        <f>VLOOKUP(E126,'РейтPD FRED Graph'!B4:$K$26,9,0)</f>
        <v>3.2694150032581602E-2</v>
      </c>
      <c r="E126" s="135" t="s">
        <v>80</v>
      </c>
      <c r="F126" s="136">
        <f>VLOOKUP(E126,'РейтPD FRED Graph'!$R$4:$V$26,5,0)</f>
        <v>7.2473003878630905E-3</v>
      </c>
      <c r="G126" s="137">
        <f>F126*B126</f>
        <v>0</v>
      </c>
      <c r="H126" s="137">
        <f>G126+C126</f>
        <v>0</v>
      </c>
      <c r="I126" s="138" t="e">
        <f>H126/B126</f>
        <v>#DIV/0!</v>
      </c>
    </row>
  </sheetData>
  <mergeCells count="9">
    <mergeCell ref="J125:N125"/>
    <mergeCell ref="B6:E6"/>
    <mergeCell ref="I20:O24"/>
    <mergeCell ref="B124:D124"/>
    <mergeCell ref="E85:I95"/>
    <mergeCell ref="G8:H8"/>
    <mergeCell ref="G33:H33"/>
    <mergeCell ref="G50:H50"/>
    <mergeCell ref="B56:C5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F10" sqref="F10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9" bestFit="1" customWidth="1"/>
    <col min="16" max="16" width="12.85546875" style="27"/>
    <col min="17" max="17" width="12.85546875" style="128"/>
    <col min="18" max="18" width="29.5703125" style="27" customWidth="1"/>
    <col min="19" max="16384" width="12.85546875" style="27"/>
  </cols>
  <sheetData>
    <row r="1" spans="1:17" x14ac:dyDescent="0.25">
      <c r="A1" s="269"/>
      <c r="B1" s="269"/>
      <c r="C1" s="269"/>
      <c r="D1" s="270"/>
      <c r="E1" s="60"/>
      <c r="F1" s="33" t="s">
        <v>106</v>
      </c>
      <c r="J1" s="34" t="s">
        <v>107</v>
      </c>
      <c r="K1" s="34"/>
      <c r="L1" s="34"/>
      <c r="M1" s="34"/>
      <c r="N1" s="34"/>
      <c r="O1" s="122" t="str">
        <f>O7</f>
        <v>Стрессс итог</v>
      </c>
      <c r="P1" s="122" t="s">
        <v>194</v>
      </c>
    </row>
    <row r="2" spans="1:17" x14ac:dyDescent="0.25">
      <c r="A2" s="268" t="s">
        <v>13</v>
      </c>
      <c r="B2" s="268"/>
      <c r="C2" s="268"/>
      <c r="D2" s="268"/>
      <c r="E2" s="59"/>
      <c r="F2" s="35">
        <f ca="1">F3+F4</f>
        <v>61836927270.012993</v>
      </c>
      <c r="G2" s="35"/>
      <c r="H2" s="35"/>
      <c r="I2" s="35"/>
      <c r="J2" s="35">
        <f ca="1">J3+J4</f>
        <v>1853882496.0198061</v>
      </c>
      <c r="K2" s="35"/>
      <c r="L2" s="35"/>
      <c r="M2" s="35"/>
      <c r="N2" s="35"/>
      <c r="O2" s="35">
        <f ca="1">O3+O4</f>
        <v>2215779905.0813165</v>
      </c>
      <c r="P2" s="35"/>
    </row>
    <row r="3" spans="1:17" x14ac:dyDescent="0.25">
      <c r="A3" s="267" t="s">
        <v>45</v>
      </c>
      <c r="B3" s="267"/>
      <c r="C3" s="267"/>
      <c r="D3" s="267"/>
      <c r="E3" s="58"/>
      <c r="F3" s="36">
        <f ca="1">SUMIF(A$8:A$1048576,"АББ",(F8:F108))</f>
        <v>58897840563.089996</v>
      </c>
      <c r="G3" s="36"/>
      <c r="H3" s="36"/>
      <c r="I3" s="36"/>
      <c r="J3" s="36">
        <f ca="1">SUMIF(A$8:A$1048576,"АББ",(J8:J108))</f>
        <v>1753588242.3616264</v>
      </c>
      <c r="K3" s="36"/>
      <c r="L3" s="36"/>
      <c r="M3" s="36"/>
      <c r="N3" s="36"/>
      <c r="O3" s="36">
        <f ca="1">SUMIF(A$8:A$1048576,"АББ",(O8:O108))</f>
        <v>2099089042.4459784</v>
      </c>
      <c r="P3" s="131">
        <f ca="1">O3/F3</f>
        <v>3.5639490724578997E-2</v>
      </c>
    </row>
    <row r="4" spans="1:17" x14ac:dyDescent="0.25">
      <c r="A4" s="268" t="s">
        <v>46</v>
      </c>
      <c r="B4" s="268"/>
      <c r="C4" s="268"/>
      <c r="D4" s="268"/>
      <c r="E4" s="59"/>
      <c r="F4" s="35">
        <f ca="1">SUMIF(A$8:A$1048576,"АБФ-БО",(F8:F108))</f>
        <v>2939086706.9229999</v>
      </c>
      <c r="G4" s="35"/>
      <c r="H4" s="35"/>
      <c r="I4" s="35"/>
      <c r="J4" s="35">
        <f ca="1">SUMIF(A$8:A$1048576,"АБФ-БО",(J8:J108))</f>
        <v>100294253.6581798</v>
      </c>
      <c r="K4" s="35"/>
      <c r="L4" s="35"/>
      <c r="M4" s="35"/>
      <c r="N4" s="35"/>
      <c r="O4" s="35">
        <f ca="1">SUMIF(A$8:A$1048576,"АБФ-БО",(O8:O108))</f>
        <v>116690862.63533816</v>
      </c>
      <c r="P4" s="132">
        <f ca="1">O4/F4</f>
        <v>3.9703103130803725E-2</v>
      </c>
    </row>
    <row r="5" spans="1:17" x14ac:dyDescent="0.25">
      <c r="F5" s="226"/>
    </row>
    <row r="6" spans="1:17" x14ac:dyDescent="0.25">
      <c r="D6" s="53" t="s">
        <v>13</v>
      </c>
      <c r="E6" s="53"/>
      <c r="F6" s="54">
        <f>SUM(F8:F100)</f>
        <v>61836927270.013008</v>
      </c>
      <c r="G6" s="54"/>
      <c r="H6" s="54">
        <f t="shared" ref="H6:I6" si="0">SUM(H8:H100)</f>
        <v>237420178.271685</v>
      </c>
      <c r="I6" s="54">
        <f t="shared" si="0"/>
        <v>1616462317.7481215</v>
      </c>
      <c r="J6" s="54">
        <f>SUM(J8:J100)</f>
        <v>1853882496.0198061</v>
      </c>
      <c r="K6" s="54"/>
      <c r="L6" s="54"/>
      <c r="M6" s="54"/>
      <c r="N6" s="54">
        <f t="shared" ref="N6" si="1">SUM(N8:N100)</f>
        <v>361897409.06151068</v>
      </c>
      <c r="O6" s="54">
        <f>SUM(O8:O100)</f>
        <v>2215779905.0813165</v>
      </c>
    </row>
    <row r="7" spans="1:17" ht="30.75" customHeight="1" x14ac:dyDescent="0.25">
      <c r="A7" s="28" t="s">
        <v>43</v>
      </c>
      <c r="B7" s="28" t="s">
        <v>220</v>
      </c>
      <c r="C7" s="28" t="s">
        <v>101</v>
      </c>
      <c r="D7" s="28" t="s">
        <v>42</v>
      </c>
      <c r="E7" s="61" t="s">
        <v>105</v>
      </c>
      <c r="F7" s="32" t="s">
        <v>2113</v>
      </c>
      <c r="G7" s="32" t="s">
        <v>47</v>
      </c>
      <c r="H7" s="32" t="s">
        <v>55</v>
      </c>
      <c r="I7" s="32" t="s">
        <v>56</v>
      </c>
      <c r="J7" s="31" t="s">
        <v>107</v>
      </c>
      <c r="K7" s="31" t="s">
        <v>102</v>
      </c>
      <c r="L7" s="80" t="s">
        <v>540</v>
      </c>
      <c r="M7" s="80" t="s">
        <v>164</v>
      </c>
      <c r="N7" s="80" t="s">
        <v>165</v>
      </c>
      <c r="O7" s="80" t="s">
        <v>166</v>
      </c>
      <c r="Q7" s="127" t="s">
        <v>191</v>
      </c>
    </row>
    <row r="8" spans="1:17" x14ac:dyDescent="0.25">
      <c r="A8" s="28" t="s">
        <v>41</v>
      </c>
      <c r="B8" s="28" t="s">
        <v>2123</v>
      </c>
      <c r="C8" s="28" t="s">
        <v>135</v>
      </c>
      <c r="D8" s="28" t="s">
        <v>2127</v>
      </c>
      <c r="E8" s="28" t="s">
        <v>482</v>
      </c>
      <c r="F8" s="29">
        <v>326384117.75</v>
      </c>
      <c r="G8" s="30">
        <v>1.9110596344166456E-2</v>
      </c>
      <c r="H8" s="29">
        <v>580773.48226710863</v>
      </c>
      <c r="I8" s="29">
        <v>5656621.6452000355</v>
      </c>
      <c r="J8" s="124">
        <f>F8*G8</f>
        <v>6237395.1274671443</v>
      </c>
      <c r="K8" s="52" t="s">
        <v>76</v>
      </c>
      <c r="L8" s="108" t="s">
        <v>76</v>
      </c>
      <c r="M8" s="125">
        <f>VLOOKUP(L8,'РейтPD FRED Graph'!$R$4:$V$26,5,0)</f>
        <v>2.993571512778008E-3</v>
      </c>
      <c r="N8" s="126">
        <f>M8*F8</f>
        <v>977054.19711958303</v>
      </c>
      <c r="O8" s="126">
        <f>N8+J8</f>
        <v>7214449.3245867277</v>
      </c>
      <c r="Q8" s="129">
        <f>J8-I8-H8</f>
        <v>0</v>
      </c>
    </row>
    <row r="9" spans="1:17" x14ac:dyDescent="0.25">
      <c r="A9" s="28" t="s">
        <v>41</v>
      </c>
      <c r="B9" s="28" t="s">
        <v>2123</v>
      </c>
      <c r="C9" s="28" t="s">
        <v>136</v>
      </c>
      <c r="D9" s="28" t="s">
        <v>2128</v>
      </c>
      <c r="E9" s="28" t="s">
        <v>483</v>
      </c>
      <c r="F9" s="29">
        <v>1850582238.73</v>
      </c>
      <c r="G9" s="30">
        <v>3.3927692878581571E-2</v>
      </c>
      <c r="H9" s="29">
        <v>6310267.5819207123</v>
      </c>
      <c r="I9" s="29">
        <v>56475718.260268651</v>
      </c>
      <c r="J9" s="124">
        <f t="shared" ref="J9:J39" si="2">F9*G9</f>
        <v>62785985.842189364</v>
      </c>
      <c r="K9" s="52" t="s">
        <v>78</v>
      </c>
      <c r="L9" s="108" t="s">
        <v>78</v>
      </c>
      <c r="M9" s="125">
        <f>VLOOKUP(L9,'РейтPD FRED Graph'!$R$4:$V$26,5,0)</f>
        <v>4.3845995125304429E-3</v>
      </c>
      <c r="N9" s="126">
        <f t="shared" ref="N9:N65" si="3">M9*F9</f>
        <v>8114061.9818330538</v>
      </c>
      <c r="O9" s="126">
        <f t="shared" ref="O9:O65" si="4">N9+J9</f>
        <v>70900047.824022412</v>
      </c>
      <c r="Q9" s="129">
        <f t="shared" ref="Q9:Q72" si="5">J9-I9-H9</f>
        <v>0</v>
      </c>
    </row>
    <row r="10" spans="1:17" x14ac:dyDescent="0.25">
      <c r="A10" s="28" t="s">
        <v>41</v>
      </c>
      <c r="B10" s="28" t="s">
        <v>2123</v>
      </c>
      <c r="C10" s="28" t="s">
        <v>138</v>
      </c>
      <c r="D10" s="28" t="s">
        <v>2129</v>
      </c>
      <c r="E10" s="28" t="s">
        <v>484</v>
      </c>
      <c r="F10" s="29">
        <v>63319456.130000003</v>
      </c>
      <c r="G10" s="30">
        <v>5.8927158902003771E-2</v>
      </c>
      <c r="H10" s="29">
        <v>530069.79082563648</v>
      </c>
      <c r="I10" s="29">
        <v>3201165.8621353307</v>
      </c>
      <c r="J10" s="124">
        <f t="shared" si="2"/>
        <v>3731235.6529609668</v>
      </c>
      <c r="K10" s="52" t="s">
        <v>82</v>
      </c>
      <c r="L10" s="108" t="s">
        <v>84</v>
      </c>
      <c r="M10" s="125">
        <f>VLOOKUP(L10,'РейтPD FRED Graph'!$R$4:$V$26,5,0)</f>
        <v>2.0466988838264821E-2</v>
      </c>
      <c r="N10" s="126">
        <f t="shared" si="3"/>
        <v>1295958.601857709</v>
      </c>
      <c r="O10" s="126">
        <f t="shared" si="4"/>
        <v>5027194.254818676</v>
      </c>
      <c r="Q10" s="129">
        <f t="shared" si="5"/>
        <v>0</v>
      </c>
    </row>
    <row r="11" spans="1:17" x14ac:dyDescent="0.25">
      <c r="A11" s="28" t="s">
        <v>41</v>
      </c>
      <c r="B11" s="28" t="s">
        <v>2123</v>
      </c>
      <c r="C11" s="28" t="s">
        <v>100</v>
      </c>
      <c r="D11" s="28" t="s">
        <v>2130</v>
      </c>
      <c r="E11" s="28" t="s">
        <v>485</v>
      </c>
      <c r="F11" s="29">
        <v>216983106.49000001</v>
      </c>
      <c r="G11" s="30">
        <v>2.5445769658936176E-2</v>
      </c>
      <c r="H11" s="29">
        <v>554915.13726834685</v>
      </c>
      <c r="I11" s="29">
        <v>4966387.0103566134</v>
      </c>
      <c r="J11" s="124">
        <f t="shared" si="2"/>
        <v>5521302.1476249592</v>
      </c>
      <c r="K11" s="52" t="s">
        <v>78</v>
      </c>
      <c r="L11" s="108" t="s">
        <v>80</v>
      </c>
      <c r="M11" s="125">
        <f>VLOOKUP(L11,'РейтPD FRED Graph'!$R$4:$V$26,5,0)</f>
        <v>7.2473003878630905E-3</v>
      </c>
      <c r="N11" s="126">
        <f t="shared" si="3"/>
        <v>1572541.7518247154</v>
      </c>
      <c r="O11" s="126">
        <f t="shared" si="4"/>
        <v>7093843.8994496744</v>
      </c>
      <c r="Q11" s="129">
        <f t="shared" si="5"/>
        <v>-1.0477378964424133E-9</v>
      </c>
    </row>
    <row r="12" spans="1:17" x14ac:dyDescent="0.25">
      <c r="A12" s="28" t="s">
        <v>41</v>
      </c>
      <c r="B12" s="28" t="s">
        <v>2123</v>
      </c>
      <c r="C12" s="28" t="s">
        <v>139</v>
      </c>
      <c r="D12" s="28" t="s">
        <v>2131</v>
      </c>
      <c r="E12" s="28" t="s">
        <v>486</v>
      </c>
      <c r="F12" s="29">
        <v>538238778.0999999</v>
      </c>
      <c r="G12" s="30">
        <v>2.5445769658936176E-2</v>
      </c>
      <c r="H12" s="29">
        <v>1376498.1535383896</v>
      </c>
      <c r="I12" s="29">
        <v>12319401.81550147</v>
      </c>
      <c r="J12" s="124">
        <f t="shared" si="2"/>
        <v>13695899.969039859</v>
      </c>
      <c r="K12" s="52" t="s">
        <v>78</v>
      </c>
      <c r="L12" s="108" t="s">
        <v>80</v>
      </c>
      <c r="M12" s="125">
        <f>VLOOKUP(L12,'РейтPD FRED Graph'!$R$4:$V$26,5,0)</f>
        <v>7.2473003878630905E-3</v>
      </c>
      <c r="N12" s="126">
        <f t="shared" si="3"/>
        <v>3900778.1052870853</v>
      </c>
      <c r="O12" s="126">
        <f t="shared" si="4"/>
        <v>17596678.074326944</v>
      </c>
      <c r="Q12" s="129">
        <f t="shared" si="5"/>
        <v>0</v>
      </c>
    </row>
    <row r="13" spans="1:17" x14ac:dyDescent="0.25">
      <c r="A13" s="28" t="s">
        <v>41</v>
      </c>
      <c r="B13" s="28" t="s">
        <v>2123</v>
      </c>
      <c r="C13" s="28" t="s">
        <v>140</v>
      </c>
      <c r="D13" s="28" t="s">
        <v>2132</v>
      </c>
      <c r="E13" s="28" t="s">
        <v>487</v>
      </c>
      <c r="F13" s="29">
        <v>282641660.99000001</v>
      </c>
      <c r="G13" s="30">
        <v>5.8927158902003771E-2</v>
      </c>
      <c r="H13" s="29">
        <v>2366094.3298689662</v>
      </c>
      <c r="I13" s="29">
        <v>14289175.739615045</v>
      </c>
      <c r="J13" s="124">
        <f t="shared" si="2"/>
        <v>16655270.06948401</v>
      </c>
      <c r="K13" s="52" t="s">
        <v>82</v>
      </c>
      <c r="L13" s="108" t="s">
        <v>82</v>
      </c>
      <c r="M13" s="125">
        <f>VLOOKUP(L13,'РейтPD FRED Graph'!$R$4:$V$26,5,0)</f>
        <v>1.3812666951430758E-2</v>
      </c>
      <c r="N13" s="126">
        <f t="shared" si="3"/>
        <v>3904035.1298540691</v>
      </c>
      <c r="O13" s="126">
        <f t="shared" si="4"/>
        <v>20559305.199338078</v>
      </c>
      <c r="Q13" s="129">
        <f>J13-I13-H13</f>
        <v>0</v>
      </c>
    </row>
    <row r="14" spans="1:17" x14ac:dyDescent="0.25">
      <c r="A14" s="28" t="s">
        <v>41</v>
      </c>
      <c r="B14" s="28" t="s">
        <v>2123</v>
      </c>
      <c r="C14" s="28" t="s">
        <v>132</v>
      </c>
      <c r="D14" s="28" t="s">
        <v>2133</v>
      </c>
      <c r="E14" s="28" t="s">
        <v>488</v>
      </c>
      <c r="F14" s="29">
        <v>715815488.06000006</v>
      </c>
      <c r="G14" s="30">
        <v>2.5445769658936176E-2</v>
      </c>
      <c r="H14" s="29">
        <v>1830634.9108976831</v>
      </c>
      <c r="I14" s="29">
        <v>16383841.116576059</v>
      </c>
      <c r="J14" s="124">
        <f t="shared" si="2"/>
        <v>18214476.02747374</v>
      </c>
      <c r="K14" s="52" t="s">
        <v>78</v>
      </c>
      <c r="L14" s="108" t="s">
        <v>80</v>
      </c>
      <c r="M14" s="125">
        <f>VLOOKUP(L14,'РейтPD FRED Graph'!$R$4:$V$26,5,0)</f>
        <v>7.2473003878630905E-3</v>
      </c>
      <c r="N14" s="126">
        <f t="shared" si="3"/>
        <v>5187729.8642556462</v>
      </c>
      <c r="O14" s="126">
        <f t="shared" si="4"/>
        <v>23402205.891729385</v>
      </c>
      <c r="Q14" s="129">
        <f t="shared" si="5"/>
        <v>0</v>
      </c>
    </row>
    <row r="15" spans="1:17" x14ac:dyDescent="0.25">
      <c r="A15" s="28" t="s">
        <v>41</v>
      </c>
      <c r="B15" s="28" t="s">
        <v>2123</v>
      </c>
      <c r="C15" s="28" t="s">
        <v>145</v>
      </c>
      <c r="D15" s="28" t="s">
        <v>2134</v>
      </c>
      <c r="E15" s="28" t="s">
        <v>490</v>
      </c>
      <c r="F15" s="29">
        <v>827117341.35000002</v>
      </c>
      <c r="G15" s="30">
        <v>2.5480795125555275E-2</v>
      </c>
      <c r="H15" s="29">
        <v>1962382.3278774407</v>
      </c>
      <c r="I15" s="29">
        <v>19113225.191855878</v>
      </c>
      <c r="J15" s="124">
        <f t="shared" si="2"/>
        <v>21075607.519733321</v>
      </c>
      <c r="K15" s="52" t="s">
        <v>76</v>
      </c>
      <c r="L15" s="108" t="s">
        <v>80</v>
      </c>
      <c r="M15" s="125">
        <f>VLOOKUP(L15,'РейтPD FRED Graph'!$R$4:$V$26,5,0)</f>
        <v>7.2473003878630905E-3</v>
      </c>
      <c r="N15" s="126">
        <f t="shared" si="3"/>
        <v>5994367.828774143</v>
      </c>
      <c r="O15" s="126">
        <f t="shared" si="4"/>
        <v>27069975.348507464</v>
      </c>
      <c r="Q15" s="129">
        <f t="shared" si="5"/>
        <v>2.5611370801925659E-9</v>
      </c>
    </row>
    <row r="16" spans="1:17" x14ac:dyDescent="0.25">
      <c r="A16" s="28" t="s">
        <v>41</v>
      </c>
      <c r="B16" s="28" t="s">
        <v>2123</v>
      </c>
      <c r="C16" s="28" t="s">
        <v>103</v>
      </c>
      <c r="D16" s="28" t="s">
        <v>2135</v>
      </c>
      <c r="E16" s="28" t="s">
        <v>491</v>
      </c>
      <c r="F16" s="29">
        <v>138929933.83000001</v>
      </c>
      <c r="G16" s="30">
        <v>1.0463168480298844E-2</v>
      </c>
      <c r="H16" s="29">
        <v>119686.0130424736</v>
      </c>
      <c r="I16" s="29">
        <v>1333961.2915775867</v>
      </c>
      <c r="J16" s="124">
        <f t="shared" si="2"/>
        <v>1453647.3046200601</v>
      </c>
      <c r="K16" s="52" t="s">
        <v>74</v>
      </c>
      <c r="L16" s="108" t="s">
        <v>74</v>
      </c>
      <c r="M16" s="125">
        <f>VLOOKUP(L16,'РейтPD FRED Graph'!$R$4:$V$26,5,0)</f>
        <v>1.3579482538216754E-3</v>
      </c>
      <c r="N16" s="126">
        <f t="shared" si="3"/>
        <v>188659.66104800941</v>
      </c>
      <c r="O16" s="126">
        <f t="shared" si="4"/>
        <v>1642306.9656680697</v>
      </c>
      <c r="Q16" s="129">
        <f t="shared" si="5"/>
        <v>-1.3096723705530167E-10</v>
      </c>
    </row>
    <row r="17" spans="1:17" x14ac:dyDescent="0.25">
      <c r="A17" s="28" t="s">
        <v>41</v>
      </c>
      <c r="B17" s="28" t="s">
        <v>2123</v>
      </c>
      <c r="C17" s="28" t="s">
        <v>145</v>
      </c>
      <c r="D17" s="28" t="s">
        <v>2136</v>
      </c>
      <c r="E17" s="28" t="s">
        <v>523</v>
      </c>
      <c r="F17" s="29">
        <v>307082662.33999997</v>
      </c>
      <c r="G17" s="30">
        <v>2.5480795125555275E-2</v>
      </c>
      <c r="H17" s="29">
        <v>728570.85645187972</v>
      </c>
      <c r="I17" s="29">
        <v>7096139.5492437277</v>
      </c>
      <c r="J17" s="124">
        <f t="shared" si="2"/>
        <v>7824710.4056956079</v>
      </c>
      <c r="K17" s="52" t="s">
        <v>76</v>
      </c>
      <c r="L17" s="108" t="s">
        <v>76</v>
      </c>
      <c r="M17" s="125">
        <f>VLOOKUP(L17,'РейтPD FRED Graph'!$R$4:$V$26,5,0)</f>
        <v>2.993571512778008E-3</v>
      </c>
      <c r="N17" s="126">
        <f t="shared" si="3"/>
        <v>919273.91004905198</v>
      </c>
      <c r="O17" s="126">
        <f t="shared" si="4"/>
        <v>8743984.3157446608</v>
      </c>
      <c r="Q17" s="129">
        <f t="shared" si="5"/>
        <v>0</v>
      </c>
    </row>
    <row r="18" spans="1:17" x14ac:dyDescent="0.25">
      <c r="A18" s="28" t="s">
        <v>41</v>
      </c>
      <c r="B18" s="28" t="s">
        <v>2123</v>
      </c>
      <c r="C18" s="28" t="s">
        <v>99</v>
      </c>
      <c r="D18" s="28" t="s">
        <v>2137</v>
      </c>
      <c r="E18" s="28" t="s">
        <v>492</v>
      </c>
      <c r="F18" s="29">
        <v>214545933.16</v>
      </c>
      <c r="G18" s="30">
        <v>1.0463168480298844E-2</v>
      </c>
      <c r="H18" s="29">
        <v>184828.03990836267</v>
      </c>
      <c r="I18" s="29">
        <v>2060002.2055076519</v>
      </c>
      <c r="J18" s="124">
        <f t="shared" si="2"/>
        <v>2244830.2454160145</v>
      </c>
      <c r="K18" s="52" t="s">
        <v>74</v>
      </c>
      <c r="L18" s="108" t="s">
        <v>74</v>
      </c>
      <c r="M18" s="125">
        <f>VLOOKUP(L18,'РейтPD FRED Graph'!$R$4:$V$26,5,0)</f>
        <v>1.3579482538216754E-3</v>
      </c>
      <c r="N18" s="126">
        <f t="shared" si="3"/>
        <v>291342.27529916388</v>
      </c>
      <c r="O18" s="126">
        <f t="shared" si="4"/>
        <v>2536172.5207151785</v>
      </c>
      <c r="Q18" s="129">
        <f t="shared" si="5"/>
        <v>0</v>
      </c>
    </row>
    <row r="19" spans="1:17" x14ac:dyDescent="0.25">
      <c r="A19" s="28" t="s">
        <v>41</v>
      </c>
      <c r="B19" s="28" t="s">
        <v>2123</v>
      </c>
      <c r="C19" s="28" t="s">
        <v>148</v>
      </c>
      <c r="D19" s="28" t="s">
        <v>2138</v>
      </c>
      <c r="E19" s="28" t="s">
        <v>493</v>
      </c>
      <c r="F19" s="29">
        <v>5615953774.3599987</v>
      </c>
      <c r="G19" s="30">
        <v>1.3950891307065127E-2</v>
      </c>
      <c r="H19" s="29">
        <v>6450744.3731211973</v>
      </c>
      <c r="I19" s="29">
        <v>71896816.318477303</v>
      </c>
      <c r="J19" s="124">
        <f t="shared" si="2"/>
        <v>78347560.69159849</v>
      </c>
      <c r="K19" s="52" t="s">
        <v>74</v>
      </c>
      <c r="L19" s="108" t="s">
        <v>76</v>
      </c>
      <c r="M19" s="125">
        <f>VLOOKUP(L19,'РейтPD FRED Graph'!$R$4:$V$26,5,0)</f>
        <v>2.993571512778008E-3</v>
      </c>
      <c r="N19" s="126">
        <f t="shared" si="3"/>
        <v>16811759.236002225</v>
      </c>
      <c r="O19" s="126">
        <f t="shared" si="4"/>
        <v>95159319.927600712</v>
      </c>
      <c r="Q19" s="129">
        <f t="shared" si="5"/>
        <v>-1.0244548320770264E-8</v>
      </c>
    </row>
    <row r="20" spans="1:17" x14ac:dyDescent="0.25">
      <c r="A20" s="28" t="s">
        <v>41</v>
      </c>
      <c r="B20" s="28" t="s">
        <v>2123</v>
      </c>
      <c r="C20" s="28" t="s">
        <v>149</v>
      </c>
      <c r="D20" s="28" t="s">
        <v>2139</v>
      </c>
      <c r="E20" s="28" t="s">
        <v>494</v>
      </c>
      <c r="F20" s="29">
        <v>4529276087.0800009</v>
      </c>
      <c r="G20" s="30">
        <v>1.0463168480298844E-2</v>
      </c>
      <c r="H20" s="29">
        <v>3901902.0731309359</v>
      </c>
      <c r="I20" s="29">
        <v>43488676.719775811</v>
      </c>
      <c r="J20" s="124">
        <f t="shared" si="2"/>
        <v>47390578.792906746</v>
      </c>
      <c r="K20" s="52" t="s">
        <v>74</v>
      </c>
      <c r="L20" s="108" t="s">
        <v>74</v>
      </c>
      <c r="M20" s="125">
        <f>VLOOKUP(L20,'РейтPD FRED Graph'!$R$4:$V$26,5,0)</f>
        <v>1.3579482538216754E-3</v>
      </c>
      <c r="N20" s="126">
        <f t="shared" si="3"/>
        <v>6150522.553526558</v>
      </c>
      <c r="O20" s="126">
        <f t="shared" si="4"/>
        <v>53541101.346433304</v>
      </c>
      <c r="Q20" s="129">
        <f t="shared" si="5"/>
        <v>0</v>
      </c>
    </row>
    <row r="21" spans="1:17" x14ac:dyDescent="0.25">
      <c r="A21" s="28" t="s">
        <v>41</v>
      </c>
      <c r="B21" s="28" t="s">
        <v>2123</v>
      </c>
      <c r="C21" s="28" t="s">
        <v>136</v>
      </c>
      <c r="D21" s="28" t="s">
        <v>2140</v>
      </c>
      <c r="E21" s="28" t="s">
        <v>495</v>
      </c>
      <c r="F21" s="29">
        <v>167191455.71000001</v>
      </c>
      <c r="G21" s="30">
        <v>3.3927692878581571E-2</v>
      </c>
      <c r="H21" s="29">
        <v>570103.18204770877</v>
      </c>
      <c r="I21" s="29">
        <v>5102317.1792041445</v>
      </c>
      <c r="J21" s="124">
        <f t="shared" si="2"/>
        <v>5672420.3612518534</v>
      </c>
      <c r="K21" s="52" t="s">
        <v>78</v>
      </c>
      <c r="L21" s="108" t="s">
        <v>78</v>
      </c>
      <c r="M21" s="125">
        <f>VLOOKUP(L21,'РейтPD FRED Graph'!$R$4:$V$26,5,0)</f>
        <v>4.3845995125304429E-3</v>
      </c>
      <c r="N21" s="126">
        <f t="shared" si="3"/>
        <v>733067.57520532119</v>
      </c>
      <c r="O21" s="126">
        <f t="shared" si="4"/>
        <v>6405487.9364571748</v>
      </c>
      <c r="Q21" s="129">
        <f t="shared" si="5"/>
        <v>0</v>
      </c>
    </row>
    <row r="22" spans="1:17" x14ac:dyDescent="0.25">
      <c r="A22" s="28" t="s">
        <v>41</v>
      </c>
      <c r="B22" s="28" t="s">
        <v>2123</v>
      </c>
      <c r="C22" s="28" t="s">
        <v>150</v>
      </c>
      <c r="D22" s="28" t="s">
        <v>2141</v>
      </c>
      <c r="E22" s="28" t="s">
        <v>496</v>
      </c>
      <c r="F22" s="29">
        <v>7601794654.1000004</v>
      </c>
      <c r="G22" s="30">
        <v>1.9110596344166456E-2</v>
      </c>
      <c r="H22" s="29">
        <v>13526763.44417849</v>
      </c>
      <c r="I22" s="29">
        <v>131748065.68156908</v>
      </c>
      <c r="J22" s="124">
        <f t="shared" si="2"/>
        <v>145274829.12574759</v>
      </c>
      <c r="K22" s="52" t="s">
        <v>76</v>
      </c>
      <c r="L22" s="108" t="s">
        <v>76</v>
      </c>
      <c r="M22" s="125">
        <f>VLOOKUP(L22,'РейтPD FRED Graph'!$R$4:$V$26,5,0)</f>
        <v>2.993571512778008E-3</v>
      </c>
      <c r="N22" s="126">
        <f t="shared" si="3"/>
        <v>22756515.92250191</v>
      </c>
      <c r="O22" s="126">
        <f t="shared" si="4"/>
        <v>168031345.04824951</v>
      </c>
      <c r="Q22" s="129">
        <f t="shared" si="5"/>
        <v>1.6763806343078613E-8</v>
      </c>
    </row>
    <row r="23" spans="1:17" x14ac:dyDescent="0.25">
      <c r="A23" s="28" t="s">
        <v>41</v>
      </c>
      <c r="B23" s="28" t="s">
        <v>2123</v>
      </c>
      <c r="C23" s="28" t="s">
        <v>134</v>
      </c>
      <c r="D23" s="28" t="s">
        <v>2142</v>
      </c>
      <c r="E23" s="28" t="s">
        <v>497</v>
      </c>
      <c r="F23" s="29">
        <v>640750822.26999998</v>
      </c>
      <c r="G23" s="30">
        <v>1.0463168480298844E-2</v>
      </c>
      <c r="H23" s="29">
        <v>551997.03301537875</v>
      </c>
      <c r="I23" s="29">
        <v>6152286.7742856517</v>
      </c>
      <c r="J23" s="124">
        <f t="shared" si="2"/>
        <v>6704283.8073010305</v>
      </c>
      <c r="K23" s="52" t="s">
        <v>74</v>
      </c>
      <c r="L23" s="108" t="s">
        <v>76</v>
      </c>
      <c r="M23" s="125">
        <f>VLOOKUP(L23,'РейтPD FRED Graph'!$R$4:$V$26,5,0)</f>
        <v>2.993571512778008E-3</v>
      </c>
      <c r="N23" s="126">
        <f t="shared" si="3"/>
        <v>1918133.4083365563</v>
      </c>
      <c r="O23" s="126">
        <f t="shared" si="4"/>
        <v>8622417.215637587</v>
      </c>
      <c r="Q23" s="129">
        <f t="shared" si="5"/>
        <v>0</v>
      </c>
    </row>
    <row r="24" spans="1:17" x14ac:dyDescent="0.25">
      <c r="A24" s="28" t="s">
        <v>41</v>
      </c>
      <c r="B24" s="28" t="s">
        <v>2123</v>
      </c>
      <c r="C24" s="28" t="s">
        <v>161</v>
      </c>
      <c r="D24" s="28" t="s">
        <v>2143</v>
      </c>
      <c r="E24" s="28" t="s">
        <v>527</v>
      </c>
      <c r="F24" s="29">
        <v>1029665890.91</v>
      </c>
      <c r="G24" s="30">
        <v>1.0463168480298844E-2</v>
      </c>
      <c r="H24" s="29">
        <v>887041.41614032211</v>
      </c>
      <c r="I24" s="29">
        <v>9886526.2788680177</v>
      </c>
      <c r="J24" s="124">
        <f t="shared" si="2"/>
        <v>10773567.695008339</v>
      </c>
      <c r="K24" s="52" t="s">
        <v>74</v>
      </c>
      <c r="L24" s="108" t="s">
        <v>76</v>
      </c>
      <c r="M24" s="125">
        <f>VLOOKUP(L24,'РейтPD FRED Graph'!$R$4:$V$26,5,0)</f>
        <v>2.993571512778008E-3</v>
      </c>
      <c r="N24" s="126">
        <f t="shared" si="3"/>
        <v>3082378.4787073638</v>
      </c>
      <c r="O24" s="126">
        <f t="shared" si="4"/>
        <v>13855946.173715703</v>
      </c>
      <c r="Q24" s="129">
        <f t="shared" si="5"/>
        <v>0</v>
      </c>
    </row>
    <row r="25" spans="1:17" x14ac:dyDescent="0.25">
      <c r="A25" s="28" t="s">
        <v>41</v>
      </c>
      <c r="B25" s="28" t="s">
        <v>2123</v>
      </c>
      <c r="C25" s="28" t="s">
        <v>152</v>
      </c>
      <c r="D25" s="28" t="s">
        <v>2144</v>
      </c>
      <c r="E25" s="28" t="s">
        <v>498</v>
      </c>
      <c r="F25" s="29">
        <v>739196590.92999995</v>
      </c>
      <c r="G25" s="30">
        <v>1.3950891307065127E-2</v>
      </c>
      <c r="H25" s="29">
        <v>849075.40929955</v>
      </c>
      <c r="I25" s="29">
        <v>9463375.8853179626</v>
      </c>
      <c r="J25" s="124">
        <f t="shared" si="2"/>
        <v>10312451.294617513</v>
      </c>
      <c r="K25" s="52" t="s">
        <v>74</v>
      </c>
      <c r="L25" s="108" t="s">
        <v>76</v>
      </c>
      <c r="M25" s="125">
        <f>VLOOKUP(L25,'РейтPD FRED Graph'!$R$4:$V$26,5,0)</f>
        <v>2.993571512778008E-3</v>
      </c>
      <c r="N25" s="126">
        <f t="shared" si="3"/>
        <v>2212837.8569506663</v>
      </c>
      <c r="O25" s="126">
        <f t="shared" si="4"/>
        <v>12525289.15156818</v>
      </c>
      <c r="Q25" s="129">
        <f t="shared" si="5"/>
        <v>0</v>
      </c>
    </row>
    <row r="26" spans="1:17" x14ac:dyDescent="0.25">
      <c r="A26" s="28" t="s">
        <v>41</v>
      </c>
      <c r="B26" s="28" t="s">
        <v>2124</v>
      </c>
      <c r="C26" s="28" t="s">
        <v>162</v>
      </c>
      <c r="D26" s="28" t="s">
        <v>2145</v>
      </c>
      <c r="E26" s="28" t="s">
        <v>535</v>
      </c>
      <c r="F26" s="29">
        <v>911467494.06999981</v>
      </c>
      <c r="G26" s="30">
        <v>1.0463168480298844E-2</v>
      </c>
      <c r="H26" s="29">
        <v>785215.30512307968</v>
      </c>
      <c r="I26" s="29">
        <v>8751622.6496471167</v>
      </c>
      <c r="J26" s="124">
        <f t="shared" si="2"/>
        <v>9536837.9547701962</v>
      </c>
      <c r="K26" s="52" t="s">
        <v>74</v>
      </c>
      <c r="L26" s="108" t="s">
        <v>76</v>
      </c>
      <c r="M26" s="125">
        <f>VLOOKUP(L26,'РейтPD FRED Graph'!$R$4:$V$26,5,0)</f>
        <v>2.993571512778008E-3</v>
      </c>
      <c r="N26" s="126">
        <f t="shared" si="3"/>
        <v>2728543.1250711093</v>
      </c>
      <c r="O26" s="126">
        <f t="shared" si="4"/>
        <v>12265381.079841305</v>
      </c>
      <c r="Q26" s="129">
        <f t="shared" si="5"/>
        <v>0</v>
      </c>
    </row>
    <row r="27" spans="1:17" x14ac:dyDescent="0.25">
      <c r="A27" s="28" t="s">
        <v>41</v>
      </c>
      <c r="B27" s="28" t="s">
        <v>2123</v>
      </c>
      <c r="C27" s="28" t="s">
        <v>336</v>
      </c>
      <c r="D27" s="28" t="s">
        <v>2146</v>
      </c>
      <c r="E27" s="28" t="s">
        <v>499</v>
      </c>
      <c r="F27" s="29">
        <v>396932745.03999996</v>
      </c>
      <c r="G27" s="30">
        <v>0.10092766245929954</v>
      </c>
      <c r="H27" s="29">
        <v>8144373.0785864796</v>
      </c>
      <c r="I27" s="29">
        <v>31917121.03185384</v>
      </c>
      <c r="J27" s="124">
        <f t="shared" si="2"/>
        <v>40061494.110440321</v>
      </c>
      <c r="K27" s="52" t="s">
        <v>86</v>
      </c>
      <c r="L27" s="108" t="s">
        <v>86</v>
      </c>
      <c r="M27" s="125">
        <f>VLOOKUP(L27,'РейтPD FRED Graph'!$R$4:$V$26,5,0)</f>
        <v>2.8721928478474278E-2</v>
      </c>
      <c r="N27" s="126">
        <f t="shared" si="3"/>
        <v>11400673.913803345</v>
      </c>
      <c r="O27" s="126">
        <f t="shared" si="4"/>
        <v>51462168.024243668</v>
      </c>
      <c r="Q27" s="129">
        <f t="shared" si="5"/>
        <v>0</v>
      </c>
    </row>
    <row r="28" spans="1:17" x14ac:dyDescent="0.25">
      <c r="A28" s="28" t="s">
        <v>41</v>
      </c>
      <c r="B28" s="28" t="s">
        <v>2123</v>
      </c>
      <c r="C28" s="28" t="s">
        <v>103</v>
      </c>
      <c r="D28" s="28" t="s">
        <v>2147</v>
      </c>
      <c r="E28" s="28" t="s">
        <v>500</v>
      </c>
      <c r="F28" s="29">
        <v>608678407.74000001</v>
      </c>
      <c r="G28" s="30">
        <v>1.0463168480298844E-2</v>
      </c>
      <c r="H28" s="29">
        <v>524367.13844968867</v>
      </c>
      <c r="I28" s="29">
        <v>5844337.5920539675</v>
      </c>
      <c r="J28" s="124">
        <f t="shared" si="2"/>
        <v>6368704.730503656</v>
      </c>
      <c r="K28" s="52" t="s">
        <v>74</v>
      </c>
      <c r="L28" s="108" t="s">
        <v>78</v>
      </c>
      <c r="M28" s="125">
        <f>VLOOKUP(L28,'РейтPD FRED Graph'!$R$4:$V$26,5,0)</f>
        <v>4.3845995125304429E-3</v>
      </c>
      <c r="N28" s="126">
        <f t="shared" si="3"/>
        <v>2668811.0498646102</v>
      </c>
      <c r="O28" s="126">
        <f t="shared" si="4"/>
        <v>9037515.7803682666</v>
      </c>
      <c r="Q28" s="129">
        <f t="shared" si="5"/>
        <v>0</v>
      </c>
    </row>
    <row r="29" spans="1:17" x14ac:dyDescent="0.25">
      <c r="A29" s="28" t="s">
        <v>41</v>
      </c>
      <c r="B29" s="28" t="s">
        <v>2123</v>
      </c>
      <c r="C29" s="28" t="s">
        <v>137</v>
      </c>
      <c r="D29" s="28" t="s">
        <v>2148</v>
      </c>
      <c r="E29" s="28" t="s">
        <v>501</v>
      </c>
      <c r="F29" s="29">
        <v>1921478271.26</v>
      </c>
      <c r="G29" s="30">
        <v>4.919714419657685E-2</v>
      </c>
      <c r="H29" s="29">
        <v>10769778.401874142</v>
      </c>
      <c r="I29" s="29">
        <v>83761465.1798933</v>
      </c>
      <c r="J29" s="124">
        <f t="shared" si="2"/>
        <v>94531243.581767425</v>
      </c>
      <c r="K29" s="52" t="s">
        <v>80</v>
      </c>
      <c r="L29" s="108" t="s">
        <v>80</v>
      </c>
      <c r="M29" s="125">
        <f>VLOOKUP(L29,'РейтPD FRED Graph'!$R$4:$V$26,5,0)</f>
        <v>7.2473003878630905E-3</v>
      </c>
      <c r="N29" s="126">
        <f t="shared" si="3"/>
        <v>13925530.220573099</v>
      </c>
      <c r="O29" s="126">
        <f t="shared" si="4"/>
        <v>108456773.80234052</v>
      </c>
      <c r="Q29" s="129">
        <f t="shared" si="5"/>
        <v>-1.6763806343078613E-8</v>
      </c>
    </row>
    <row r="30" spans="1:17" ht="27.75" customHeight="1" x14ac:dyDescent="0.25">
      <c r="A30" s="28" t="s">
        <v>41</v>
      </c>
      <c r="B30" s="28" t="s">
        <v>2123</v>
      </c>
      <c r="C30" s="28" t="s">
        <v>137</v>
      </c>
      <c r="D30" s="28" t="s">
        <v>2149</v>
      </c>
      <c r="E30" s="28" t="s">
        <v>502</v>
      </c>
      <c r="F30" s="29">
        <v>1070437791.8199999</v>
      </c>
      <c r="G30" s="30">
        <v>4.919714419657685E-2</v>
      </c>
      <c r="H30" s="29">
        <v>5999744.0425559459</v>
      </c>
      <c r="I30" s="29">
        <v>46662738.355077907</v>
      </c>
      <c r="J30" s="124">
        <f t="shared" si="2"/>
        <v>52662482.397633851</v>
      </c>
      <c r="K30" s="52" t="s">
        <v>80</v>
      </c>
      <c r="L30" s="108" t="s">
        <v>80</v>
      </c>
      <c r="M30" s="125">
        <f>VLOOKUP(L30,'РейтPD FRED Graph'!$R$4:$V$26,5,0)</f>
        <v>7.2473003878630905E-3</v>
      </c>
      <c r="N30" s="126">
        <f t="shared" si="3"/>
        <v>7757784.2238403959</v>
      </c>
      <c r="O30" s="126">
        <f t="shared" si="4"/>
        <v>60420266.621474244</v>
      </c>
      <c r="Q30" s="129">
        <f t="shared" si="5"/>
        <v>0</v>
      </c>
    </row>
    <row r="31" spans="1:17" x14ac:dyDescent="0.25">
      <c r="A31" s="28" t="s">
        <v>41</v>
      </c>
      <c r="B31" s="28" t="s">
        <v>2123</v>
      </c>
      <c r="C31" s="28" t="s">
        <v>133</v>
      </c>
      <c r="D31" s="28" t="s">
        <v>2150</v>
      </c>
      <c r="E31" s="28" t="s">
        <v>503</v>
      </c>
      <c r="F31" s="29">
        <v>926412190.02999997</v>
      </c>
      <c r="G31" s="30">
        <v>2.5445769658936176E-2</v>
      </c>
      <c r="H31" s="29">
        <v>2369217.3824659456</v>
      </c>
      <c r="I31" s="29">
        <v>21204053.814268045</v>
      </c>
      <c r="J31" s="124">
        <f t="shared" si="2"/>
        <v>23573271.196733989</v>
      </c>
      <c r="K31" s="52" t="s">
        <v>78</v>
      </c>
      <c r="L31" s="52" t="s">
        <v>78</v>
      </c>
      <c r="M31" s="125">
        <f>VLOOKUP(L31,'РейтPD FRED Graph'!$R$4:$V$26,5,0)</f>
        <v>4.3845995125304429E-3</v>
      </c>
      <c r="N31" s="126">
        <f t="shared" si="3"/>
        <v>4061946.4368077978</v>
      </c>
      <c r="O31" s="126">
        <f t="shared" si="4"/>
        <v>27635217.633541785</v>
      </c>
      <c r="Q31" s="129">
        <f t="shared" si="5"/>
        <v>0</v>
      </c>
    </row>
    <row r="32" spans="1:17" x14ac:dyDescent="0.25">
      <c r="A32" s="28" t="s">
        <v>41</v>
      </c>
      <c r="B32" s="28" t="s">
        <v>2123</v>
      </c>
      <c r="C32" s="28" t="s">
        <v>336</v>
      </c>
      <c r="D32" s="28" t="s">
        <v>2151</v>
      </c>
      <c r="E32" s="28" t="s">
        <v>504</v>
      </c>
      <c r="F32" s="29">
        <v>678222767.74000001</v>
      </c>
      <c r="G32" s="30">
        <v>0.10092766245929954</v>
      </c>
      <c r="H32" s="29">
        <v>13915957.602110727</v>
      </c>
      <c r="I32" s="29">
        <v>54535480.9725639</v>
      </c>
      <c r="J32" s="124">
        <f t="shared" si="2"/>
        <v>68451438.574674636</v>
      </c>
      <c r="K32" s="52" t="s">
        <v>86</v>
      </c>
      <c r="L32" s="108" t="s">
        <v>86</v>
      </c>
      <c r="M32" s="125">
        <f>VLOOKUP(L32,'РейтPD FRED Graph'!$R$4:$V$26,5,0)</f>
        <v>2.8721928478474278E-2</v>
      </c>
      <c r="N32" s="126">
        <f t="shared" si="3"/>
        <v>19479865.827501152</v>
      </c>
      <c r="O32" s="126">
        <f t="shared" si="4"/>
        <v>87931304.402175784</v>
      </c>
      <c r="Q32" s="129">
        <f t="shared" si="5"/>
        <v>0</v>
      </c>
    </row>
    <row r="33" spans="1:17" x14ac:dyDescent="0.25">
      <c r="A33" s="28" t="s">
        <v>41</v>
      </c>
      <c r="B33" s="28" t="s">
        <v>2123</v>
      </c>
      <c r="C33" s="28" t="s">
        <v>478</v>
      </c>
      <c r="D33" s="28" t="s">
        <v>2152</v>
      </c>
      <c r="E33" s="28" t="s">
        <v>505</v>
      </c>
      <c r="F33" s="29">
        <v>680345463.51999998</v>
      </c>
      <c r="G33" s="30">
        <v>2.5445769658936176E-2</v>
      </c>
      <c r="H33" s="29">
        <v>1739923.454808207</v>
      </c>
      <c r="I33" s="29">
        <v>15571990.498423878</v>
      </c>
      <c r="J33" s="124">
        <f t="shared" si="2"/>
        <v>17311913.953232083</v>
      </c>
      <c r="K33" s="52" t="s">
        <v>78</v>
      </c>
      <c r="L33" s="108" t="s">
        <v>78</v>
      </c>
      <c r="M33" s="125">
        <f>VLOOKUP(L33,'РейтPD FRED Graph'!$R$4:$V$26,5,0)</f>
        <v>4.3845995125304429E-3</v>
      </c>
      <c r="N33" s="126">
        <f t="shared" si="3"/>
        <v>2983042.3877020902</v>
      </c>
      <c r="O33" s="126">
        <f t="shared" si="4"/>
        <v>20294956.340934172</v>
      </c>
      <c r="Q33" s="129">
        <f t="shared" si="5"/>
        <v>0</v>
      </c>
    </row>
    <row r="34" spans="1:17" ht="24.75" customHeight="1" x14ac:dyDescent="0.25">
      <c r="A34" s="28" t="s">
        <v>41</v>
      </c>
      <c r="B34" s="28" t="s">
        <v>2123</v>
      </c>
      <c r="C34" s="28" t="s">
        <v>142</v>
      </c>
      <c r="D34" s="28" t="s">
        <v>2153</v>
      </c>
      <c r="E34" s="28" t="s">
        <v>570</v>
      </c>
      <c r="F34" s="29">
        <v>403972240</v>
      </c>
      <c r="G34" s="30">
        <v>1.9110596344166456E-2</v>
      </c>
      <c r="H34" s="29">
        <v>718835.11422499095</v>
      </c>
      <c r="I34" s="29">
        <v>7001315.2986637428</v>
      </c>
      <c r="J34" s="124">
        <f t="shared" si="2"/>
        <v>7720150.4128887346</v>
      </c>
      <c r="K34" s="52" t="s">
        <v>76</v>
      </c>
      <c r="L34" s="108" t="s">
        <v>78</v>
      </c>
      <c r="M34" s="125">
        <f>VLOOKUP(L34,'РейтPD FRED Graph'!$R$4:$V$26,5,0)</f>
        <v>4.3845995125304429E-3</v>
      </c>
      <c r="N34" s="126">
        <f t="shared" si="3"/>
        <v>1771256.486579831</v>
      </c>
      <c r="O34" s="126">
        <f t="shared" si="4"/>
        <v>9491406.8994685654</v>
      </c>
      <c r="Q34" s="129">
        <f t="shared" si="5"/>
        <v>0</v>
      </c>
    </row>
    <row r="35" spans="1:17" x14ac:dyDescent="0.25">
      <c r="A35" s="28" t="s">
        <v>41</v>
      </c>
      <c r="B35" s="28" t="s">
        <v>2123</v>
      </c>
      <c r="C35" s="28" t="s">
        <v>104</v>
      </c>
      <c r="D35" s="28" t="s">
        <v>2154</v>
      </c>
      <c r="E35" s="28" t="s">
        <v>1105</v>
      </c>
      <c r="F35" s="29">
        <v>1058223120</v>
      </c>
      <c r="G35" s="30">
        <v>8.7229155996452999E-3</v>
      </c>
      <c r="H35" s="29">
        <v>737634.13384325255</v>
      </c>
      <c r="I35" s="29">
        <v>8493156.8275100682</v>
      </c>
      <c r="J35" s="124">
        <f t="shared" si="2"/>
        <v>9230790.9613533206</v>
      </c>
      <c r="K35" s="52" t="s">
        <v>72</v>
      </c>
      <c r="L35" s="108" t="s">
        <v>74</v>
      </c>
      <c r="M35" s="125">
        <f>VLOOKUP(L35,'РейтPD FRED Graph'!$R$4:$V$26,5,0)</f>
        <v>1.3579482538216754E-3</v>
      </c>
      <c r="N35" s="126">
        <f t="shared" si="3"/>
        <v>1437012.2379577253</v>
      </c>
      <c r="O35" s="126">
        <f t="shared" si="4"/>
        <v>10667803.199311046</v>
      </c>
      <c r="Q35" s="129">
        <f t="shared" si="5"/>
        <v>0</v>
      </c>
    </row>
    <row r="36" spans="1:17" x14ac:dyDescent="0.25">
      <c r="A36" s="28" t="s">
        <v>41</v>
      </c>
      <c r="B36" s="28" t="s">
        <v>2125</v>
      </c>
      <c r="C36" s="28" t="s">
        <v>132</v>
      </c>
      <c r="D36" s="28" t="s">
        <v>2155</v>
      </c>
      <c r="E36" s="28" t="s">
        <v>506</v>
      </c>
      <c r="F36" s="29">
        <v>219743965.81999999</v>
      </c>
      <c r="G36" s="30">
        <v>2.5445769658936176E-2</v>
      </c>
      <c r="H36" s="29">
        <v>561975.79124675307</v>
      </c>
      <c r="I36" s="29">
        <v>5029578.5469501112</v>
      </c>
      <c r="J36" s="124">
        <f t="shared" si="2"/>
        <v>5591554.3381968644</v>
      </c>
      <c r="K36" s="52" t="s">
        <v>78</v>
      </c>
      <c r="L36" s="108" t="s">
        <v>78</v>
      </c>
      <c r="M36" s="125">
        <f>VLOOKUP(L36,'РейтPD FRED Graph'!$R$4:$V$26,5,0)</f>
        <v>4.3845995125304429E-3</v>
      </c>
      <c r="N36" s="126">
        <f t="shared" si="3"/>
        <v>963489.28541587829</v>
      </c>
      <c r="O36" s="126">
        <f t="shared" si="4"/>
        <v>6555043.6236127429</v>
      </c>
      <c r="Q36" s="129">
        <f t="shared" si="5"/>
        <v>0</v>
      </c>
    </row>
    <row r="37" spans="1:17" x14ac:dyDescent="0.25">
      <c r="A37" s="28" t="s">
        <v>41</v>
      </c>
      <c r="B37" s="28" t="s">
        <v>2125</v>
      </c>
      <c r="C37" s="28" t="s">
        <v>154</v>
      </c>
      <c r="D37" s="28" t="s">
        <v>2156</v>
      </c>
      <c r="E37" s="28" t="s">
        <v>507</v>
      </c>
      <c r="F37" s="29">
        <v>35894701.090000004</v>
      </c>
      <c r="G37" s="30">
        <v>1.0463168480298844E-2</v>
      </c>
      <c r="H37" s="29">
        <v>30922.735974741747</v>
      </c>
      <c r="I37" s="29">
        <v>344649.56907989486</v>
      </c>
      <c r="J37" s="124">
        <f t="shared" si="2"/>
        <v>375572.30505463661</v>
      </c>
      <c r="K37" s="52" t="s">
        <v>74</v>
      </c>
      <c r="L37" s="108" t="s">
        <v>76</v>
      </c>
      <c r="M37" s="125">
        <f>VLOOKUP(L37,'РейтPD FRED Graph'!$R$4:$V$26,5,0)</f>
        <v>2.993571512778008E-3</v>
      </c>
      <c r="N37" s="126">
        <f t="shared" si="3"/>
        <v>107453.35464270573</v>
      </c>
      <c r="O37" s="126">
        <f t="shared" si="4"/>
        <v>483025.65969734231</v>
      </c>
      <c r="Q37" s="129">
        <f t="shared" si="5"/>
        <v>0</v>
      </c>
    </row>
    <row r="38" spans="1:17" x14ac:dyDescent="0.25">
      <c r="A38" s="28" t="s">
        <v>41</v>
      </c>
      <c r="B38" s="28" t="s">
        <v>2125</v>
      </c>
      <c r="C38" s="28" t="s">
        <v>144</v>
      </c>
      <c r="D38" s="28" t="s">
        <v>2157</v>
      </c>
      <c r="E38" s="28" t="s">
        <v>508</v>
      </c>
      <c r="F38" s="29">
        <v>50342023.920000002</v>
      </c>
      <c r="G38" s="30">
        <v>2.5480795125555275E-2</v>
      </c>
      <c r="H38" s="29">
        <v>119439.27802184437</v>
      </c>
      <c r="I38" s="29">
        <v>1163315.5196894787</v>
      </c>
      <c r="J38" s="124">
        <f t="shared" si="2"/>
        <v>1282754.797711323</v>
      </c>
      <c r="K38" s="52" t="s">
        <v>76</v>
      </c>
      <c r="L38" s="108" t="s">
        <v>78</v>
      </c>
      <c r="M38" s="125">
        <f>VLOOKUP(L38,'РейтPD FRED Graph'!$R$4:$V$26,5,0)</f>
        <v>4.3845995125304429E-3</v>
      </c>
      <c r="N38" s="126">
        <f t="shared" si="3"/>
        <v>220729.6135394279</v>
      </c>
      <c r="O38" s="126">
        <f t="shared" si="4"/>
        <v>1503484.411250751</v>
      </c>
      <c r="Q38" s="129">
        <f t="shared" si="5"/>
        <v>0</v>
      </c>
    </row>
    <row r="39" spans="1:17" x14ac:dyDescent="0.25">
      <c r="A39" s="28" t="s">
        <v>41</v>
      </c>
      <c r="B39" s="28" t="s">
        <v>2125</v>
      </c>
      <c r="C39" s="28" t="s">
        <v>132</v>
      </c>
      <c r="D39" s="28" t="s">
        <v>2158</v>
      </c>
      <c r="E39" s="28" t="s">
        <v>509</v>
      </c>
      <c r="F39" s="29">
        <v>482664478.94</v>
      </c>
      <c r="G39" s="30">
        <v>2.5445769658936176E-2</v>
      </c>
      <c r="H39" s="29">
        <v>1234371.790127767</v>
      </c>
      <c r="I39" s="29">
        <v>11047397.363529924</v>
      </c>
      <c r="J39" s="124">
        <f t="shared" si="2"/>
        <v>12281769.153657692</v>
      </c>
      <c r="K39" s="52" t="s">
        <v>78</v>
      </c>
      <c r="L39" s="108" t="s">
        <v>78</v>
      </c>
      <c r="M39" s="125">
        <f>VLOOKUP(L39,'РейтPD FRED Graph'!$R$4:$V$26,5,0)</f>
        <v>4.3845995125304429E-3</v>
      </c>
      <c r="N39" s="126">
        <f t="shared" si="3"/>
        <v>2116290.4390760842</v>
      </c>
      <c r="O39" s="126">
        <f t="shared" si="4"/>
        <v>14398059.592733776</v>
      </c>
      <c r="Q39" s="129">
        <f t="shared" si="5"/>
        <v>0</v>
      </c>
    </row>
    <row r="40" spans="1:17" x14ac:dyDescent="0.25">
      <c r="A40" s="28" t="s">
        <v>41</v>
      </c>
      <c r="B40" s="28" t="s">
        <v>2125</v>
      </c>
      <c r="C40" s="28" t="s">
        <v>132</v>
      </c>
      <c r="D40" s="28" t="s">
        <v>2159</v>
      </c>
      <c r="E40" s="28" t="s">
        <v>510</v>
      </c>
      <c r="F40" s="29">
        <v>582062742.75999999</v>
      </c>
      <c r="G40" s="30">
        <v>2.5445769658936176E-2</v>
      </c>
      <c r="H40" s="29">
        <v>1488574.0739099502</v>
      </c>
      <c r="I40" s="29">
        <v>13322460.40540963</v>
      </c>
      <c r="J40" s="124">
        <f t="shared" ref="J40:J71" si="6">F40*G40</f>
        <v>14811034.47931958</v>
      </c>
      <c r="K40" s="52" t="s">
        <v>78</v>
      </c>
      <c r="L40" s="108" t="s">
        <v>78</v>
      </c>
      <c r="M40" s="125">
        <f>VLOOKUP(L40,'РейтPD FRED Graph'!$R$4:$V$26,5,0)</f>
        <v>4.3845995125304429E-3</v>
      </c>
      <c r="N40" s="126">
        <f t="shared" si="3"/>
        <v>2552112.0181676284</v>
      </c>
      <c r="O40" s="126">
        <f t="shared" si="4"/>
        <v>17363146.49748721</v>
      </c>
      <c r="Q40" s="129">
        <f t="shared" si="5"/>
        <v>0</v>
      </c>
    </row>
    <row r="41" spans="1:17" x14ac:dyDescent="0.25">
      <c r="A41" s="28" t="s">
        <v>41</v>
      </c>
      <c r="B41" s="28" t="s">
        <v>2125</v>
      </c>
      <c r="C41" s="28" t="s">
        <v>156</v>
      </c>
      <c r="D41" s="28" t="s">
        <v>2160</v>
      </c>
      <c r="E41" s="28" t="s">
        <v>511</v>
      </c>
      <c r="F41" s="29">
        <v>565753025.93999982</v>
      </c>
      <c r="G41" s="30">
        <v>3.6897858147432641E-2</v>
      </c>
      <c r="H41" s="29">
        <v>2378260.5861455072</v>
      </c>
      <c r="I41" s="29">
        <v>18496814.311469384</v>
      </c>
      <c r="J41" s="124">
        <f t="shared" si="6"/>
        <v>20875074.897614893</v>
      </c>
      <c r="K41" s="52" t="s">
        <v>80</v>
      </c>
      <c r="L41" s="108" t="s">
        <v>80</v>
      </c>
      <c r="M41" s="125">
        <f>VLOOKUP(L41,'РейтPD FRED Graph'!$R$4:$V$26,5,0)</f>
        <v>7.2473003878630905E-3</v>
      </c>
      <c r="N41" s="126">
        <f t="shared" si="3"/>
        <v>4100182.1243296778</v>
      </c>
      <c r="O41" s="126">
        <f t="shared" si="4"/>
        <v>24975257.021944571</v>
      </c>
      <c r="Q41" s="129">
        <f t="shared" si="5"/>
        <v>0</v>
      </c>
    </row>
    <row r="42" spans="1:17" x14ac:dyDescent="0.25">
      <c r="A42" s="28" t="s">
        <v>41</v>
      </c>
      <c r="B42" s="28" t="s">
        <v>2125</v>
      </c>
      <c r="C42" s="28" t="s">
        <v>132</v>
      </c>
      <c r="D42" s="28" t="s">
        <v>2161</v>
      </c>
      <c r="E42" s="28" t="s">
        <v>512</v>
      </c>
      <c r="F42" s="29">
        <v>597068354.92999995</v>
      </c>
      <c r="G42" s="30">
        <v>2.5445769658936176E-2</v>
      </c>
      <c r="H42" s="29">
        <v>1526949.6021794511</v>
      </c>
      <c r="I42" s="29">
        <v>13665914.228009278</v>
      </c>
      <c r="J42" s="124">
        <f t="shared" si="6"/>
        <v>15192863.830188729</v>
      </c>
      <c r="K42" s="52" t="s">
        <v>78</v>
      </c>
      <c r="L42" s="108" t="s">
        <v>78</v>
      </c>
      <c r="M42" s="125">
        <f>VLOOKUP(L42,'РейтPD FRED Graph'!$R$4:$V$26,5,0)</f>
        <v>4.3845995125304429E-3</v>
      </c>
      <c r="N42" s="126">
        <f t="shared" si="3"/>
        <v>2617905.617973431</v>
      </c>
      <c r="O42" s="126">
        <f t="shared" si="4"/>
        <v>17810769.448162161</v>
      </c>
      <c r="Q42" s="129">
        <f t="shared" si="5"/>
        <v>0</v>
      </c>
    </row>
    <row r="43" spans="1:17" x14ac:dyDescent="0.25">
      <c r="A43" s="28" t="s">
        <v>41</v>
      </c>
      <c r="B43" s="28" t="s">
        <v>2125</v>
      </c>
      <c r="C43" s="28" t="s">
        <v>156</v>
      </c>
      <c r="D43" s="28" t="s">
        <v>2162</v>
      </c>
      <c r="E43" s="28" t="s">
        <v>513</v>
      </c>
      <c r="F43" s="29">
        <v>148279562.10000002</v>
      </c>
      <c r="G43" s="30">
        <v>3.6897858147432641E-2</v>
      </c>
      <c r="H43" s="29">
        <v>623323.99846632848</v>
      </c>
      <c r="I43" s="29">
        <v>4847874.2500629015</v>
      </c>
      <c r="J43" s="124">
        <f t="shared" si="6"/>
        <v>5471198.2485292302</v>
      </c>
      <c r="K43" s="52" t="s">
        <v>80</v>
      </c>
      <c r="L43" s="108" t="s">
        <v>80</v>
      </c>
      <c r="M43" s="125">
        <f>VLOOKUP(L43,'РейтPD FRED Graph'!$R$4:$V$26,5,0)</f>
        <v>7.2473003878630905E-3</v>
      </c>
      <c r="N43" s="126">
        <f t="shared" si="3"/>
        <v>1074626.5279194994</v>
      </c>
      <c r="O43" s="126">
        <f t="shared" si="4"/>
        <v>6545824.7764487294</v>
      </c>
      <c r="Q43" s="129">
        <f t="shared" si="5"/>
        <v>0</v>
      </c>
    </row>
    <row r="44" spans="1:17" x14ac:dyDescent="0.25">
      <c r="A44" s="28" t="s">
        <v>41</v>
      </c>
      <c r="B44" s="28" t="s">
        <v>2125</v>
      </c>
      <c r="C44" s="28" t="s">
        <v>132</v>
      </c>
      <c r="D44" s="28" t="s">
        <v>2163</v>
      </c>
      <c r="E44" s="28" t="s">
        <v>514</v>
      </c>
      <c r="F44" s="29">
        <v>375651822.47999996</v>
      </c>
      <c r="G44" s="30">
        <v>2.5445769658936176E-2</v>
      </c>
      <c r="H44" s="29">
        <v>960696.36944847042</v>
      </c>
      <c r="I44" s="29">
        <v>8598053.3773371913</v>
      </c>
      <c r="J44" s="124">
        <f t="shared" si="6"/>
        <v>9558749.7467856612</v>
      </c>
      <c r="K44" s="52" t="s">
        <v>78</v>
      </c>
      <c r="L44" s="108" t="s">
        <v>78</v>
      </c>
      <c r="M44" s="125">
        <f>VLOOKUP(L44,'РейтPD FRED Graph'!$R$4:$V$26,5,0)</f>
        <v>4.3845995125304429E-3</v>
      </c>
      <c r="N44" s="126">
        <f t="shared" si="3"/>
        <v>1647082.7977269802</v>
      </c>
      <c r="O44" s="126">
        <f t="shared" si="4"/>
        <v>11205832.544512641</v>
      </c>
      <c r="Q44" s="129">
        <f t="shared" si="5"/>
        <v>0</v>
      </c>
    </row>
    <row r="45" spans="1:17" x14ac:dyDescent="0.25">
      <c r="A45" s="28" t="s">
        <v>41</v>
      </c>
      <c r="B45" s="28" t="s">
        <v>2125</v>
      </c>
      <c r="C45" s="28" t="s">
        <v>2188</v>
      </c>
      <c r="D45" s="28" t="s">
        <v>2164</v>
      </c>
      <c r="E45" s="28" t="s">
        <v>515</v>
      </c>
      <c r="F45" s="29">
        <v>1227888170.95</v>
      </c>
      <c r="G45" s="30">
        <v>1.0463168480298844E-2</v>
      </c>
      <c r="H45" s="29">
        <v>1057806.8785582804</v>
      </c>
      <c r="I45" s="29">
        <v>11789793.929057559</v>
      </c>
      <c r="J45" s="124">
        <f t="shared" si="6"/>
        <v>12847600.807615839</v>
      </c>
      <c r="K45" s="52" t="s">
        <v>74</v>
      </c>
      <c r="L45" s="108" t="s">
        <v>74</v>
      </c>
      <c r="M45" s="125">
        <f>VLOOKUP(L45,'РейтPD FRED Graph'!$R$4:$V$26,5,0)</f>
        <v>1.3579482538216754E-3</v>
      </c>
      <c r="N45" s="126">
        <f t="shared" si="3"/>
        <v>1667408.5976298433</v>
      </c>
      <c r="O45" s="126">
        <f t="shared" si="4"/>
        <v>14515009.405245682</v>
      </c>
      <c r="Q45" s="129">
        <f t="shared" si="5"/>
        <v>0</v>
      </c>
    </row>
    <row r="46" spans="1:17" x14ac:dyDescent="0.25">
      <c r="A46" s="28" t="s">
        <v>41</v>
      </c>
      <c r="B46" s="28" t="s">
        <v>2125</v>
      </c>
      <c r="C46" s="28" t="s">
        <v>144</v>
      </c>
      <c r="D46" s="28" t="s">
        <v>2165</v>
      </c>
      <c r="E46" s="28" t="s">
        <v>516</v>
      </c>
      <c r="F46" s="29">
        <v>1011880748.49</v>
      </c>
      <c r="G46" s="30">
        <v>2.5480795125555275E-2</v>
      </c>
      <c r="H46" s="29">
        <v>2400743.8841932258</v>
      </c>
      <c r="I46" s="29">
        <v>23382782.159573987</v>
      </c>
      <c r="J46" s="124">
        <f t="shared" si="6"/>
        <v>25783526.043767214</v>
      </c>
      <c r="K46" s="52" t="s">
        <v>76</v>
      </c>
      <c r="L46" s="52" t="s">
        <v>78</v>
      </c>
      <c r="M46" s="125">
        <f>VLOOKUP(L46,'РейтPD FRED Graph'!$R$4:$V$26,5,0)</f>
        <v>4.3845995125304429E-3</v>
      </c>
      <c r="N46" s="126">
        <f t="shared" si="3"/>
        <v>4436691.8365681935</v>
      </c>
      <c r="O46" s="126">
        <f t="shared" si="4"/>
        <v>30220217.880335405</v>
      </c>
      <c r="Q46" s="129">
        <f t="shared" si="5"/>
        <v>0</v>
      </c>
    </row>
    <row r="47" spans="1:17" x14ac:dyDescent="0.25">
      <c r="A47" s="28" t="s">
        <v>41</v>
      </c>
      <c r="B47" s="28" t="s">
        <v>2125</v>
      </c>
      <c r="C47" s="28" t="s">
        <v>158</v>
      </c>
      <c r="D47" s="28" t="s">
        <v>2166</v>
      </c>
      <c r="E47" s="28" t="s">
        <v>517</v>
      </c>
      <c r="F47" s="29">
        <v>500481500.92000002</v>
      </c>
      <c r="G47" s="30">
        <v>1.3950891307065127E-2</v>
      </c>
      <c r="H47" s="29">
        <v>574876.21081405052</v>
      </c>
      <c r="I47" s="29">
        <v>6407286.809717685</v>
      </c>
      <c r="J47" s="124">
        <f t="shared" si="6"/>
        <v>6982163.0205317354</v>
      </c>
      <c r="K47" s="52" t="s">
        <v>74</v>
      </c>
      <c r="L47" s="52" t="s">
        <v>76</v>
      </c>
      <c r="M47" s="125">
        <f>VLOOKUP(L47,'РейтPD FRED Graph'!$R$4:$V$26,5,0)</f>
        <v>2.993571512778008E-3</v>
      </c>
      <c r="N47" s="126">
        <f t="shared" si="3"/>
        <v>1498227.1638264924</v>
      </c>
      <c r="O47" s="126">
        <f t="shared" si="4"/>
        <v>8480390.184358228</v>
      </c>
      <c r="Q47" s="129">
        <f t="shared" si="5"/>
        <v>0</v>
      </c>
    </row>
    <row r="48" spans="1:17" x14ac:dyDescent="0.25">
      <c r="A48" s="28" t="s">
        <v>41</v>
      </c>
      <c r="B48" s="28" t="s">
        <v>2125</v>
      </c>
      <c r="C48" s="28" t="s">
        <v>2188</v>
      </c>
      <c r="D48" s="28" t="s">
        <v>2167</v>
      </c>
      <c r="E48" s="28" t="s">
        <v>518</v>
      </c>
      <c r="F48" s="29">
        <v>2083515840.8399999</v>
      </c>
      <c r="G48" s="30">
        <v>1.0463168480298844E-2</v>
      </c>
      <c r="H48" s="29">
        <v>1794917.0292279306</v>
      </c>
      <c r="I48" s="29">
        <v>20005260.244852502</v>
      </c>
      <c r="J48" s="124">
        <f t="shared" si="6"/>
        <v>21800177.274080429</v>
      </c>
      <c r="K48" s="52" t="s">
        <v>74</v>
      </c>
      <c r="L48" s="108" t="s">
        <v>74</v>
      </c>
      <c r="M48" s="125">
        <f>VLOOKUP(L48,'РейтPD FRED Graph'!$R$4:$V$26,5,0)</f>
        <v>1.3579482538216754E-3</v>
      </c>
      <c r="N48" s="126">
        <f t="shared" si="3"/>
        <v>2829306.6978784776</v>
      </c>
      <c r="O48" s="126">
        <f t="shared" si="4"/>
        <v>24629483.971958905</v>
      </c>
      <c r="Q48" s="129">
        <f t="shared" si="5"/>
        <v>-3.2596290111541748E-9</v>
      </c>
    </row>
    <row r="49" spans="1:17" x14ac:dyDescent="0.25">
      <c r="A49" s="28" t="s">
        <v>41</v>
      </c>
      <c r="B49" s="28" t="s">
        <v>2125</v>
      </c>
      <c r="C49" s="28" t="s">
        <v>159</v>
      </c>
      <c r="D49" s="28" t="s">
        <v>2168</v>
      </c>
      <c r="E49" s="28" t="s">
        <v>519</v>
      </c>
      <c r="F49" s="29">
        <v>2061989210.8499999</v>
      </c>
      <c r="G49" s="30">
        <v>1.9110596344166456E-2</v>
      </c>
      <c r="H49" s="29">
        <v>3669138.8742752685</v>
      </c>
      <c r="I49" s="29">
        <v>35736704.600305416</v>
      </c>
      <c r="J49" s="124">
        <f t="shared" si="6"/>
        <v>39405843.474580683</v>
      </c>
      <c r="K49" s="52" t="s">
        <v>76</v>
      </c>
      <c r="L49" s="108" t="s">
        <v>78</v>
      </c>
      <c r="M49" s="125">
        <f>VLOOKUP(L49,'РейтPD FRED Graph'!$R$4:$V$26,5,0)</f>
        <v>4.3845995125304429E-3</v>
      </c>
      <c r="N49" s="126">
        <f t="shared" si="3"/>
        <v>9040996.8887359425</v>
      </c>
      <c r="O49" s="126">
        <f t="shared" si="4"/>
        <v>48446840.363316625</v>
      </c>
      <c r="Q49" s="129">
        <f t="shared" si="5"/>
        <v>0</v>
      </c>
    </row>
    <row r="50" spans="1:17" x14ac:dyDescent="0.25">
      <c r="A50" s="28" t="s">
        <v>41</v>
      </c>
      <c r="B50" s="28" t="s">
        <v>2125</v>
      </c>
      <c r="C50" s="28" t="s">
        <v>144</v>
      </c>
      <c r="D50" s="28" t="s">
        <v>2169</v>
      </c>
      <c r="E50" s="28" t="s">
        <v>489</v>
      </c>
      <c r="F50" s="29">
        <v>1320624344.8099999</v>
      </c>
      <c r="G50" s="30">
        <v>2.5480795125555275E-2</v>
      </c>
      <c r="H50" s="29">
        <v>3133255.3997598123</v>
      </c>
      <c r="I50" s="29">
        <v>30517302.968164459</v>
      </c>
      <c r="J50" s="124">
        <f t="shared" si="6"/>
        <v>33650558.367924273</v>
      </c>
      <c r="K50" s="52" t="s">
        <v>76</v>
      </c>
      <c r="L50" s="108" t="s">
        <v>78</v>
      </c>
      <c r="M50" s="125">
        <f>VLOOKUP(L50,'РейтPD FRED Graph'!$R$4:$V$26,5,0)</f>
        <v>4.3845995125304429E-3</v>
      </c>
      <c r="N50" s="126">
        <f t="shared" si="3"/>
        <v>5790408.8584897611</v>
      </c>
      <c r="O50" s="126">
        <f t="shared" si="4"/>
        <v>39440967.226414032</v>
      </c>
      <c r="Q50" s="129">
        <f t="shared" si="5"/>
        <v>0</v>
      </c>
    </row>
    <row r="51" spans="1:17" x14ac:dyDescent="0.25">
      <c r="A51" s="28" t="s">
        <v>41</v>
      </c>
      <c r="B51" s="28" t="s">
        <v>2125</v>
      </c>
      <c r="C51" s="28" t="s">
        <v>340</v>
      </c>
      <c r="D51" s="28" t="s">
        <v>2170</v>
      </c>
      <c r="E51" s="28" t="s">
        <v>520</v>
      </c>
      <c r="F51" s="29">
        <v>622438233.86000001</v>
      </c>
      <c r="G51" s="30">
        <v>3.6897858147432641E-2</v>
      </c>
      <c r="H51" s="29">
        <v>2616548.6546708304</v>
      </c>
      <c r="I51" s="29">
        <v>20350089.003833953</v>
      </c>
      <c r="J51" s="124">
        <f t="shared" si="6"/>
        <v>22966637.658504784</v>
      </c>
      <c r="K51" s="52" t="s">
        <v>80</v>
      </c>
      <c r="L51" s="108" t="s">
        <v>80</v>
      </c>
      <c r="M51" s="125">
        <f>VLOOKUP(L51,'РейтPD FRED Graph'!$R$4:$V$26,5,0)</f>
        <v>7.2473003878630905E-3</v>
      </c>
      <c r="N51" s="126">
        <f t="shared" si="3"/>
        <v>4510996.853674395</v>
      </c>
      <c r="O51" s="126">
        <f t="shared" si="4"/>
        <v>27477634.512179181</v>
      </c>
      <c r="Q51" s="129">
        <f t="shared" si="5"/>
        <v>0</v>
      </c>
    </row>
    <row r="52" spans="1:17" x14ac:dyDescent="0.25">
      <c r="A52" s="28" t="s">
        <v>41</v>
      </c>
      <c r="B52" s="28" t="s">
        <v>2125</v>
      </c>
      <c r="C52" s="28" t="s">
        <v>147</v>
      </c>
      <c r="D52" s="28" t="s">
        <v>2171</v>
      </c>
      <c r="E52" s="28" t="s">
        <v>521</v>
      </c>
      <c r="F52" s="29">
        <v>1448473262.6500001</v>
      </c>
      <c r="G52" s="30">
        <v>1.0463168480298844E-2</v>
      </c>
      <c r="H52" s="29">
        <v>1247837.5611791089</v>
      </c>
      <c r="I52" s="29">
        <v>13907782.225136003</v>
      </c>
      <c r="J52" s="124">
        <f t="shared" si="6"/>
        <v>15155619.78631511</v>
      </c>
      <c r="K52" s="52" t="s">
        <v>74</v>
      </c>
      <c r="L52" s="52" t="s">
        <v>74</v>
      </c>
      <c r="M52" s="125">
        <f>VLOOKUP(L52,'РейтPD FRED Graph'!$R$4:$V$26,5,0)</f>
        <v>1.3579482538216754E-3</v>
      </c>
      <c r="N52" s="126">
        <f t="shared" si="3"/>
        <v>1966951.7377229526</v>
      </c>
      <c r="O52" s="126">
        <f t="shared" si="4"/>
        <v>17122571.524038061</v>
      </c>
      <c r="Q52" s="129">
        <f t="shared" si="5"/>
        <v>-1.862645149230957E-9</v>
      </c>
    </row>
    <row r="53" spans="1:17" x14ac:dyDescent="0.25">
      <c r="A53" s="28" t="s">
        <v>41</v>
      </c>
      <c r="B53" s="28" t="s">
        <v>2125</v>
      </c>
      <c r="C53" s="28" t="s">
        <v>200</v>
      </c>
      <c r="D53" s="28" t="s">
        <v>2172</v>
      </c>
      <c r="E53" s="28" t="s">
        <v>522</v>
      </c>
      <c r="F53" s="29">
        <v>1512691098.1700001</v>
      </c>
      <c r="G53" s="30">
        <v>1.0463168480298844E-2</v>
      </c>
      <c r="H53" s="29">
        <v>1303160.2442591356</v>
      </c>
      <c r="I53" s="29">
        <v>14524381.574541854</v>
      </c>
      <c r="J53" s="124">
        <f t="shared" si="6"/>
        <v>15827541.81880099</v>
      </c>
      <c r="K53" s="52" t="s">
        <v>74</v>
      </c>
      <c r="L53" s="108" t="s">
        <v>74</v>
      </c>
      <c r="M53" s="125">
        <f>VLOOKUP(L53,'РейтPD FRED Graph'!$R$4:$V$26,5,0)</f>
        <v>1.3579482538216754E-3</v>
      </c>
      <c r="N53" s="126">
        <f t="shared" si="3"/>
        <v>2054156.2353315442</v>
      </c>
      <c r="O53" s="126">
        <f t="shared" si="4"/>
        <v>17881698.054132532</v>
      </c>
      <c r="Q53" s="129">
        <f t="shared" si="5"/>
        <v>0</v>
      </c>
    </row>
    <row r="54" spans="1:17" x14ac:dyDescent="0.25">
      <c r="A54" s="28" t="s">
        <v>41</v>
      </c>
      <c r="B54" s="28" t="s">
        <v>2125</v>
      </c>
      <c r="C54" s="28" t="s">
        <v>155</v>
      </c>
      <c r="D54" s="28" t="s">
        <v>2173</v>
      </c>
      <c r="E54" s="28" t="s">
        <v>524</v>
      </c>
      <c r="F54" s="29">
        <v>1318031000</v>
      </c>
      <c r="G54" s="30">
        <v>7.6645829511292583E-3</v>
      </c>
      <c r="H54" s="29">
        <v>760758.62098870357</v>
      </c>
      <c r="I54" s="29">
        <v>9341399.3106711432</v>
      </c>
      <c r="J54" s="124">
        <f t="shared" si="6"/>
        <v>10102157.931659847</v>
      </c>
      <c r="K54" s="52" t="s">
        <v>70</v>
      </c>
      <c r="L54" s="108" t="s">
        <v>70</v>
      </c>
      <c r="M54" s="125">
        <f>VLOOKUP(L54,'РейтPD FRED Graph'!$R$4:$V$26,5,0)</f>
        <v>6.2679332166728846E-4</v>
      </c>
      <c r="N54" s="126">
        <f t="shared" si="3"/>
        <v>826133.02855045791</v>
      </c>
      <c r="O54" s="126">
        <f t="shared" si="4"/>
        <v>10928290.960210305</v>
      </c>
      <c r="Q54" s="129">
        <f t="shared" si="5"/>
        <v>0</v>
      </c>
    </row>
    <row r="55" spans="1:17" x14ac:dyDescent="0.25">
      <c r="A55" s="28" t="s">
        <v>41</v>
      </c>
      <c r="B55" s="28" t="s">
        <v>2125</v>
      </c>
      <c r="C55" s="28" t="s">
        <v>138</v>
      </c>
      <c r="D55" s="28" t="s">
        <v>2174</v>
      </c>
      <c r="E55" s="28" t="s">
        <v>525</v>
      </c>
      <c r="F55" s="29">
        <v>642434615.29999995</v>
      </c>
      <c r="G55" s="30">
        <v>5.8927158902003771E-2</v>
      </c>
      <c r="H55" s="29">
        <v>5378049.7016915744</v>
      </c>
      <c r="I55" s="29">
        <v>32478796.958239187</v>
      </c>
      <c r="J55" s="124">
        <f t="shared" si="6"/>
        <v>37856846.659930758</v>
      </c>
      <c r="K55" s="52" t="s">
        <v>82</v>
      </c>
      <c r="L55" s="108" t="s">
        <v>82</v>
      </c>
      <c r="M55" s="125">
        <f>VLOOKUP(L55,'РейтPD FRED Graph'!$R$4:$V$26,5,0)</f>
        <v>1.3812666951430758E-2</v>
      </c>
      <c r="N55" s="126">
        <f t="shared" si="3"/>
        <v>8873735.3792094421</v>
      </c>
      <c r="O55" s="126">
        <f t="shared" si="4"/>
        <v>46730582.039140202</v>
      </c>
      <c r="Q55" s="129">
        <f t="shared" si="5"/>
        <v>0</v>
      </c>
    </row>
    <row r="56" spans="1:17" x14ac:dyDescent="0.25">
      <c r="A56" s="28" t="s">
        <v>41</v>
      </c>
      <c r="B56" s="28" t="s">
        <v>2125</v>
      </c>
      <c r="C56" s="28" t="s">
        <v>160</v>
      </c>
      <c r="D56" s="28" t="s">
        <v>2175</v>
      </c>
      <c r="E56" s="28" t="s">
        <v>526</v>
      </c>
      <c r="F56" s="29">
        <v>75999969.049999997</v>
      </c>
      <c r="G56" s="30">
        <v>2.5445769658936176E-2</v>
      </c>
      <c r="H56" s="29">
        <v>194363.21075859651</v>
      </c>
      <c r="I56" s="29">
        <v>1739514.495773982</v>
      </c>
      <c r="J56" s="124">
        <f t="shared" si="6"/>
        <v>1933877.7065325784</v>
      </c>
      <c r="K56" s="52" t="s">
        <v>78</v>
      </c>
      <c r="L56" s="52" t="s">
        <v>78</v>
      </c>
      <c r="M56" s="125">
        <f>VLOOKUP(L56,'РейтPD FRED Graph'!$R$4:$V$26,5,0)</f>
        <v>4.3845995125304429E-3</v>
      </c>
      <c r="N56" s="126">
        <f t="shared" si="3"/>
        <v>333229.42724895873</v>
      </c>
      <c r="O56" s="126">
        <f t="shared" si="4"/>
        <v>2267107.1337815374</v>
      </c>
      <c r="Q56" s="129">
        <f t="shared" si="5"/>
        <v>0</v>
      </c>
    </row>
    <row r="57" spans="1:17" x14ac:dyDescent="0.25">
      <c r="A57" s="28" t="s">
        <v>41</v>
      </c>
      <c r="B57" s="28" t="s">
        <v>2125</v>
      </c>
      <c r="C57" s="28" t="s">
        <v>230</v>
      </c>
      <c r="D57" s="28" t="s">
        <v>2176</v>
      </c>
      <c r="E57" s="28" t="s">
        <v>528</v>
      </c>
      <c r="F57" s="29">
        <v>312832676.01999998</v>
      </c>
      <c r="G57" s="30">
        <v>1.9110596344166456E-2</v>
      </c>
      <c r="H57" s="29">
        <v>556659.8150411183</v>
      </c>
      <c r="I57" s="29">
        <v>5421759.1796425022</v>
      </c>
      <c r="J57" s="124">
        <f t="shared" si="6"/>
        <v>5978418.9946836215</v>
      </c>
      <c r="K57" s="52" t="s">
        <v>76</v>
      </c>
      <c r="L57" s="108" t="s">
        <v>76</v>
      </c>
      <c r="M57" s="125">
        <f>VLOOKUP(L57,'РейтPD FRED Graph'!$R$4:$V$26,5,0)</f>
        <v>2.993571512778008E-3</v>
      </c>
      <c r="N57" s="126">
        <f t="shared" si="3"/>
        <v>936486.98719958379</v>
      </c>
      <c r="O57" s="126">
        <f t="shared" si="4"/>
        <v>6914905.9818832055</v>
      </c>
      <c r="Q57" s="129">
        <f t="shared" si="5"/>
        <v>9.3132257461547852E-10</v>
      </c>
    </row>
    <row r="58" spans="1:17" x14ac:dyDescent="0.25">
      <c r="A58" s="28" t="s">
        <v>41</v>
      </c>
      <c r="B58" s="28" t="s">
        <v>2125</v>
      </c>
      <c r="C58" s="28" t="s">
        <v>230</v>
      </c>
      <c r="D58" s="28" t="s">
        <v>2177</v>
      </c>
      <c r="E58" s="28" t="s">
        <v>529</v>
      </c>
      <c r="F58" s="29">
        <v>208686699.88</v>
      </c>
      <c r="G58" s="30">
        <v>1.9110596344166456E-2</v>
      </c>
      <c r="H58" s="29">
        <v>371340.68357141619</v>
      </c>
      <c r="I58" s="29">
        <v>3616786.6002314738</v>
      </c>
      <c r="J58" s="124">
        <f t="shared" si="6"/>
        <v>3988127.2838028902</v>
      </c>
      <c r="K58" s="52" t="s">
        <v>76</v>
      </c>
      <c r="L58" s="108" t="s">
        <v>76</v>
      </c>
      <c r="M58" s="125">
        <f>VLOOKUP(L58,'РейтPD FRED Graph'!$R$4:$V$26,5,0)</f>
        <v>2.993571512778008E-3</v>
      </c>
      <c r="N58" s="126">
        <f t="shared" si="3"/>
        <v>624718.55985642178</v>
      </c>
      <c r="O58" s="126">
        <f t="shared" si="4"/>
        <v>4612845.8436593115</v>
      </c>
      <c r="Q58" s="129">
        <f t="shared" si="5"/>
        <v>0</v>
      </c>
    </row>
    <row r="59" spans="1:17" x14ac:dyDescent="0.25">
      <c r="A59" s="28" t="s">
        <v>41</v>
      </c>
      <c r="B59" s="28" t="s">
        <v>2125</v>
      </c>
      <c r="C59" s="28" t="s">
        <v>460</v>
      </c>
      <c r="D59" s="28" t="s">
        <v>2178</v>
      </c>
      <c r="E59" s="28" t="s">
        <v>530</v>
      </c>
      <c r="F59" s="29">
        <v>502542900</v>
      </c>
      <c r="G59" s="30">
        <v>5.8927158902003771E-2</v>
      </c>
      <c r="H59" s="29">
        <v>4206966.1706664562</v>
      </c>
      <c r="I59" s="29">
        <v>25406459.152707335</v>
      </c>
      <c r="J59" s="124">
        <f t="shared" si="6"/>
        <v>29613425.323373791</v>
      </c>
      <c r="K59" s="52" t="s">
        <v>82</v>
      </c>
      <c r="L59" s="108" t="s">
        <v>84</v>
      </c>
      <c r="M59" s="125">
        <f>VLOOKUP(L59,'РейтPD FRED Graph'!$R$4:$V$26,5,0)</f>
        <v>2.0466988838264821E-2</v>
      </c>
      <c r="N59" s="126">
        <f t="shared" si="3"/>
        <v>10285539.925049234</v>
      </c>
      <c r="O59" s="126">
        <f t="shared" si="4"/>
        <v>39898965.248423025</v>
      </c>
      <c r="Q59" s="129">
        <f t="shared" si="5"/>
        <v>0</v>
      </c>
    </row>
    <row r="60" spans="1:17" x14ac:dyDescent="0.25">
      <c r="A60" s="28" t="s">
        <v>41</v>
      </c>
      <c r="B60" s="28" t="s">
        <v>2125</v>
      </c>
      <c r="C60" s="28" t="s">
        <v>461</v>
      </c>
      <c r="D60" s="28" t="s">
        <v>2179</v>
      </c>
      <c r="E60" s="28" t="s">
        <v>531</v>
      </c>
      <c r="F60" s="29">
        <v>4025618181.8200002</v>
      </c>
      <c r="G60" s="30">
        <v>0.10445625752229197</v>
      </c>
      <c r="H60" s="29">
        <v>71437551.581647784</v>
      </c>
      <c r="I60" s="29">
        <v>349063457.90496296</v>
      </c>
      <c r="J60" s="124">
        <f t="shared" si="6"/>
        <v>420501009.48661071</v>
      </c>
      <c r="K60" s="52" t="s">
        <v>84</v>
      </c>
      <c r="L60" s="108" t="s">
        <v>84</v>
      </c>
      <c r="M60" s="125">
        <f>VLOOKUP(L60,'РейтPD FRED Graph'!$R$4:$V$26,5,0)</f>
        <v>2.0466988838264821E-2</v>
      </c>
      <c r="N60" s="126">
        <f t="shared" si="3"/>
        <v>82392282.394425869</v>
      </c>
      <c r="O60" s="126">
        <f t="shared" si="4"/>
        <v>502893291.88103658</v>
      </c>
      <c r="Q60" s="129">
        <f t="shared" si="5"/>
        <v>0</v>
      </c>
    </row>
    <row r="61" spans="1:17" x14ac:dyDescent="0.25">
      <c r="A61" s="28" t="s">
        <v>41</v>
      </c>
      <c r="B61" s="28" t="s">
        <v>2125</v>
      </c>
      <c r="C61" s="28" t="s">
        <v>461</v>
      </c>
      <c r="D61" s="28" t="s">
        <v>2180</v>
      </c>
      <c r="E61" s="28" t="s">
        <v>532</v>
      </c>
      <c r="F61" s="29">
        <v>1012259837.73</v>
      </c>
      <c r="G61" s="30">
        <v>0.10445625752229197</v>
      </c>
      <c r="H61" s="29">
        <v>17963294.357731186</v>
      </c>
      <c r="I61" s="29">
        <v>87773579.931667179</v>
      </c>
      <c r="J61" s="124">
        <f>F61*G61</f>
        <v>105736874.28939836</v>
      </c>
      <c r="K61" s="52" t="s">
        <v>84</v>
      </c>
      <c r="L61" s="108" t="s">
        <v>84</v>
      </c>
      <c r="M61" s="125">
        <f>VLOOKUP(L61,'РейтPD FRED Graph'!$R$4:$V$26,5,0)</f>
        <v>2.0466988838264821E-2</v>
      </c>
      <c r="N61" s="126">
        <f t="shared" si="3"/>
        <v>20717910.800243668</v>
      </c>
      <c r="O61" s="126">
        <f t="shared" si="4"/>
        <v>126454785.08964202</v>
      </c>
      <c r="Q61" s="129">
        <f t="shared" si="5"/>
        <v>0</v>
      </c>
    </row>
    <row r="62" spans="1:17" x14ac:dyDescent="0.25">
      <c r="A62" s="221" t="s">
        <v>41</v>
      </c>
      <c r="B62" s="221" t="s">
        <v>2125</v>
      </c>
      <c r="C62" s="221" t="s">
        <v>479</v>
      </c>
      <c r="D62" s="221" t="s">
        <v>2181</v>
      </c>
      <c r="E62" s="221" t="s">
        <v>533</v>
      </c>
      <c r="F62" s="222">
        <v>722743000</v>
      </c>
      <c r="G62" s="223">
        <v>7.8342193141718974E-2</v>
      </c>
      <c r="H62" s="222">
        <v>9619204.0596294701</v>
      </c>
      <c r="I62" s="222">
        <v>47002067.638195924</v>
      </c>
      <c r="J62" s="124">
        <f t="shared" ref="J62:J66" si="7">F62*G62</f>
        <v>56621271.697825395</v>
      </c>
      <c r="K62" s="52" t="s">
        <v>84</v>
      </c>
      <c r="L62" s="109" t="s">
        <v>84</v>
      </c>
      <c r="M62" s="125">
        <f>VLOOKUP(L62,'РейтPD FRED Graph'!$R$4:$V$26,5,0)</f>
        <v>2.0466988838264821E-2</v>
      </c>
      <c r="N62" s="126">
        <f t="shared" ref="N62" si="8">M62*F62</f>
        <v>14792372.913934032</v>
      </c>
      <c r="O62" s="126">
        <f t="shared" ref="O62" si="9">N62+J62</f>
        <v>71413644.611759424</v>
      </c>
      <c r="Q62" s="129">
        <f t="shared" si="5"/>
        <v>0</v>
      </c>
    </row>
    <row r="63" spans="1:17" x14ac:dyDescent="0.25">
      <c r="A63" s="28" t="s">
        <v>41</v>
      </c>
      <c r="B63" s="28" t="s">
        <v>433</v>
      </c>
      <c r="C63" s="28" t="s">
        <v>162</v>
      </c>
      <c r="D63" s="28" t="s">
        <v>2182</v>
      </c>
      <c r="E63" s="28" t="s">
        <v>534</v>
      </c>
      <c r="F63" s="29">
        <v>767608110.25999999</v>
      </c>
      <c r="G63" s="30">
        <v>1.0463168480298844E-2</v>
      </c>
      <c r="H63" s="29">
        <v>661282.64631943835</v>
      </c>
      <c r="I63" s="29">
        <v>7370330.3381747538</v>
      </c>
      <c r="J63" s="124">
        <f t="shared" si="7"/>
        <v>8031612.9844941916</v>
      </c>
      <c r="K63" s="52" t="s">
        <v>74</v>
      </c>
      <c r="L63" s="108" t="s">
        <v>76</v>
      </c>
      <c r="M63" s="125">
        <f>VLOOKUP(L63,'РейтPD FRED Graph'!$R$4:$V$26,5,0)</f>
        <v>2.993571512778008E-3</v>
      </c>
      <c r="N63" s="126">
        <f t="shared" si="3"/>
        <v>2297889.7718516961</v>
      </c>
      <c r="O63" s="126">
        <f t="shared" si="4"/>
        <v>10329502.756345887</v>
      </c>
      <c r="Q63" s="129">
        <f t="shared" si="5"/>
        <v>0</v>
      </c>
    </row>
    <row r="64" spans="1:17" x14ac:dyDescent="0.25">
      <c r="A64" s="28" t="s">
        <v>2126</v>
      </c>
      <c r="B64" s="28" t="s">
        <v>2123</v>
      </c>
      <c r="C64" s="28" t="s">
        <v>136</v>
      </c>
      <c r="D64" s="28" t="s">
        <v>2128</v>
      </c>
      <c r="E64" s="28" t="s">
        <v>483</v>
      </c>
      <c r="F64" s="29">
        <v>629807302.80000007</v>
      </c>
      <c r="G64" s="30">
        <v>3.3927692878581571E-2</v>
      </c>
      <c r="H64" s="29">
        <v>2147568.7610852541</v>
      </c>
      <c r="I64" s="29">
        <v>19220339.981000975</v>
      </c>
      <c r="J64" s="124">
        <f t="shared" si="7"/>
        <v>21367908.742086228</v>
      </c>
      <c r="K64" s="52" t="s">
        <v>78</v>
      </c>
      <c r="L64" s="108" t="s">
        <v>78</v>
      </c>
      <c r="M64" s="125">
        <f>VLOOKUP(L64,'РейтPD FRED Graph'!$R$4:$V$26,5,0)</f>
        <v>4.3845995125304429E-3</v>
      </c>
      <c r="N64" s="126">
        <f t="shared" si="3"/>
        <v>2761452.7928449935</v>
      </c>
      <c r="O64" s="126">
        <f t="shared" si="4"/>
        <v>24129361.53493122</v>
      </c>
      <c r="Q64" s="129">
        <f t="shared" si="5"/>
        <v>0</v>
      </c>
    </row>
    <row r="65" spans="1:17" x14ac:dyDescent="0.25">
      <c r="A65" s="28" t="s">
        <v>2126</v>
      </c>
      <c r="B65" s="28" t="s">
        <v>2123</v>
      </c>
      <c r="C65" s="28" t="s">
        <v>2189</v>
      </c>
      <c r="D65" s="28" t="s">
        <v>2183</v>
      </c>
      <c r="E65" s="28" t="s">
        <v>501</v>
      </c>
      <c r="F65" s="29">
        <v>610590316</v>
      </c>
      <c r="G65" s="30">
        <v>4.919714419657685E-2</v>
      </c>
      <c r="H65" s="29">
        <v>3422324.6216248795</v>
      </c>
      <c r="I65" s="29">
        <v>26616975.199660547</v>
      </c>
      <c r="J65" s="124">
        <f t="shared" si="7"/>
        <v>30039299.821285427</v>
      </c>
      <c r="K65" s="52" t="s">
        <v>80</v>
      </c>
      <c r="L65" s="108" t="s">
        <v>80</v>
      </c>
      <c r="M65" s="125">
        <f>VLOOKUP(L65,'РейтPD FRED Graph'!$R$4:$V$26,5,0)</f>
        <v>7.2473003878630905E-3</v>
      </c>
      <c r="N65" s="126">
        <f t="shared" si="3"/>
        <v>4425131.4339722469</v>
      </c>
      <c r="O65" s="126">
        <f t="shared" si="4"/>
        <v>34464431.255257674</v>
      </c>
      <c r="Q65" s="129">
        <f t="shared" si="5"/>
        <v>0</v>
      </c>
    </row>
    <row r="66" spans="1:17" x14ac:dyDescent="0.25">
      <c r="A66" s="28" t="s">
        <v>2126</v>
      </c>
      <c r="B66" s="28" t="s">
        <v>2123</v>
      </c>
      <c r="C66" s="28" t="s">
        <v>2189</v>
      </c>
      <c r="D66" s="28" t="s">
        <v>2183</v>
      </c>
      <c r="E66" s="28" t="s">
        <v>536</v>
      </c>
      <c r="F66" s="29">
        <v>77430960</v>
      </c>
      <c r="G66" s="30">
        <v>4.919714419657685E-2</v>
      </c>
      <c r="H66" s="29">
        <v>433996.20652360818</v>
      </c>
      <c r="I66" s="29">
        <v>3375385.8978757663</v>
      </c>
      <c r="J66" s="124">
        <f t="shared" si="7"/>
        <v>3809382.1043993742</v>
      </c>
      <c r="K66" s="52" t="s">
        <v>80</v>
      </c>
      <c r="L66" s="108" t="s">
        <v>80</v>
      </c>
      <c r="M66" s="125">
        <f>VLOOKUP(L66,'РейтPD FRED Graph'!$R$4:$V$26,5,0)</f>
        <v>7.2473003878630905E-3</v>
      </c>
      <c r="N66" s="126">
        <f t="shared" ref="N66:N67" si="10">M66*F66</f>
        <v>561165.42644061148</v>
      </c>
      <c r="O66" s="126">
        <f t="shared" ref="O66:O67" si="11">N66+J66</f>
        <v>4370547.5308399852</v>
      </c>
      <c r="Q66" s="129">
        <f t="shared" si="5"/>
        <v>0</v>
      </c>
    </row>
    <row r="67" spans="1:17" x14ac:dyDescent="0.25">
      <c r="A67" s="28" t="s">
        <v>2126</v>
      </c>
      <c r="B67" s="28" t="s">
        <v>2123</v>
      </c>
      <c r="C67" s="28" t="s">
        <v>144</v>
      </c>
      <c r="D67" s="28" t="s">
        <v>2169</v>
      </c>
      <c r="E67" s="28" t="s">
        <v>489</v>
      </c>
      <c r="F67" s="29">
        <v>702428612.94299996</v>
      </c>
      <c r="G67" s="30">
        <v>2.5480795125555275E-2</v>
      </c>
      <c r="H67" s="29">
        <v>1666551.3195321979</v>
      </c>
      <c r="I67" s="29">
        <v>16231888.257196346</v>
      </c>
      <c r="J67" s="124">
        <f t="shared" si="6"/>
        <v>17898439.576728545</v>
      </c>
      <c r="K67" s="52" t="s">
        <v>76</v>
      </c>
      <c r="L67" s="108" t="s">
        <v>78</v>
      </c>
      <c r="M67" s="125">
        <f>VLOOKUP(L67,'РейтPD FRED Graph'!$R$4:$V$26,5,0)</f>
        <v>4.3845995125304429E-3</v>
      </c>
      <c r="N67" s="126">
        <f t="shared" si="10"/>
        <v>3079868.1538973129</v>
      </c>
      <c r="O67" s="126">
        <f t="shared" si="11"/>
        <v>20978307.730625857</v>
      </c>
      <c r="Q67" s="129">
        <f t="shared" si="5"/>
        <v>0</v>
      </c>
    </row>
    <row r="68" spans="1:17" x14ac:dyDescent="0.25">
      <c r="A68" s="28" t="s">
        <v>2126</v>
      </c>
      <c r="B68" s="28" t="s">
        <v>2123</v>
      </c>
      <c r="C68" s="28" t="s">
        <v>137</v>
      </c>
      <c r="D68" s="28" t="s">
        <v>2184</v>
      </c>
      <c r="E68" s="28" t="s">
        <v>502</v>
      </c>
      <c r="F68" s="29">
        <v>290260320</v>
      </c>
      <c r="G68" s="30">
        <v>4.919714419657685E-2</v>
      </c>
      <c r="H68" s="29">
        <v>1626892.8834710121</v>
      </c>
      <c r="I68" s="29">
        <v>12653085.934113529</v>
      </c>
      <c r="J68" s="124">
        <f t="shared" si="6"/>
        <v>14279978.817584539</v>
      </c>
      <c r="K68" s="52" t="s">
        <v>80</v>
      </c>
      <c r="L68" s="108" t="s">
        <v>80</v>
      </c>
      <c r="M68" s="125">
        <f>VLOOKUP(L68,'РейтPD FRED Graph'!$R$4:$V$26,5,0)</f>
        <v>7.2473003878630905E-3</v>
      </c>
      <c r="N68" s="126">
        <f t="shared" ref="N68:N70" si="12">M68*F68</f>
        <v>2103603.7297172649</v>
      </c>
      <c r="O68" s="126">
        <f t="shared" ref="O68:O70" si="13">N68+J68</f>
        <v>16383582.547301803</v>
      </c>
      <c r="Q68" s="129">
        <f t="shared" si="5"/>
        <v>-1.862645149230957E-9</v>
      </c>
    </row>
    <row r="69" spans="1:17" x14ac:dyDescent="0.25">
      <c r="A69" s="28" t="s">
        <v>2126</v>
      </c>
      <c r="B69" s="28" t="s">
        <v>2123</v>
      </c>
      <c r="C69" s="28" t="s">
        <v>104</v>
      </c>
      <c r="D69" s="28" t="s">
        <v>2185</v>
      </c>
      <c r="E69" s="28" t="s">
        <v>537</v>
      </c>
      <c r="F69" s="29">
        <v>185086968.29999998</v>
      </c>
      <c r="G69" s="30">
        <v>8.7229155996452999E-3</v>
      </c>
      <c r="H69" s="29">
        <v>129014.82018994635</v>
      </c>
      <c r="I69" s="29">
        <v>1485483.1828851786</v>
      </c>
      <c r="J69" s="124">
        <f t="shared" si="6"/>
        <v>1614498.0030751249</v>
      </c>
      <c r="K69" s="52" t="s">
        <v>72</v>
      </c>
      <c r="L69" s="108" t="s">
        <v>74</v>
      </c>
      <c r="M69" s="125">
        <f>VLOOKUP(L69,'РейтPD FRED Graph'!$R$4:$V$26,5,0)</f>
        <v>1.3579482538216754E-3</v>
      </c>
      <c r="N69" s="126">
        <f t="shared" si="12"/>
        <v>251338.52540813276</v>
      </c>
      <c r="O69" s="126">
        <f t="shared" si="13"/>
        <v>1865836.5284832576</v>
      </c>
      <c r="Q69" s="129">
        <f t="shared" si="5"/>
        <v>0</v>
      </c>
    </row>
    <row r="70" spans="1:17" x14ac:dyDescent="0.25">
      <c r="A70" s="28" t="s">
        <v>2126</v>
      </c>
      <c r="B70" s="28" t="s">
        <v>2123</v>
      </c>
      <c r="C70" s="28" t="s">
        <v>132</v>
      </c>
      <c r="D70" s="28" t="s">
        <v>2186</v>
      </c>
      <c r="E70" s="28" t="s">
        <v>538</v>
      </c>
      <c r="F70" s="29">
        <v>111068894.22000001</v>
      </c>
      <c r="G70" s="30">
        <v>2.5445769658936176E-2</v>
      </c>
      <c r="H70" s="29">
        <v>284048.89062262228</v>
      </c>
      <c r="I70" s="29">
        <v>2542184.6079722461</v>
      </c>
      <c r="J70" s="124">
        <f t="shared" si="6"/>
        <v>2826233.498594868</v>
      </c>
      <c r="K70" s="52" t="s">
        <v>78</v>
      </c>
      <c r="L70" s="108" t="s">
        <v>80</v>
      </c>
      <c r="M70" s="125">
        <f>VLOOKUP(L70,'РейтPD FRED Graph'!$R$4:$V$26,5,0)</f>
        <v>7.2473003878630905E-3</v>
      </c>
      <c r="N70" s="126">
        <f t="shared" si="12"/>
        <v>804949.64016013069</v>
      </c>
      <c r="O70" s="126">
        <f t="shared" si="13"/>
        <v>3631183.1387549988</v>
      </c>
      <c r="Q70" s="129">
        <f t="shared" si="5"/>
        <v>0</v>
      </c>
    </row>
    <row r="71" spans="1:17" x14ac:dyDescent="0.25">
      <c r="A71" s="28" t="s">
        <v>2126</v>
      </c>
      <c r="B71" s="28" t="s">
        <v>2123</v>
      </c>
      <c r="C71" s="28" t="s">
        <v>132</v>
      </c>
      <c r="D71" s="28" t="s">
        <v>2187</v>
      </c>
      <c r="E71" s="28" t="s">
        <v>539</v>
      </c>
      <c r="F71" s="29">
        <v>332413332.66000003</v>
      </c>
      <c r="G71" s="30">
        <v>2.5445769658936176E-2</v>
      </c>
      <c r="H71" s="29">
        <v>850117.749288255</v>
      </c>
      <c r="I71" s="29">
        <v>7608395.3451374322</v>
      </c>
      <c r="J71" s="124">
        <f t="shared" si="6"/>
        <v>8458513.0944256876</v>
      </c>
      <c r="K71" s="52" t="s">
        <v>78</v>
      </c>
      <c r="L71" s="109" t="s">
        <v>80</v>
      </c>
      <c r="M71" s="125">
        <f>VLOOKUP(L71,'РейтPD FRED Graph'!$R$4:$V$26,5,0)</f>
        <v>7.2473003878630905E-3</v>
      </c>
      <c r="N71" s="126">
        <f t="shared" ref="N71" si="14">M71*F71</f>
        <v>2409099.2747176806</v>
      </c>
      <c r="O71" s="126">
        <f t="shared" ref="O71" si="15">N71+J71</f>
        <v>10867612.369143369</v>
      </c>
      <c r="Q71" s="129">
        <f t="shared" si="5"/>
        <v>0</v>
      </c>
    </row>
    <row r="72" spans="1:17" x14ac:dyDescent="0.25">
      <c r="A72" s="28"/>
      <c r="B72" s="28"/>
      <c r="C72" s="28"/>
      <c r="D72" s="28"/>
      <c r="E72" s="28"/>
      <c r="F72" s="29"/>
      <c r="G72" s="30"/>
      <c r="H72" s="29"/>
      <c r="I72" s="29"/>
      <c r="J72" s="81"/>
      <c r="K72" s="81"/>
      <c r="L72" s="81"/>
      <c r="M72" s="81"/>
      <c r="N72" s="81"/>
      <c r="O72" s="81"/>
      <c r="Q72" s="129">
        <f t="shared" si="5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81"/>
      <c r="K73" s="81"/>
      <c r="L73" s="81"/>
      <c r="M73" s="81"/>
      <c r="N73" s="81"/>
      <c r="O73" s="81"/>
      <c r="Q73" s="129">
        <f t="shared" ref="Q73:Q100" si="16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81"/>
      <c r="K74" s="81"/>
      <c r="L74" s="81"/>
      <c r="M74" s="81"/>
      <c r="N74" s="81"/>
      <c r="O74" s="81"/>
      <c r="Q74" s="129">
        <f t="shared" si="16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81"/>
      <c r="K75" s="81"/>
      <c r="L75" s="81"/>
      <c r="M75" s="81"/>
      <c r="N75" s="81"/>
      <c r="O75" s="81"/>
      <c r="Q75" s="129">
        <f t="shared" si="16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8"/>
      <c r="M76" s="29"/>
      <c r="N76" s="29"/>
      <c r="O76" s="29"/>
      <c r="Q76" s="129">
        <f t="shared" si="16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8"/>
      <c r="M77" s="29"/>
      <c r="N77" s="29"/>
      <c r="O77" s="29"/>
      <c r="Q77" s="129">
        <f t="shared" si="16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8"/>
      <c r="M78" s="29"/>
      <c r="N78" s="29"/>
      <c r="O78" s="29"/>
      <c r="Q78" s="129">
        <f t="shared" si="16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1"/>
      <c r="M79" s="81"/>
      <c r="N79" s="81"/>
      <c r="O79" s="81"/>
      <c r="Q79" s="129">
        <f t="shared" si="16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1"/>
      <c r="M80" s="81"/>
      <c r="N80" s="81"/>
      <c r="O80" s="81"/>
      <c r="Q80" s="129">
        <f t="shared" si="16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1"/>
      <c r="M81" s="81"/>
      <c r="N81" s="81"/>
      <c r="O81" s="81"/>
      <c r="Q81" s="129">
        <f t="shared" si="16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1"/>
      <c r="M82" s="81"/>
      <c r="N82" s="81"/>
      <c r="O82" s="81"/>
      <c r="Q82" s="129">
        <f t="shared" si="16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1"/>
      <c r="M83" s="81"/>
      <c r="N83" s="81"/>
      <c r="O83" s="81"/>
      <c r="Q83" s="129">
        <f t="shared" si="16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1"/>
      <c r="M84" s="81"/>
      <c r="N84" s="81"/>
      <c r="O84" s="81"/>
      <c r="Q84" s="129">
        <f t="shared" si="16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1"/>
      <c r="M85" s="81"/>
      <c r="N85" s="81"/>
      <c r="O85" s="81"/>
      <c r="Q85" s="129">
        <f t="shared" si="16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1"/>
      <c r="M86" s="81"/>
      <c r="N86" s="81"/>
      <c r="O86" s="81"/>
      <c r="Q86" s="129">
        <f t="shared" si="16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1"/>
      <c r="M87" s="81"/>
      <c r="N87" s="81"/>
      <c r="O87" s="81"/>
      <c r="Q87" s="129">
        <f t="shared" si="16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1"/>
      <c r="M88" s="81"/>
      <c r="N88" s="81"/>
      <c r="O88" s="81"/>
      <c r="Q88" s="129">
        <f t="shared" si="16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1"/>
      <c r="M89" s="81"/>
      <c r="N89" s="81"/>
      <c r="O89" s="81"/>
      <c r="Q89" s="129">
        <f t="shared" si="16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1"/>
      <c r="M90" s="81"/>
      <c r="N90" s="81"/>
      <c r="O90" s="81"/>
      <c r="Q90" s="129">
        <f t="shared" si="16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1"/>
      <c r="M91" s="81"/>
      <c r="N91" s="81"/>
      <c r="O91" s="81"/>
      <c r="Q91" s="129">
        <f t="shared" si="16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1"/>
      <c r="M92" s="81"/>
      <c r="N92" s="81"/>
      <c r="O92" s="81"/>
      <c r="Q92" s="129">
        <f t="shared" si="16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1"/>
      <c r="M93" s="81"/>
      <c r="N93" s="81"/>
      <c r="O93" s="81"/>
      <c r="Q93" s="129">
        <f t="shared" si="16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1"/>
      <c r="M94" s="81"/>
      <c r="N94" s="81"/>
      <c r="O94" s="81"/>
      <c r="Q94" s="129">
        <f t="shared" si="16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1"/>
      <c r="M95" s="81"/>
      <c r="N95" s="81"/>
      <c r="O95" s="81"/>
      <c r="Q95" s="129">
        <f t="shared" si="16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1"/>
      <c r="M96" s="81"/>
      <c r="N96" s="81"/>
      <c r="O96" s="81"/>
      <c r="Q96" s="129">
        <f t="shared" si="16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1"/>
      <c r="M97" s="81"/>
      <c r="N97" s="81"/>
      <c r="O97" s="81"/>
      <c r="Q97" s="129">
        <f t="shared" si="16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1"/>
      <c r="M98" s="81"/>
      <c r="N98" s="81"/>
      <c r="O98" s="81"/>
      <c r="Q98" s="129">
        <f t="shared" si="16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1"/>
      <c r="M99" s="81"/>
      <c r="N99" s="81"/>
      <c r="O99" s="81"/>
      <c r="Q99" s="129">
        <f t="shared" si="16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1"/>
      <c r="M100" s="81"/>
      <c r="N100" s="81"/>
      <c r="O100" s="81"/>
      <c r="Q100" s="129">
        <f t="shared" si="16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P33"/>
  <sheetViews>
    <sheetView zoomScale="90" zoomScaleNormal="90" workbookViewId="0">
      <selection activeCell="E47" sqref="E47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8.28515625" style="27" customWidth="1"/>
    <col min="4" max="4" width="18.5703125" style="27" customWidth="1"/>
    <col min="5" max="5" width="22.7109375" style="27" customWidth="1"/>
    <col min="6" max="6" width="12.85546875" style="27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9" bestFit="1" customWidth="1"/>
    <col min="15" max="15" width="12.85546875" style="27"/>
    <col min="16" max="16" width="12.85546875" style="128"/>
    <col min="17" max="17" width="29.5703125" style="27" customWidth="1"/>
    <col min="18" max="16384" width="12.85546875" style="27"/>
  </cols>
  <sheetData>
    <row r="1" spans="1:3" x14ac:dyDescent="0.2">
      <c r="A1" s="143"/>
      <c r="B1" s="151"/>
      <c r="C1" s="143"/>
    </row>
    <row r="2" spans="1:3" x14ac:dyDescent="0.2">
      <c r="A2" s="156" t="s">
        <v>70</v>
      </c>
      <c r="B2" s="140">
        <f>SUMIF($K$21:$K$33,A2,$E$21:$E$33)</f>
        <v>0</v>
      </c>
      <c r="C2" s="194">
        <f>B2/$B$13</f>
        <v>0</v>
      </c>
    </row>
    <row r="3" spans="1:3" x14ac:dyDescent="0.2">
      <c r="A3" s="139" t="s">
        <v>72</v>
      </c>
      <c r="B3" s="140">
        <f t="shared" ref="B3:B12" si="0">SUMIF($K$21:$K$33,A3,$E$21:$E$33)</f>
        <v>0</v>
      </c>
      <c r="C3" s="194">
        <f t="shared" ref="C3:C12" si="1">B3/$B$13</f>
        <v>0</v>
      </c>
    </row>
    <row r="4" spans="1:3" x14ac:dyDescent="0.2">
      <c r="A4" s="139" t="s">
        <v>74</v>
      </c>
      <c r="B4" s="140">
        <f t="shared" si="0"/>
        <v>8528163786.579999</v>
      </c>
      <c r="C4" s="194">
        <f t="shared" si="1"/>
        <v>0.12893075971360252</v>
      </c>
    </row>
    <row r="5" spans="1:3" x14ac:dyDescent="0.2">
      <c r="A5" s="139" t="s">
        <v>76</v>
      </c>
      <c r="B5" s="140">
        <f t="shared" si="0"/>
        <v>57013270010.699997</v>
      </c>
      <c r="C5" s="194">
        <f t="shared" si="1"/>
        <v>0.86193985014728913</v>
      </c>
    </row>
    <row r="6" spans="1:3" x14ac:dyDescent="0.2">
      <c r="A6" s="156" t="s">
        <v>78</v>
      </c>
      <c r="B6" s="140">
        <f t="shared" si="0"/>
        <v>0</v>
      </c>
      <c r="C6" s="194">
        <f t="shared" si="1"/>
        <v>0</v>
      </c>
    </row>
    <row r="7" spans="1:3" x14ac:dyDescent="0.2">
      <c r="A7" s="157" t="s">
        <v>80</v>
      </c>
      <c r="B7" s="140">
        <f t="shared" si="0"/>
        <v>0</v>
      </c>
      <c r="C7" s="194">
        <f t="shared" si="1"/>
        <v>0</v>
      </c>
    </row>
    <row r="8" spans="1:3" x14ac:dyDescent="0.2">
      <c r="A8" s="157" t="s">
        <v>82</v>
      </c>
      <c r="B8" s="140">
        <f t="shared" si="0"/>
        <v>603866250</v>
      </c>
      <c r="C8" s="194">
        <f t="shared" si="1"/>
        <v>9.1293901391083336E-3</v>
      </c>
    </row>
    <row r="9" spans="1:3" x14ac:dyDescent="0.2">
      <c r="A9" s="156" t="s">
        <v>84</v>
      </c>
      <c r="B9" s="140">
        <f t="shared" si="0"/>
        <v>0</v>
      </c>
      <c r="C9" s="194">
        <f t="shared" si="1"/>
        <v>0</v>
      </c>
    </row>
    <row r="10" spans="1:3" x14ac:dyDescent="0.2">
      <c r="A10" s="156" t="s">
        <v>86</v>
      </c>
      <c r="B10" s="140">
        <f t="shared" si="0"/>
        <v>0</v>
      </c>
      <c r="C10" s="194">
        <f t="shared" si="1"/>
        <v>0</v>
      </c>
    </row>
    <row r="11" spans="1:3" x14ac:dyDescent="0.2">
      <c r="A11" s="156" t="s">
        <v>88</v>
      </c>
      <c r="B11" s="140">
        <f t="shared" si="0"/>
        <v>0</v>
      </c>
      <c r="C11" s="194">
        <f t="shared" si="1"/>
        <v>0</v>
      </c>
    </row>
    <row r="12" spans="1:3" x14ac:dyDescent="0.2">
      <c r="A12" s="156" t="s">
        <v>115</v>
      </c>
      <c r="B12" s="140">
        <f t="shared" si="0"/>
        <v>0</v>
      </c>
      <c r="C12" s="194">
        <f t="shared" si="1"/>
        <v>0</v>
      </c>
    </row>
    <row r="13" spans="1:3" x14ac:dyDescent="0.2">
      <c r="A13" s="181"/>
      <c r="B13" s="148">
        <f>SUM(B2:B12)</f>
        <v>66145300047.279999</v>
      </c>
      <c r="C13" s="143"/>
    </row>
    <row r="14" spans="1:3" x14ac:dyDescent="0.25">
      <c r="A14" s="128" t="s">
        <v>429</v>
      </c>
      <c r="B14" s="225">
        <f>B13-E18</f>
        <v>0</v>
      </c>
    </row>
    <row r="17" spans="1:16" x14ac:dyDescent="0.25">
      <c r="A17" s="269" t="s">
        <v>473</v>
      </c>
      <c r="B17" s="269"/>
      <c r="C17" s="270"/>
      <c r="D17" s="60"/>
      <c r="E17" s="33" t="s">
        <v>106</v>
      </c>
      <c r="I17" s="34" t="s">
        <v>107</v>
      </c>
      <c r="J17" s="34"/>
      <c r="K17" s="34"/>
      <c r="L17" s="34"/>
      <c r="M17" s="34"/>
      <c r="N17" s="122" t="str">
        <f>N20</f>
        <v>Стрессс итог</v>
      </c>
      <c r="O17" s="122" t="s">
        <v>194</v>
      </c>
    </row>
    <row r="18" spans="1:16" x14ac:dyDescent="0.25">
      <c r="A18" s="267"/>
      <c r="B18" s="267"/>
      <c r="C18" s="267"/>
      <c r="D18" s="218"/>
      <c r="E18" s="36">
        <f>SUM(E21:E33)</f>
        <v>66145300047.279999</v>
      </c>
      <c r="F18" s="36"/>
      <c r="G18" s="36"/>
      <c r="H18" s="36"/>
      <c r="I18" s="36">
        <f>SUM(I21:I33)</f>
        <v>733216560.8870362</v>
      </c>
      <c r="J18" s="131">
        <f>I18/E18</f>
        <v>1.108493816435847E-2</v>
      </c>
      <c r="K18" s="36"/>
      <c r="L18" s="36"/>
      <c r="M18" s="36"/>
      <c r="N18" s="36">
        <f>SUM(N21:N33)</f>
        <v>923811670.35813951</v>
      </c>
      <c r="O18" s="131">
        <f>N18/E18</f>
        <v>1.3966399270965711E-2</v>
      </c>
    </row>
    <row r="20" spans="1:16" ht="30.75" customHeight="1" x14ac:dyDescent="0.25">
      <c r="A20" s="28" t="s">
        <v>220</v>
      </c>
      <c r="B20" s="28" t="s">
        <v>101</v>
      </c>
      <c r="C20" s="28" t="s">
        <v>42</v>
      </c>
      <c r="D20" s="61" t="s">
        <v>105</v>
      </c>
      <c r="E20" s="32" t="str">
        <f>'портефль до погашения'!F7</f>
        <v>Вложения (руб) на 01.11.2021</v>
      </c>
      <c r="F20" s="32" t="s">
        <v>47</v>
      </c>
      <c r="G20" s="32" t="s">
        <v>55</v>
      </c>
      <c r="H20" s="32" t="s">
        <v>56</v>
      </c>
      <c r="I20" s="31" t="s">
        <v>107</v>
      </c>
      <c r="J20" s="31" t="s">
        <v>102</v>
      </c>
      <c r="K20" s="80" t="s">
        <v>163</v>
      </c>
      <c r="L20" s="80" t="s">
        <v>164</v>
      </c>
      <c r="M20" s="80" t="s">
        <v>165</v>
      </c>
      <c r="N20" s="80" t="s">
        <v>166</v>
      </c>
      <c r="P20" s="127" t="s">
        <v>191</v>
      </c>
    </row>
    <row r="21" spans="1:16" x14ac:dyDescent="0.25">
      <c r="A21" s="28" t="s">
        <v>2123</v>
      </c>
      <c r="B21" s="28" t="s">
        <v>147</v>
      </c>
      <c r="C21" s="28" t="s">
        <v>2193</v>
      </c>
      <c r="D21" s="28" t="s">
        <v>545</v>
      </c>
      <c r="E21" s="29">
        <v>8528163786.579999</v>
      </c>
      <c r="F21" s="30">
        <v>1.0463168480298844E-2</v>
      </c>
      <c r="G21" s="29">
        <v>7346882.6627236055</v>
      </c>
      <c r="H21" s="29">
        <v>81884731.863846287</v>
      </c>
      <c r="I21" s="124">
        <f>E21*F21</f>
        <v>89231614.526569888</v>
      </c>
      <c r="J21" s="52" t="s">
        <v>74</v>
      </c>
      <c r="K21" s="108" t="s">
        <v>74</v>
      </c>
      <c r="L21" s="125">
        <f>VLOOKUP(K21,'РейтPD FRED Graph'!$R$4:$V$26,5,0)</f>
        <v>1.3579482538216754E-3</v>
      </c>
      <c r="M21" s="126">
        <f>L21*E21</f>
        <v>11580805.122291556</v>
      </c>
      <c r="N21" s="126">
        <f>M21+I21</f>
        <v>100812419.64886144</v>
      </c>
      <c r="P21" s="129">
        <f>I21-H21-G21</f>
        <v>0</v>
      </c>
    </row>
    <row r="22" spans="1:16" x14ac:dyDescent="0.25">
      <c r="A22" s="28" t="s">
        <v>2125</v>
      </c>
      <c r="B22" s="28" t="s">
        <v>2190</v>
      </c>
      <c r="C22" s="28" t="s">
        <v>2194</v>
      </c>
      <c r="D22" s="28" t="s">
        <v>541</v>
      </c>
      <c r="E22" s="29">
        <v>465591138.85999995</v>
      </c>
      <c r="F22" s="30">
        <v>1.0463168480298844E-2</v>
      </c>
      <c r="G22" s="29">
        <v>401099.64484864025</v>
      </c>
      <c r="H22" s="29">
        <v>4470458.883977754</v>
      </c>
      <c r="I22" s="124">
        <f t="shared" ref="I22:I29" si="2">E22*F22</f>
        <v>4871558.5288263941</v>
      </c>
      <c r="J22" s="52" t="s">
        <v>74</v>
      </c>
      <c r="K22" s="108" t="s">
        <v>76</v>
      </c>
      <c r="L22" s="125">
        <f>VLOOKUP(K22,'РейтPD FRED Graph'!$R$4:$V$26,5,0)</f>
        <v>2.993571512778008E-3</v>
      </c>
      <c r="M22" s="126">
        <f t="shared" ref="M22:M28" si="3">L22*E22</f>
        <v>1393780.3698931655</v>
      </c>
      <c r="N22" s="126">
        <f t="shared" ref="N22:N28" si="4">M22+I22</f>
        <v>6265338.8987195594</v>
      </c>
      <c r="P22" s="129">
        <f t="shared" ref="P22:P33" si="5">I22-H22-G22</f>
        <v>0</v>
      </c>
    </row>
    <row r="23" spans="1:16" x14ac:dyDescent="0.25">
      <c r="A23" s="28" t="s">
        <v>2125</v>
      </c>
      <c r="B23" s="28" t="s">
        <v>2190</v>
      </c>
      <c r="C23" s="28" t="s">
        <v>2195</v>
      </c>
      <c r="D23" s="28" t="s">
        <v>542</v>
      </c>
      <c r="E23" s="29">
        <v>13357569949.559999</v>
      </c>
      <c r="F23" s="30">
        <v>1.0463168480298844E-2</v>
      </c>
      <c r="G23" s="29">
        <v>11507342.20571241</v>
      </c>
      <c r="H23" s="29">
        <v>128255162.66391081</v>
      </c>
      <c r="I23" s="124">
        <f t="shared" si="2"/>
        <v>139762504.86962321</v>
      </c>
      <c r="J23" s="52" t="s">
        <v>74</v>
      </c>
      <c r="K23" s="108" t="s">
        <v>76</v>
      </c>
      <c r="L23" s="125">
        <f>VLOOKUP(K23,'РейтPD FRED Graph'!$R$4:$V$26,5,0)</f>
        <v>2.993571512778008E-3</v>
      </c>
      <c r="M23" s="126">
        <f t="shared" si="3"/>
        <v>39986840.880942389</v>
      </c>
      <c r="N23" s="126">
        <f t="shared" si="4"/>
        <v>179749345.75056559</v>
      </c>
      <c r="P23" s="129">
        <f t="shared" si="5"/>
        <v>0</v>
      </c>
    </row>
    <row r="24" spans="1:16" x14ac:dyDescent="0.25">
      <c r="A24" s="28" t="s">
        <v>2125</v>
      </c>
      <c r="B24" s="28" t="s">
        <v>2190</v>
      </c>
      <c r="C24" s="28" t="s">
        <v>2196</v>
      </c>
      <c r="D24" s="28" t="s">
        <v>543</v>
      </c>
      <c r="E24" s="29">
        <v>10664349766.540001</v>
      </c>
      <c r="F24" s="30">
        <v>1.0463168480298844E-2</v>
      </c>
      <c r="G24" s="29">
        <v>9187174.2112065386</v>
      </c>
      <c r="H24" s="29">
        <v>102395714.12893714</v>
      </c>
      <c r="I24" s="124">
        <f t="shared" si="2"/>
        <v>111582888.34014368</v>
      </c>
      <c r="J24" s="52" t="s">
        <v>74</v>
      </c>
      <c r="K24" s="108" t="s">
        <v>76</v>
      </c>
      <c r="L24" s="125">
        <f>VLOOKUP(K24,'РейтPD FRED Graph'!$R$4:$V$26,5,0)</f>
        <v>2.993571512778008E-3</v>
      </c>
      <c r="M24" s="126">
        <f t="shared" si="3"/>
        <v>31924493.663414948</v>
      </c>
      <c r="N24" s="126">
        <f t="shared" si="4"/>
        <v>143507382.00355864</v>
      </c>
      <c r="P24" s="129">
        <f t="shared" si="5"/>
        <v>0</v>
      </c>
    </row>
    <row r="25" spans="1:16" x14ac:dyDescent="0.25">
      <c r="A25" s="28" t="s">
        <v>2125</v>
      </c>
      <c r="B25" s="28" t="s">
        <v>2190</v>
      </c>
      <c r="C25" s="28" t="s">
        <v>2197</v>
      </c>
      <c r="D25" s="28" t="s">
        <v>544</v>
      </c>
      <c r="E25" s="29">
        <v>14954042976.030001</v>
      </c>
      <c r="F25" s="30">
        <v>1.0463168480298844E-2</v>
      </c>
      <c r="G25" s="29">
        <v>12882679.299746105</v>
      </c>
      <c r="H25" s="29">
        <v>143583991.82008532</v>
      </c>
      <c r="I25" s="124">
        <f t="shared" si="2"/>
        <v>156466671.11983144</v>
      </c>
      <c r="J25" s="52" t="s">
        <v>74</v>
      </c>
      <c r="K25" s="108" t="s">
        <v>76</v>
      </c>
      <c r="L25" s="125">
        <f>VLOOKUP(K25,'РейтPD FRED Graph'!$R$4:$V$26,5,0)</f>
        <v>2.993571512778008E-3</v>
      </c>
      <c r="M25" s="126">
        <f t="shared" si="3"/>
        <v>44765997.053901471</v>
      </c>
      <c r="N25" s="126">
        <f t="shared" si="4"/>
        <v>201232668.17373291</v>
      </c>
      <c r="P25" s="129">
        <f t="shared" si="5"/>
        <v>2.0489096641540527E-8</v>
      </c>
    </row>
    <row r="26" spans="1:16" x14ac:dyDescent="0.25">
      <c r="A26" s="28" t="s">
        <v>2125</v>
      </c>
      <c r="B26" s="28" t="s">
        <v>2191</v>
      </c>
      <c r="C26" s="28" t="s">
        <v>2198</v>
      </c>
      <c r="D26" s="28" t="s">
        <v>546</v>
      </c>
      <c r="E26" s="29">
        <v>603866250</v>
      </c>
      <c r="F26" s="30">
        <v>7.8569545202671703E-2</v>
      </c>
      <c r="G26" s="29">
        <v>6740240.1807745174</v>
      </c>
      <c r="H26" s="29">
        <v>40705256.444968328</v>
      </c>
      <c r="I26" s="124">
        <f t="shared" si="2"/>
        <v>47445496.625742853</v>
      </c>
      <c r="J26" s="52" t="s">
        <v>82</v>
      </c>
      <c r="K26" s="108" t="s">
        <v>82</v>
      </c>
      <c r="L26" s="125">
        <f>VLOOKUP(K26,'РейтPD FRED Graph'!$R$4:$V$26,5,0)</f>
        <v>1.3812666951430758E-2</v>
      </c>
      <c r="M26" s="126">
        <f t="shared" si="3"/>
        <v>8341003.3944594245</v>
      </c>
      <c r="N26" s="126">
        <f t="shared" si="4"/>
        <v>55786500.020202279</v>
      </c>
      <c r="P26" s="129">
        <f>I26-H26-G26</f>
        <v>7.4505805969238281E-9</v>
      </c>
    </row>
    <row r="27" spans="1:16" x14ac:dyDescent="0.25">
      <c r="A27" s="28" t="s">
        <v>2125</v>
      </c>
      <c r="B27" s="28" t="s">
        <v>2190</v>
      </c>
      <c r="C27" s="28" t="s">
        <v>2199</v>
      </c>
      <c r="D27" s="28" t="s">
        <v>547</v>
      </c>
      <c r="E27" s="29">
        <v>1645650577.4000001</v>
      </c>
      <c r="F27" s="30">
        <v>1.0463168480298844E-2</v>
      </c>
      <c r="G27" s="29">
        <v>1417702.8019826172</v>
      </c>
      <c r="H27" s="29">
        <v>15801016.449054658</v>
      </c>
      <c r="I27" s="124">
        <f t="shared" si="2"/>
        <v>17218719.251037274</v>
      </c>
      <c r="J27" s="52" t="s">
        <v>74</v>
      </c>
      <c r="K27" s="108" t="s">
        <v>76</v>
      </c>
      <c r="L27" s="125">
        <f>VLOOKUP(K27,'РейтPD FRED Graph'!$R$4:$V$26,5,0)</f>
        <v>2.993571512778008E-3</v>
      </c>
      <c r="M27" s="126">
        <f t="shared" si="3"/>
        <v>4926372.6884913202</v>
      </c>
      <c r="N27" s="126">
        <f t="shared" si="4"/>
        <v>22145091.939528592</v>
      </c>
      <c r="P27" s="129">
        <f t="shared" si="5"/>
        <v>-2.0954757928848267E-9</v>
      </c>
    </row>
    <row r="28" spans="1:16" x14ac:dyDescent="0.25">
      <c r="A28" s="28" t="s">
        <v>2125</v>
      </c>
      <c r="B28" s="28" t="s">
        <v>2190</v>
      </c>
      <c r="C28" s="28" t="s">
        <v>2200</v>
      </c>
      <c r="D28" s="28" t="s">
        <v>548</v>
      </c>
      <c r="E28" s="29">
        <v>8187940602.3100004</v>
      </c>
      <c r="F28" s="30">
        <v>1.0463168480298844E-2</v>
      </c>
      <c r="G28" s="29">
        <v>7053785.5932344813</v>
      </c>
      <c r="H28" s="29">
        <v>78618016.435414657</v>
      </c>
      <c r="I28" s="124">
        <f t="shared" si="2"/>
        <v>85671802.028649136</v>
      </c>
      <c r="J28" s="52" t="s">
        <v>74</v>
      </c>
      <c r="K28" s="108" t="s">
        <v>76</v>
      </c>
      <c r="L28" s="125">
        <f>VLOOKUP(K28,'РейтPD FRED Graph'!$R$4:$V$26,5,0)</f>
        <v>2.993571512778008E-3</v>
      </c>
      <c r="M28" s="126">
        <f t="shared" si="3"/>
        <v>24511185.735393621</v>
      </c>
      <c r="N28" s="126">
        <f t="shared" si="4"/>
        <v>110182987.76404276</v>
      </c>
      <c r="P28" s="129">
        <f t="shared" si="5"/>
        <v>0</v>
      </c>
    </row>
    <row r="29" spans="1:16" x14ac:dyDescent="0.25">
      <c r="A29" s="28" t="s">
        <v>2202</v>
      </c>
      <c r="B29" s="28" t="s">
        <v>2192</v>
      </c>
      <c r="C29" s="28" t="s">
        <v>2201</v>
      </c>
      <c r="D29" s="28" t="s">
        <v>549</v>
      </c>
      <c r="E29" s="29">
        <v>7738125000</v>
      </c>
      <c r="F29" s="30">
        <v>1.0463168480298844E-2</v>
      </c>
      <c r="G29" s="29">
        <v>6666276.3318347065</v>
      </c>
      <c r="H29" s="29">
        <v>74299029.264777794</v>
      </c>
      <c r="I29" s="124">
        <f t="shared" si="2"/>
        <v>80965305.596612498</v>
      </c>
      <c r="J29" s="52" t="s">
        <v>74</v>
      </c>
      <c r="K29" s="108" t="s">
        <v>76</v>
      </c>
      <c r="L29" s="125">
        <f>VLOOKUP(K29,'РейтPD FRED Graph'!$R$4:$V$26,5,0)</f>
        <v>2.993571512778008E-3</v>
      </c>
      <c r="M29" s="126">
        <f t="shared" ref="M29" si="6">L29*E29</f>
        <v>23164630.562315322</v>
      </c>
      <c r="N29" s="126">
        <f t="shared" ref="N29" si="7">M29+I29</f>
        <v>104129936.15892783</v>
      </c>
      <c r="P29" s="129">
        <f t="shared" si="5"/>
        <v>0</v>
      </c>
    </row>
    <row r="30" spans="1:16" x14ac:dyDescent="0.25">
      <c r="A30" s="28"/>
      <c r="B30" s="28"/>
      <c r="C30" s="28"/>
      <c r="D30" s="28"/>
      <c r="E30" s="29"/>
      <c r="F30" s="30"/>
      <c r="G30" s="29"/>
      <c r="H30" s="29"/>
      <c r="I30" s="124"/>
      <c r="J30" s="52"/>
      <c r="K30" s="108"/>
      <c r="L30" s="125"/>
      <c r="M30" s="126"/>
      <c r="N30" s="126"/>
      <c r="P30" s="129">
        <f t="shared" si="5"/>
        <v>0</v>
      </c>
    </row>
    <row r="31" spans="1:16" x14ac:dyDescent="0.25">
      <c r="A31" s="28"/>
      <c r="B31" s="28"/>
      <c r="C31" s="28"/>
      <c r="D31" s="28"/>
      <c r="E31" s="29"/>
      <c r="F31" s="30"/>
      <c r="G31" s="29"/>
      <c r="H31" s="29"/>
      <c r="I31" s="124"/>
      <c r="J31" s="52"/>
      <c r="K31" s="108"/>
      <c r="L31" s="125"/>
      <c r="M31" s="126"/>
      <c r="N31" s="126"/>
      <c r="P31" s="129">
        <f t="shared" si="5"/>
        <v>0</v>
      </c>
    </row>
    <row r="32" spans="1:16" x14ac:dyDescent="0.25">
      <c r="A32" s="28"/>
      <c r="B32" s="28"/>
      <c r="C32" s="28"/>
      <c r="D32" s="28"/>
      <c r="E32" s="29"/>
      <c r="F32" s="30"/>
      <c r="G32" s="29"/>
      <c r="H32" s="29"/>
      <c r="I32" s="124"/>
      <c r="J32" s="52"/>
      <c r="K32" s="108"/>
      <c r="L32" s="125"/>
      <c r="M32" s="126"/>
      <c r="N32" s="126"/>
      <c r="P32" s="129">
        <f t="shared" si="5"/>
        <v>0</v>
      </c>
    </row>
    <row r="33" spans="1:16" x14ac:dyDescent="0.25">
      <c r="A33" s="28"/>
      <c r="B33" s="28"/>
      <c r="C33" s="28"/>
      <c r="D33" s="28"/>
      <c r="E33" s="29"/>
      <c r="F33" s="30"/>
      <c r="G33" s="29"/>
      <c r="H33" s="29"/>
      <c r="I33" s="124"/>
      <c r="J33" s="52"/>
      <c r="K33" s="108"/>
      <c r="L33" s="125"/>
      <c r="M33" s="126"/>
      <c r="N33" s="126"/>
      <c r="P33" s="129">
        <f t="shared" si="5"/>
        <v>0</v>
      </c>
    </row>
  </sheetData>
  <mergeCells count="2">
    <mergeCell ref="A17:C17"/>
    <mergeCell ref="A18:C18"/>
  </mergeCells>
  <conditionalFormatting sqref="D40:D46">
    <cfRule type="cellIs" dxfId="1" priority="1" operator="greaterThan">
      <formula>0.35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7"/>
  <sheetViews>
    <sheetView topLeftCell="A61" zoomScale="80" zoomScaleNormal="80" workbookViewId="0">
      <selection activeCell="A38" sqref="A38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74" t="s">
        <v>108</v>
      </c>
      <c r="I1" s="275"/>
      <c r="J1" s="275"/>
      <c r="K1" s="276"/>
      <c r="M1" s="274" t="s">
        <v>108</v>
      </c>
      <c r="N1" s="275"/>
      <c r="O1" s="275"/>
      <c r="P1" s="276"/>
    </row>
    <row r="2" spans="1:32" ht="14.45" customHeight="1" x14ac:dyDescent="0.2">
      <c r="A2" s="272" t="s">
        <v>184</v>
      </c>
      <c r="B2" s="272"/>
      <c r="C2" s="272"/>
      <c r="D2" s="272"/>
      <c r="E2" s="272"/>
      <c r="F2" s="272"/>
      <c r="H2" s="274" t="s">
        <v>109</v>
      </c>
      <c r="I2" s="276"/>
      <c r="J2" s="86" t="s">
        <v>49</v>
      </c>
      <c r="K2" s="87">
        <v>0.75</v>
      </c>
      <c r="M2" s="274" t="s">
        <v>22</v>
      </c>
      <c r="N2" s="276"/>
      <c r="O2" s="86" t="s">
        <v>49</v>
      </c>
      <c r="P2" s="87">
        <v>1</v>
      </c>
      <c r="R2" s="273" t="s">
        <v>167</v>
      </c>
      <c r="S2" s="273"/>
      <c r="T2" s="273"/>
      <c r="U2" s="273"/>
      <c r="V2" s="273"/>
      <c r="W2" s="273"/>
      <c r="X2" s="273"/>
    </row>
    <row r="3" spans="1:32" ht="38.25" x14ac:dyDescent="0.2">
      <c r="A3" s="40" t="s">
        <v>50</v>
      </c>
      <c r="B3" s="40" t="s">
        <v>110</v>
      </c>
      <c r="C3" s="40" t="s">
        <v>51</v>
      </c>
      <c r="D3" s="40" t="s">
        <v>52</v>
      </c>
      <c r="E3" s="40" t="s">
        <v>53</v>
      </c>
      <c r="F3" s="40" t="s">
        <v>111</v>
      </c>
      <c r="G3" s="41"/>
      <c r="H3" s="40" t="s">
        <v>54</v>
      </c>
      <c r="I3" s="42" t="s">
        <v>55</v>
      </c>
      <c r="J3" s="42" t="s">
        <v>56</v>
      </c>
      <c r="K3" s="40" t="s">
        <v>44</v>
      </c>
      <c r="L3" s="41"/>
      <c r="M3" s="40" t="s">
        <v>54</v>
      </c>
      <c r="N3" s="42" t="s">
        <v>55</v>
      </c>
      <c r="O3" s="42" t="s">
        <v>56</v>
      </c>
      <c r="P3" s="40" t="s">
        <v>44</v>
      </c>
      <c r="R3" s="40" t="str">
        <f>B3</f>
        <v>Универсальная шкала</v>
      </c>
      <c r="S3" s="40" t="s">
        <v>54</v>
      </c>
      <c r="T3" s="42" t="s">
        <v>49</v>
      </c>
      <c r="U3" s="42"/>
      <c r="V3" s="40" t="s">
        <v>183</v>
      </c>
    </row>
    <row r="4" spans="1:32" x14ac:dyDescent="0.2">
      <c r="A4" s="43" t="s">
        <v>57</v>
      </c>
      <c r="B4" s="44" t="s">
        <v>58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-3.9659683870647928</v>
      </c>
      <c r="V4" s="120">
        <f>(_xlfn.NORM.S.DIST(U4,TRUE)-F4)*T4</f>
        <v>5.686686209143453E-6</v>
      </c>
      <c r="X4" s="208">
        <f>_xlfn.NORM.DIST(-0.04,E31,E32,TRUE)</f>
        <v>5.7998529233535587E-2</v>
      </c>
      <c r="Y4" s="118" t="s">
        <v>182</v>
      </c>
      <c r="Z4" s="117" t="s">
        <v>192</v>
      </c>
      <c r="AF4" s="119"/>
    </row>
    <row r="5" spans="1:32" x14ac:dyDescent="0.2">
      <c r="A5" s="43" t="s">
        <v>59</v>
      </c>
      <c r="B5" s="44" t="s">
        <v>60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-3.5670182670294217</v>
      </c>
      <c r="V5" s="120">
        <f t="shared" ref="V5:V24" si="3">(_xlfn.NORM.S.DIST(U5,TRUE)-F5)*T5</f>
        <v>3.7018056010916232E-5</v>
      </c>
      <c r="Z5" s="38" t="s">
        <v>193</v>
      </c>
      <c r="AF5" s="119"/>
    </row>
    <row r="6" spans="1:32" x14ac:dyDescent="0.2">
      <c r="A6" s="43" t="s">
        <v>61</v>
      </c>
      <c r="B6" s="44" t="s">
        <v>62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-3.4920284537420967</v>
      </c>
      <c r="V6" s="120">
        <f t="shared" si="3"/>
        <v>5.1772815203803663E-5</v>
      </c>
      <c r="X6" s="38">
        <f>1-X4</f>
        <v>0.94200147076646445</v>
      </c>
      <c r="AF6" s="119"/>
    </row>
    <row r="7" spans="1:32" x14ac:dyDescent="0.2">
      <c r="A7" s="43" t="s">
        <v>63</v>
      </c>
      <c r="B7" s="44" t="s">
        <v>64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-2.9198113789146145</v>
      </c>
      <c r="V7" s="120">
        <f t="shared" si="3"/>
        <v>5.5011097460780476E-4</v>
      </c>
      <c r="AF7" s="119"/>
    </row>
    <row r="8" spans="1:32" x14ac:dyDescent="0.2">
      <c r="A8" s="43" t="s">
        <v>65</v>
      </c>
      <c r="B8" s="44" t="s">
        <v>66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-2.910987501933644</v>
      </c>
      <c r="V8" s="120">
        <f t="shared" si="3"/>
        <v>5.6887604637056402E-4</v>
      </c>
      <c r="AF8" s="119"/>
    </row>
    <row r="9" spans="1:32" x14ac:dyDescent="0.2">
      <c r="A9" s="43" t="s">
        <v>67</v>
      </c>
      <c r="B9" s="44" t="s">
        <v>68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-2.9010163904899358</v>
      </c>
      <c r="V9" s="120">
        <f t="shared" si="3"/>
        <v>5.9078645144314756E-4</v>
      </c>
      <c r="AF9" s="119"/>
    </row>
    <row r="10" spans="1:32" x14ac:dyDescent="0.2">
      <c r="A10" s="43" t="s">
        <v>69</v>
      </c>
      <c r="B10" s="44" t="s">
        <v>70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-2.8853436696844756</v>
      </c>
      <c r="V10" s="120">
        <f t="shared" si="3"/>
        <v>6.2679332166728846E-4</v>
      </c>
      <c r="AF10" s="119"/>
    </row>
    <row r="11" spans="1:32" x14ac:dyDescent="0.2">
      <c r="A11" s="43" t="s">
        <v>71</v>
      </c>
      <c r="B11" s="44" t="s">
        <v>72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-2.7392734973344615</v>
      </c>
      <c r="V11" s="120">
        <f t="shared" si="3"/>
        <v>1.0724741748678645E-3</v>
      </c>
      <c r="AF11" s="119"/>
    </row>
    <row r="12" spans="1:32" x14ac:dyDescent="0.2">
      <c r="A12" s="43" t="s">
        <v>73</v>
      </c>
      <c r="B12" s="44" t="s">
        <v>74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-2.6727210961237926</v>
      </c>
      <c r="V12" s="120">
        <f t="shared" si="3"/>
        <v>1.3579482538216754E-3</v>
      </c>
      <c r="AF12" s="119"/>
    </row>
    <row r="13" spans="1:32" x14ac:dyDescent="0.2">
      <c r="A13" s="43" t="s">
        <v>75</v>
      </c>
      <c r="B13" s="44" t="s">
        <v>76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-2.4369945616159354</v>
      </c>
      <c r="V13" s="120">
        <f t="shared" si="3"/>
        <v>2.993571512778008E-3</v>
      </c>
      <c r="AF13" s="119"/>
    </row>
    <row r="14" spans="1:32" x14ac:dyDescent="0.2">
      <c r="A14" s="43" t="s">
        <v>77</v>
      </c>
      <c r="B14" s="44" t="s">
        <v>78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-2.3145421774006829</v>
      </c>
      <c r="V14" s="120">
        <f t="shared" si="3"/>
        <v>4.3845995125304429E-3</v>
      </c>
      <c r="AF14" s="119"/>
    </row>
    <row r="15" spans="1:32" x14ac:dyDescent="0.2">
      <c r="A15" s="43" t="s">
        <v>79</v>
      </c>
      <c r="B15" s="44" t="s">
        <v>80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-2.1418996032661255</v>
      </c>
      <c r="V15" s="120">
        <f t="shared" si="3"/>
        <v>7.2473003878630905E-3</v>
      </c>
      <c r="AF15" s="119"/>
    </row>
    <row r="16" spans="1:32" x14ac:dyDescent="0.2">
      <c r="A16" s="43" t="s">
        <v>81</v>
      </c>
      <c r="B16" s="44" t="s">
        <v>82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-1.8935759325583084</v>
      </c>
      <c r="V16" s="120">
        <f t="shared" si="3"/>
        <v>1.3812666951430758E-2</v>
      </c>
      <c r="AF16" s="119"/>
    </row>
    <row r="17" spans="1:32" x14ac:dyDescent="0.2">
      <c r="A17" s="43" t="s">
        <v>83</v>
      </c>
      <c r="B17" s="44" t="s">
        <v>84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-1.7196898001850349</v>
      </c>
      <c r="V17" s="120">
        <f t="shared" si="3"/>
        <v>2.0466988838264821E-2</v>
      </c>
      <c r="AF17" s="119"/>
    </row>
    <row r="18" spans="1:32" x14ac:dyDescent="0.2">
      <c r="A18" s="43" t="s">
        <v>85</v>
      </c>
      <c r="B18" s="44" t="s">
        <v>86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-1.5493321111238048</v>
      </c>
      <c r="V18" s="120">
        <f t="shared" si="3"/>
        <v>2.8721928478474278E-2</v>
      </c>
      <c r="AF18" s="119"/>
    </row>
    <row r="19" spans="1:32" x14ac:dyDescent="0.2">
      <c r="A19" s="43" t="s">
        <v>87</v>
      </c>
      <c r="B19" s="44" t="s">
        <v>88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-1.3071070641915135</v>
      </c>
      <c r="V19" s="120">
        <f t="shared" si="3"/>
        <v>4.3541413858999928E-2</v>
      </c>
      <c r="AF19" s="119"/>
    </row>
    <row r="20" spans="1:32" x14ac:dyDescent="0.2">
      <c r="A20" s="43" t="s">
        <v>89</v>
      </c>
      <c r="B20" s="43" t="s">
        <v>90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-0.79724683699899068</v>
      </c>
      <c r="V20" s="120">
        <f t="shared" si="3"/>
        <v>8.6795788477334213E-2</v>
      </c>
      <c r="AF20" s="119"/>
    </row>
    <row r="21" spans="1:32" x14ac:dyDescent="0.2">
      <c r="A21" s="43" t="s">
        <v>91</v>
      </c>
      <c r="B21" s="43" t="s">
        <v>92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-0.4751745219805189</v>
      </c>
      <c r="V21" s="120">
        <f t="shared" si="3"/>
        <v>0.11711741953035826</v>
      </c>
      <c r="AF21" s="119"/>
    </row>
    <row r="22" spans="1:32" x14ac:dyDescent="0.2">
      <c r="A22" s="43" t="s">
        <v>112</v>
      </c>
      <c r="B22" s="43" t="s">
        <v>93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-0.32025158957474159</v>
      </c>
      <c r="V22" s="120">
        <f t="shared" si="3"/>
        <v>0.13009414354460994</v>
      </c>
      <c r="AF22" s="119"/>
    </row>
    <row r="23" spans="1:32" x14ac:dyDescent="0.2">
      <c r="A23" s="44" t="s">
        <v>113</v>
      </c>
      <c r="B23" s="44" t="s">
        <v>94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-0.18005567725843108</v>
      </c>
      <c r="V23" s="120">
        <f t="shared" si="3"/>
        <v>0.14005218161778185</v>
      </c>
      <c r="AF23" s="119"/>
    </row>
    <row r="24" spans="1:32" x14ac:dyDescent="0.2">
      <c r="A24" s="44" t="s">
        <v>97</v>
      </c>
      <c r="B24" s="44" t="s">
        <v>114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0.77771685231071974</v>
      </c>
      <c r="V24" s="120">
        <f t="shared" si="3"/>
        <v>0.13768203299095993</v>
      </c>
      <c r="AF24" s="119"/>
    </row>
    <row r="25" spans="1:32" x14ac:dyDescent="0.2">
      <c r="A25" s="44" t="s">
        <v>97</v>
      </c>
      <c r="B25" s="44" t="s">
        <v>131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7"/>
      <c r="N25" s="87"/>
      <c r="O25" s="87"/>
      <c r="P25" s="121">
        <f>F25</f>
        <v>1</v>
      </c>
      <c r="R25" s="44" t="str">
        <f t="shared" si="0"/>
        <v>RD</v>
      </c>
      <c r="S25" s="45"/>
      <c r="T25" s="47"/>
      <c r="U25" s="47"/>
      <c r="V25" s="120">
        <f>F25</f>
        <v>1</v>
      </c>
      <c r="AF25" s="119"/>
    </row>
    <row r="26" spans="1:32" x14ac:dyDescent="0.2">
      <c r="A26" s="44" t="s">
        <v>114</v>
      </c>
      <c r="B26" s="44" t="s">
        <v>115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7"/>
      <c r="N26" s="87"/>
      <c r="O26" s="87"/>
      <c r="P26" s="121">
        <f>F26</f>
        <v>1</v>
      </c>
      <c r="R26" s="44" t="str">
        <f t="shared" si="0"/>
        <v>D</v>
      </c>
      <c r="S26" s="45"/>
      <c r="T26" s="47"/>
      <c r="U26" s="47"/>
      <c r="V26" s="120">
        <f>F26</f>
        <v>1</v>
      </c>
    </row>
    <row r="30" spans="1:32" ht="15" customHeight="1" x14ac:dyDescent="0.2">
      <c r="A30" s="271" t="s">
        <v>168</v>
      </c>
      <c r="B30" s="271"/>
      <c r="C30" s="271"/>
      <c r="D30" s="271"/>
      <c r="E30" s="271"/>
      <c r="F30" s="271"/>
      <c r="G30" s="271"/>
      <c r="H30" s="271"/>
      <c r="I30" s="271"/>
      <c r="J30" s="271"/>
      <c r="K30" s="271"/>
      <c r="L30" s="271"/>
      <c r="M30" s="271"/>
      <c r="N30" s="271"/>
    </row>
    <row r="31" spans="1:32" ht="15" x14ac:dyDescent="0.25">
      <c r="A31" s="110"/>
      <c r="B31" s="110"/>
      <c r="C31" s="110"/>
      <c r="D31" s="114" t="s">
        <v>169</v>
      </c>
      <c r="E31" s="116">
        <f>AVERAGE(C45:C230)</f>
        <v>2.6342054209003936E-2</v>
      </c>
      <c r="F31" s="115"/>
      <c r="G31" s="115">
        <v>0.999</v>
      </c>
      <c r="H31" s="116">
        <f>_xlfn.NORM.INV(1-G31,$E$31,$E$32)</f>
        <v>-0.10408956871136507</v>
      </c>
      <c r="I31" s="115">
        <f>COUNTIF(C48:C230,"&lt;=" &amp;H31)</f>
        <v>0</v>
      </c>
      <c r="J31" s="110"/>
    </row>
    <row r="32" spans="1:32" ht="15" x14ac:dyDescent="0.25">
      <c r="A32" s="110" t="s">
        <v>170</v>
      </c>
      <c r="B32" s="110"/>
      <c r="C32" s="110"/>
      <c r="D32" s="114" t="s">
        <v>171</v>
      </c>
      <c r="E32" s="116">
        <f>_xlfn.STDEV.S(C45:C230)</f>
        <v>4.2207708028952948E-2</v>
      </c>
      <c r="F32" s="115"/>
      <c r="G32" s="115">
        <v>0.995</v>
      </c>
      <c r="H32" s="116">
        <f>_xlfn.NORM.INV(1-G32,$E$31,$E$32)</f>
        <v>-8.2377796967609246E-2</v>
      </c>
      <c r="I32" s="115">
        <f>COUNTIF(C48:C230,"&lt;=" &amp;H32)</f>
        <v>1</v>
      </c>
      <c r="J32" s="110"/>
    </row>
    <row r="33" spans="1:10" ht="15" x14ac:dyDescent="0.25">
      <c r="A33" s="110" t="s">
        <v>172</v>
      </c>
      <c r="B33" s="110"/>
      <c r="C33" s="110"/>
      <c r="D33" s="115"/>
      <c r="E33" s="115"/>
      <c r="F33" s="115"/>
      <c r="G33" s="115">
        <v>0.99</v>
      </c>
      <c r="H33" s="116">
        <f>_xlfn.NORM.INV(1-G33,$E$31,$E$32)</f>
        <v>-7.184775763228729E-2</v>
      </c>
      <c r="I33" s="115">
        <f>COUNTIF(C48:C230,"&lt;=" &amp;H33)</f>
        <v>3</v>
      </c>
      <c r="J33" s="110"/>
    </row>
    <row r="34" spans="1:10" ht="15" x14ac:dyDescent="0.25">
      <c r="A34" s="110" t="s">
        <v>173</v>
      </c>
      <c r="B34" s="110"/>
      <c r="C34" s="110"/>
      <c r="D34" s="115"/>
      <c r="E34" s="115"/>
      <c r="F34" s="115"/>
      <c r="G34" s="115">
        <v>0.95</v>
      </c>
      <c r="H34" s="116">
        <f>_xlfn.NORM.INV(1-G34,$E$31,$E$32)</f>
        <v>-4.3083447427728065E-2</v>
      </c>
      <c r="I34" s="115">
        <f>COUNTIF(C48:C230,"&lt;=" &amp;H34)</f>
        <v>4</v>
      </c>
      <c r="J34" s="110"/>
    </row>
    <row r="35" spans="1:10" ht="15" x14ac:dyDescent="0.25">
      <c r="A35" s="110" t="s">
        <v>174</v>
      </c>
      <c r="B35" s="110"/>
      <c r="C35" s="110"/>
      <c r="D35" s="115"/>
      <c r="E35" s="115"/>
      <c r="F35" s="115"/>
      <c r="G35" s="115">
        <v>0.9</v>
      </c>
      <c r="H35" s="116">
        <f>_xlfn.NORM.INV(1-G35,$E$31,$E$32)</f>
        <v>-2.7749300093550124E-2</v>
      </c>
      <c r="I35" s="115">
        <f>COUNTIF(C48:C230,"&lt;=" &amp;H35)</f>
        <v>6</v>
      </c>
      <c r="J35" s="110"/>
    </row>
    <row r="36" spans="1:10" ht="15" x14ac:dyDescent="0.25">
      <c r="A36" s="110" t="s">
        <v>175</v>
      </c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 ht="15" x14ac:dyDescent="0.25">
      <c r="A37" s="110" t="s">
        <v>176</v>
      </c>
      <c r="B37" s="110" t="s">
        <v>177</v>
      </c>
      <c r="C37" s="110"/>
      <c r="D37" s="110"/>
      <c r="E37" s="110"/>
      <c r="F37" s="110"/>
      <c r="G37" s="110"/>
      <c r="H37" s="110"/>
      <c r="I37" s="110"/>
      <c r="J37" s="110"/>
    </row>
    <row r="38" spans="1:10" ht="15" x14ac:dyDescent="0.25">
      <c r="A38" s="130" t="s">
        <v>180</v>
      </c>
      <c r="B38" s="113"/>
      <c r="C38" s="110"/>
      <c r="D38" s="110"/>
      <c r="E38" s="110"/>
      <c r="F38" s="110"/>
      <c r="G38" s="110"/>
      <c r="H38" s="110"/>
      <c r="I38" s="110"/>
      <c r="J38" s="110"/>
    </row>
    <row r="39" spans="1:10" ht="15" x14ac:dyDescent="0.25">
      <c r="A39" s="112"/>
      <c r="B39" s="113"/>
      <c r="C39" s="110"/>
      <c r="D39" s="110"/>
      <c r="E39" s="110"/>
      <c r="F39" s="110"/>
      <c r="G39" s="110"/>
      <c r="H39" s="110"/>
      <c r="I39" s="110"/>
      <c r="J39" s="110"/>
    </row>
    <row r="40" spans="1:10" ht="15" x14ac:dyDescent="0.25">
      <c r="A40" s="112"/>
      <c r="B40" s="113" t="s">
        <v>181</v>
      </c>
      <c r="C40" s="110"/>
      <c r="D40" s="110"/>
      <c r="E40" s="110"/>
      <c r="F40" s="110"/>
      <c r="G40" s="110"/>
      <c r="H40" s="110"/>
      <c r="I40" s="110"/>
      <c r="J40" s="110"/>
    </row>
    <row r="41" spans="1:10" ht="15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ht="15" x14ac:dyDescent="0.25">
      <c r="A42" s="110" t="s">
        <v>178</v>
      </c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ht="15" x14ac:dyDescent="0.25">
      <c r="A43" s="110" t="s">
        <v>179</v>
      </c>
      <c r="B43" s="110" t="s">
        <v>176</v>
      </c>
      <c r="C43" s="110"/>
      <c r="D43" s="110"/>
      <c r="E43" s="110"/>
      <c r="F43" s="110"/>
      <c r="G43" s="110"/>
      <c r="H43" s="110"/>
      <c r="I43" s="110"/>
      <c r="J43" s="110"/>
    </row>
    <row r="44" spans="1:10" ht="15" x14ac:dyDescent="0.25">
      <c r="A44" s="111">
        <v>37622</v>
      </c>
      <c r="B44" s="207">
        <v>65.503328371950602</v>
      </c>
      <c r="C44" s="207"/>
      <c r="D44" s="207"/>
      <c r="E44" s="207"/>
      <c r="F44" s="110"/>
      <c r="G44" s="110"/>
      <c r="H44" s="110"/>
      <c r="I44" s="110"/>
      <c r="J44" s="110"/>
    </row>
    <row r="45" spans="1:10" ht="15" x14ac:dyDescent="0.25">
      <c r="A45" s="111">
        <v>37712</v>
      </c>
      <c r="B45" s="207">
        <v>66.233976432697602</v>
      </c>
      <c r="C45" s="207"/>
      <c r="D45" s="207"/>
      <c r="E45" s="207"/>
      <c r="F45" s="110"/>
      <c r="G45" s="110"/>
      <c r="H45" s="110"/>
      <c r="I45" s="110"/>
      <c r="J45" s="110"/>
    </row>
    <row r="46" spans="1:10" ht="15" x14ac:dyDescent="0.25">
      <c r="A46" s="111">
        <v>37803</v>
      </c>
      <c r="B46" s="207">
        <v>67.352116687288003</v>
      </c>
      <c r="C46" s="207"/>
      <c r="D46" s="207"/>
      <c r="E46" s="207"/>
      <c r="F46" s="110"/>
      <c r="G46" s="110"/>
      <c r="H46" s="110"/>
      <c r="I46" s="110"/>
      <c r="J46" s="110"/>
    </row>
    <row r="47" spans="1:10" ht="15" x14ac:dyDescent="0.25">
      <c r="A47" s="111">
        <v>37895</v>
      </c>
      <c r="B47" s="207">
        <v>68.5804972327944</v>
      </c>
      <c r="C47" s="207"/>
      <c r="D47" s="207"/>
      <c r="E47" s="207"/>
      <c r="F47" s="110"/>
      <c r="G47" s="110"/>
      <c r="H47" s="110"/>
      <c r="I47" s="110"/>
      <c r="J47" s="110"/>
    </row>
    <row r="48" spans="1:10" ht="15" x14ac:dyDescent="0.25">
      <c r="A48" s="111">
        <v>37987</v>
      </c>
      <c r="B48" s="207">
        <v>69.868896355573895</v>
      </c>
      <c r="C48" s="207">
        <f>LN(B48/B44)</f>
        <v>6.4519620566703975E-2</v>
      </c>
      <c r="D48" s="207">
        <f>(C48-$E$31)/$E$32</f>
        <v>0.90451645304956196</v>
      </c>
      <c r="E48" s="207">
        <f>_xlfn.NORM.DIST(C48,$E$31,$E$32,TRUE)</f>
        <v>0.81713919295959747</v>
      </c>
      <c r="F48" s="110"/>
      <c r="G48" s="110"/>
      <c r="H48" s="110"/>
      <c r="I48" s="110"/>
      <c r="J48" s="110"/>
    </row>
    <row r="49" spans="1:10" ht="15" x14ac:dyDescent="0.25">
      <c r="A49" s="111">
        <v>38078</v>
      </c>
      <c r="B49" s="207">
        <v>71.215398575934302</v>
      </c>
      <c r="C49" s="207">
        <f t="shared" ref="C49:C112" si="5">LN(B49/B45)</f>
        <v>7.251549672298585E-2</v>
      </c>
      <c r="D49" s="207">
        <f t="shared" ref="D49:D112" si="6">(C49-$E$31)/$E$32</f>
        <v>1.0939575890334678</v>
      </c>
      <c r="E49" s="207">
        <f t="shared" ref="E49:E112" si="7">_xlfn.NORM.DIST(C49,$E$31,$E$32,TRUE)</f>
        <v>0.86301321034362133</v>
      </c>
      <c r="F49" s="110"/>
      <c r="G49" s="110"/>
      <c r="H49" s="110"/>
      <c r="I49" s="110"/>
      <c r="J49" s="110"/>
    </row>
    <row r="50" spans="1:10" ht="15" x14ac:dyDescent="0.25">
      <c r="A50" s="111">
        <v>38169</v>
      </c>
      <c r="B50" s="207">
        <v>72.293980850906806</v>
      </c>
      <c r="C50" s="207">
        <f t="shared" si="5"/>
        <v>7.0806542758026961E-2</v>
      </c>
      <c r="D50" s="207">
        <f t="shared" si="6"/>
        <v>1.05346844511249</v>
      </c>
      <c r="E50" s="207">
        <f t="shared" si="7"/>
        <v>0.85393682548644556</v>
      </c>
      <c r="F50" s="110"/>
      <c r="G50" s="110"/>
      <c r="H50" s="110"/>
      <c r="I50" s="110"/>
      <c r="J50" s="110"/>
    </row>
    <row r="51" spans="1:10" ht="15" x14ac:dyDescent="0.25">
      <c r="A51" s="111">
        <v>38261</v>
      </c>
      <c r="B51" s="207">
        <v>73.102351023215306</v>
      </c>
      <c r="C51" s="207">
        <f t="shared" si="5"/>
        <v>6.385233056507196E-2</v>
      </c>
      <c r="D51" s="207">
        <f t="shared" si="6"/>
        <v>0.88870678148022975</v>
      </c>
      <c r="E51" s="207">
        <f t="shared" si="7"/>
        <v>0.81291965722746073</v>
      </c>
      <c r="F51" s="110"/>
      <c r="G51" s="110"/>
      <c r="H51" s="110"/>
      <c r="I51" s="110"/>
      <c r="J51" s="110"/>
    </row>
    <row r="52" spans="1:10" ht="15" x14ac:dyDescent="0.25">
      <c r="A52" s="111">
        <v>38353</v>
      </c>
      <c r="B52" s="207">
        <v>74.380240105872403</v>
      </c>
      <c r="C52" s="207">
        <f t="shared" si="5"/>
        <v>6.2569739833129009E-2</v>
      </c>
      <c r="D52" s="207">
        <f t="shared" si="6"/>
        <v>0.8583191866109906</v>
      </c>
      <c r="E52" s="207">
        <f t="shared" si="7"/>
        <v>0.80464188114199486</v>
      </c>
      <c r="F52" s="110"/>
      <c r="G52" s="110"/>
      <c r="H52" s="110"/>
      <c r="I52" s="110"/>
      <c r="J52" s="110"/>
    </row>
    <row r="53" spans="1:10" ht="15" x14ac:dyDescent="0.25">
      <c r="A53" s="111">
        <v>38443</v>
      </c>
      <c r="B53" s="207">
        <v>75.512526909641394</v>
      </c>
      <c r="C53" s="207">
        <f t="shared" si="5"/>
        <v>5.8589494656495086E-2</v>
      </c>
      <c r="D53" s="207">
        <f t="shared" si="6"/>
        <v>0.76401780512153328</v>
      </c>
      <c r="E53" s="207">
        <f t="shared" si="7"/>
        <v>0.77757168392885556</v>
      </c>
      <c r="F53" s="110"/>
      <c r="G53" s="110"/>
      <c r="H53" s="110"/>
      <c r="I53" s="110"/>
      <c r="J53" s="110"/>
    </row>
    <row r="54" spans="1:10" ht="15" x14ac:dyDescent="0.25">
      <c r="A54" s="111">
        <v>38534</v>
      </c>
      <c r="B54" s="207">
        <v>76.843212393415897</v>
      </c>
      <c r="C54" s="207">
        <f t="shared" si="5"/>
        <v>6.1026270000554488E-2</v>
      </c>
      <c r="D54" s="207">
        <f t="shared" si="6"/>
        <v>0.82175075149208399</v>
      </c>
      <c r="E54" s="207">
        <f t="shared" si="7"/>
        <v>0.79439061595458293</v>
      </c>
      <c r="F54" s="110"/>
      <c r="G54" s="110"/>
      <c r="H54" s="110"/>
      <c r="I54" s="110"/>
      <c r="J54" s="110"/>
    </row>
    <row r="55" spans="1:10" ht="15" x14ac:dyDescent="0.25">
      <c r="A55" s="111">
        <v>38626</v>
      </c>
      <c r="B55" s="207">
        <v>78.428365279999994</v>
      </c>
      <c r="C55" s="207">
        <f t="shared" si="5"/>
        <v>7.0325135983755865E-2</v>
      </c>
      <c r="D55" s="207">
        <f t="shared" si="6"/>
        <v>1.0420627849439523</v>
      </c>
      <c r="E55" s="207">
        <f t="shared" si="7"/>
        <v>0.85130871447078293</v>
      </c>
      <c r="F55" s="110"/>
      <c r="G55" s="110"/>
      <c r="H55" s="110"/>
      <c r="I55" s="110"/>
      <c r="J55" s="110"/>
    </row>
    <row r="56" spans="1:10" ht="15" x14ac:dyDescent="0.25">
      <c r="A56" s="111">
        <v>38718</v>
      </c>
      <c r="B56" s="207">
        <v>79.942507382151703</v>
      </c>
      <c r="C56" s="207">
        <f t="shared" si="5"/>
        <v>7.2117402003578746E-2</v>
      </c>
      <c r="D56" s="207">
        <f t="shared" si="6"/>
        <v>1.0845257876398924</v>
      </c>
      <c r="E56" s="207">
        <f t="shared" si="7"/>
        <v>0.86093413024331189</v>
      </c>
      <c r="F56" s="110"/>
      <c r="G56" s="110"/>
      <c r="H56" s="110"/>
      <c r="I56" s="110"/>
      <c r="J56" s="110"/>
    </row>
    <row r="57" spans="1:10" ht="15" x14ac:dyDescent="0.25">
      <c r="A57" s="111">
        <v>38808</v>
      </c>
      <c r="B57" s="207">
        <v>81.481483752437896</v>
      </c>
      <c r="C57" s="207">
        <f t="shared" si="5"/>
        <v>7.6077239388019094E-2</v>
      </c>
      <c r="D57" s="207">
        <f t="shared" si="6"/>
        <v>1.1783436604730737</v>
      </c>
      <c r="E57" s="207">
        <f t="shared" si="7"/>
        <v>0.88067018575257805</v>
      </c>
      <c r="F57" s="110"/>
      <c r="G57" s="110"/>
      <c r="H57" s="110"/>
      <c r="I57" s="110"/>
      <c r="J57" s="110"/>
    </row>
    <row r="58" spans="1:10" ht="15" x14ac:dyDescent="0.25">
      <c r="A58" s="111">
        <v>38899</v>
      </c>
      <c r="B58" s="207">
        <v>83.352403865435306</v>
      </c>
      <c r="C58" s="207">
        <f t="shared" si="5"/>
        <v>8.1310306106349289E-2</v>
      </c>
      <c r="D58" s="207">
        <f t="shared" si="6"/>
        <v>1.3023273346100466</v>
      </c>
      <c r="E58" s="207">
        <f t="shared" si="7"/>
        <v>0.90359774437835472</v>
      </c>
      <c r="F58" s="110"/>
      <c r="G58" s="110"/>
      <c r="H58" s="110"/>
      <c r="I58" s="110"/>
      <c r="J58" s="110"/>
    </row>
    <row r="59" spans="1:10" ht="15" x14ac:dyDescent="0.25">
      <c r="A59" s="111">
        <v>38991</v>
      </c>
      <c r="B59" s="207">
        <v>84.935466488330604</v>
      </c>
      <c r="C59" s="207">
        <f t="shared" si="5"/>
        <v>7.9706086391589048E-2</v>
      </c>
      <c r="D59" s="207">
        <f t="shared" si="6"/>
        <v>1.264319591719582</v>
      </c>
      <c r="E59" s="207">
        <f t="shared" si="7"/>
        <v>0.89694232981098532</v>
      </c>
      <c r="F59" s="110"/>
      <c r="G59" s="110"/>
      <c r="H59" s="110"/>
      <c r="I59" s="110"/>
      <c r="J59" s="110"/>
    </row>
    <row r="60" spans="1:10" ht="15" x14ac:dyDescent="0.25">
      <c r="A60" s="111">
        <v>39083</v>
      </c>
      <c r="B60" s="207">
        <v>86.475899369101896</v>
      </c>
      <c r="C60" s="207">
        <f t="shared" si="5"/>
        <v>7.8558036513156529E-2</v>
      </c>
      <c r="D60" s="207">
        <f t="shared" si="6"/>
        <v>1.2371195865061977</v>
      </c>
      <c r="E60" s="207">
        <f t="shared" si="7"/>
        <v>0.8919786553725243</v>
      </c>
      <c r="F60" s="110"/>
      <c r="G60" s="110"/>
      <c r="H60" s="110"/>
      <c r="I60" s="110"/>
      <c r="J60" s="110"/>
    </row>
    <row r="61" spans="1:10" ht="15" x14ac:dyDescent="0.25">
      <c r="A61" s="111">
        <v>39173</v>
      </c>
      <c r="B61" s="207">
        <v>88.658376551872493</v>
      </c>
      <c r="C61" s="207">
        <f t="shared" si="5"/>
        <v>8.44147169942433E-2</v>
      </c>
      <c r="D61" s="207">
        <f t="shared" si="6"/>
        <v>1.3758781392584416</v>
      </c>
      <c r="E61" s="207">
        <f t="shared" si="7"/>
        <v>0.91557031784020082</v>
      </c>
      <c r="F61" s="110"/>
      <c r="G61" s="110"/>
      <c r="H61" s="110"/>
      <c r="I61" s="110"/>
      <c r="J61" s="110"/>
    </row>
    <row r="62" spans="1:10" ht="15" x14ac:dyDescent="0.25">
      <c r="A62" s="111">
        <v>39264</v>
      </c>
      <c r="B62" s="207">
        <v>90.613391615834601</v>
      </c>
      <c r="C62" s="207">
        <f t="shared" si="5"/>
        <v>8.3524563057342918E-2</v>
      </c>
      <c r="D62" s="207">
        <f t="shared" si="6"/>
        <v>1.3547882962304862</v>
      </c>
      <c r="E62" s="207">
        <f t="shared" si="7"/>
        <v>0.91225749173083504</v>
      </c>
      <c r="F62" s="110"/>
      <c r="G62" s="110"/>
      <c r="H62" s="110"/>
      <c r="I62" s="110"/>
      <c r="J62" s="110"/>
    </row>
    <row r="63" spans="1:10" ht="15" x14ac:dyDescent="0.25">
      <c r="A63" s="111">
        <v>39356</v>
      </c>
      <c r="B63" s="207">
        <v>93.507431259581594</v>
      </c>
      <c r="C63" s="207">
        <f t="shared" si="5"/>
        <v>9.6149161494286872E-2</v>
      </c>
      <c r="D63" s="207">
        <f t="shared" si="6"/>
        <v>1.653894763425624</v>
      </c>
      <c r="E63" s="207">
        <f t="shared" si="7"/>
        <v>0.95092555158713121</v>
      </c>
      <c r="F63" s="110"/>
      <c r="G63" s="110"/>
      <c r="H63" s="110"/>
      <c r="I63" s="110"/>
      <c r="J63" s="110"/>
    </row>
    <row r="64" spans="1:10" ht="15" x14ac:dyDescent="0.25">
      <c r="A64" s="111">
        <v>39448</v>
      </c>
      <c r="B64" s="207">
        <v>95.988344076975295</v>
      </c>
      <c r="C64" s="207">
        <f t="shared" si="5"/>
        <v>0.10436101312580805</v>
      </c>
      <c r="D64" s="207">
        <f t="shared" si="6"/>
        <v>1.8484528670281255</v>
      </c>
      <c r="E64" s="207">
        <f t="shared" si="7"/>
        <v>0.96773157159466383</v>
      </c>
      <c r="F64" s="110"/>
      <c r="G64" s="110"/>
      <c r="H64" s="110"/>
      <c r="I64" s="110"/>
      <c r="J64" s="110"/>
    </row>
    <row r="65" spans="1:10" ht="15" x14ac:dyDescent="0.25">
      <c r="A65" s="111">
        <v>39539</v>
      </c>
      <c r="B65" s="207">
        <v>96.585009921954295</v>
      </c>
      <c r="C65" s="207">
        <f t="shared" si="5"/>
        <v>8.5633034178795142E-2</v>
      </c>
      <c r="D65" s="207">
        <f t="shared" si="6"/>
        <v>1.4047429424293723</v>
      </c>
      <c r="E65" s="207">
        <f t="shared" si="7"/>
        <v>0.9199511343401966</v>
      </c>
      <c r="F65" s="110"/>
      <c r="G65" s="110"/>
      <c r="H65" s="110"/>
      <c r="I65" s="110"/>
      <c r="J65" s="110"/>
    </row>
    <row r="66" spans="1:10" ht="15" x14ac:dyDescent="0.25">
      <c r="A66" s="111">
        <v>39630</v>
      </c>
      <c r="B66" s="207">
        <v>95.145247509667399</v>
      </c>
      <c r="C66" s="207">
        <f t="shared" si="5"/>
        <v>4.8802632689593783E-2</v>
      </c>
      <c r="D66" s="207">
        <f t="shared" si="6"/>
        <v>0.53214399761253817</v>
      </c>
      <c r="E66" s="207">
        <f t="shared" si="7"/>
        <v>0.70268686667582136</v>
      </c>
      <c r="F66" s="110"/>
      <c r="G66" s="110"/>
      <c r="H66" s="110"/>
      <c r="I66" s="110"/>
      <c r="J66" s="110"/>
    </row>
    <row r="67" spans="1:10" ht="15" x14ac:dyDescent="0.25">
      <c r="A67" s="111">
        <v>39722</v>
      </c>
      <c r="B67" s="207">
        <v>92.050922843727506</v>
      </c>
      <c r="C67" s="207">
        <f t="shared" si="5"/>
        <v>-1.5698978758184934E-2</v>
      </c>
      <c r="D67" s="207">
        <f t="shared" si="6"/>
        <v>-0.99605107527635128</v>
      </c>
      <c r="E67" s="207">
        <f t="shared" si="7"/>
        <v>0.15961266474952482</v>
      </c>
      <c r="F67" s="110"/>
      <c r="G67" s="110"/>
      <c r="H67" s="110"/>
      <c r="I67" s="110"/>
      <c r="J67" s="110"/>
    </row>
    <row r="68" spans="1:10" ht="15" x14ac:dyDescent="0.25">
      <c r="A68" s="111">
        <v>39814</v>
      </c>
      <c r="B68" s="207">
        <v>88.804303586915495</v>
      </c>
      <c r="C68" s="207">
        <f t="shared" si="5"/>
        <v>-7.7791655591085265E-2</v>
      </c>
      <c r="D68" s="207">
        <f t="shared" si="6"/>
        <v>-2.4671728142323501</v>
      </c>
      <c r="E68" s="207">
        <f t="shared" si="7"/>
        <v>6.8092307287623988E-3</v>
      </c>
      <c r="F68" s="110"/>
      <c r="G68" s="110"/>
      <c r="H68" s="110"/>
      <c r="I68" s="110"/>
      <c r="J68" s="110"/>
    </row>
    <row r="69" spans="1:10" ht="15" x14ac:dyDescent="0.25">
      <c r="A69" s="111">
        <v>39904</v>
      </c>
      <c r="B69" s="207">
        <v>87.508772429701096</v>
      </c>
      <c r="C69" s="207">
        <f t="shared" si="5"/>
        <v>-9.8684507708266062E-2</v>
      </c>
      <c r="D69" s="207">
        <f t="shared" si="6"/>
        <v>-2.9621736823877365</v>
      </c>
      <c r="E69" s="207">
        <f t="shared" si="7"/>
        <v>1.5273770829673035E-3</v>
      </c>
      <c r="F69" s="110"/>
      <c r="G69" s="110"/>
      <c r="H69" s="110"/>
      <c r="I69" s="110"/>
      <c r="J69" s="110"/>
    </row>
    <row r="70" spans="1:10" ht="15" x14ac:dyDescent="0.25">
      <c r="A70" s="111">
        <v>39995</v>
      </c>
      <c r="B70" s="207">
        <v>87.8679304499517</v>
      </c>
      <c r="C70" s="207">
        <f t="shared" si="5"/>
        <v>-7.9569748322082204E-2</v>
      </c>
      <c r="D70" s="207">
        <f t="shared" si="6"/>
        <v>-2.5093000183387004</v>
      </c>
      <c r="E70" s="207">
        <f t="shared" si="7"/>
        <v>6.0485345532361708E-3</v>
      </c>
      <c r="F70" s="110"/>
      <c r="G70" s="110"/>
      <c r="H70" s="110"/>
      <c r="I70" s="110"/>
      <c r="J70" s="110"/>
    </row>
    <row r="71" spans="1:10" ht="15" x14ac:dyDescent="0.25">
      <c r="A71" s="111">
        <v>40087</v>
      </c>
      <c r="B71" s="207">
        <v>88.818405283378695</v>
      </c>
      <c r="C71" s="207">
        <f t="shared" si="5"/>
        <v>-3.574803786422992E-2</v>
      </c>
      <c r="D71" s="207">
        <f t="shared" si="6"/>
        <v>-1.4710604999125354</v>
      </c>
      <c r="E71" s="207">
        <f t="shared" si="7"/>
        <v>7.0637378057946662E-2</v>
      </c>
      <c r="F71" s="110"/>
      <c r="G71" s="110"/>
      <c r="H71" s="110"/>
      <c r="I71" s="110"/>
      <c r="J71" s="110"/>
    </row>
    <row r="72" spans="1:10" ht="15" x14ac:dyDescent="0.25">
      <c r="A72" s="111">
        <v>40179</v>
      </c>
      <c r="B72" s="207">
        <v>90.717753148345295</v>
      </c>
      <c r="C72" s="207">
        <f t="shared" si="5"/>
        <v>2.1317960149011075E-2</v>
      </c>
      <c r="D72" s="207">
        <f t="shared" si="6"/>
        <v>-0.11903261974202711</v>
      </c>
      <c r="E72" s="207">
        <f t="shared" si="7"/>
        <v>0.45262475633766813</v>
      </c>
      <c r="F72" s="110"/>
      <c r="G72" s="110"/>
      <c r="H72" s="110"/>
      <c r="I72" s="110"/>
      <c r="J72" s="110"/>
    </row>
    <row r="73" spans="1:10" ht="15" x14ac:dyDescent="0.25">
      <c r="A73" s="111">
        <v>40269</v>
      </c>
      <c r="B73" s="207">
        <v>91.579661669824901</v>
      </c>
      <c r="C73" s="207">
        <f t="shared" si="5"/>
        <v>4.5470168176952368E-2</v>
      </c>
      <c r="D73" s="207">
        <f t="shared" si="6"/>
        <v>0.45319006554033314</v>
      </c>
      <c r="E73" s="207">
        <f t="shared" si="7"/>
        <v>0.67479405729312036</v>
      </c>
      <c r="F73" s="110"/>
      <c r="G73" s="110"/>
      <c r="H73" s="110"/>
      <c r="I73" s="110"/>
      <c r="J73" s="110"/>
    </row>
    <row r="74" spans="1:10" ht="15" x14ac:dyDescent="0.25">
      <c r="A74" s="111">
        <v>40360</v>
      </c>
      <c r="B74" s="207">
        <v>92.059092669018</v>
      </c>
      <c r="C74" s="207">
        <f t="shared" si="5"/>
        <v>4.6595785652106786E-2</v>
      </c>
      <c r="D74" s="207">
        <f t="shared" si="6"/>
        <v>0.47985859429300282</v>
      </c>
      <c r="E74" s="207">
        <f t="shared" si="7"/>
        <v>0.68433602744917399</v>
      </c>
      <c r="F74" s="110"/>
      <c r="G74" s="110"/>
      <c r="H74" s="110"/>
      <c r="I74" s="110"/>
      <c r="J74" s="110"/>
    </row>
    <row r="75" spans="1:10" ht="15" x14ac:dyDescent="0.25">
      <c r="A75" s="111">
        <v>40452</v>
      </c>
      <c r="B75" s="207">
        <v>93.216257079288198</v>
      </c>
      <c r="C75" s="207">
        <f t="shared" si="5"/>
        <v>4.8328243435161712E-2</v>
      </c>
      <c r="D75" s="207">
        <f t="shared" si="6"/>
        <v>0.5209045990148542</v>
      </c>
      <c r="E75" s="207">
        <f t="shared" si="7"/>
        <v>0.69878338426089126</v>
      </c>
      <c r="F75" s="110"/>
      <c r="G75" s="110"/>
      <c r="H75" s="110"/>
      <c r="I75" s="110"/>
      <c r="J75" s="110"/>
    </row>
    <row r="76" spans="1:10" ht="15" x14ac:dyDescent="0.25">
      <c r="A76" s="111">
        <v>40544</v>
      </c>
      <c r="B76" s="207">
        <v>94.2109575375937</v>
      </c>
      <c r="C76" s="207">
        <f t="shared" si="5"/>
        <v>3.7783424083147978E-2</v>
      </c>
      <c r="D76" s="207">
        <f t="shared" si="6"/>
        <v>0.27107299610525354</v>
      </c>
      <c r="E76" s="207">
        <f t="shared" si="7"/>
        <v>0.60683255487458199</v>
      </c>
      <c r="F76" s="110"/>
      <c r="G76" s="110"/>
      <c r="H76" s="110"/>
      <c r="I76" s="110"/>
      <c r="J76" s="110"/>
    </row>
    <row r="77" spans="1:10" ht="15" x14ac:dyDescent="0.25">
      <c r="A77" s="111">
        <v>40634</v>
      </c>
      <c r="B77" s="207">
        <v>95.168716393671502</v>
      </c>
      <c r="C77" s="207">
        <f t="shared" si="5"/>
        <v>3.8442065628644634E-2</v>
      </c>
      <c r="D77" s="207">
        <f t="shared" si="6"/>
        <v>0.28667776538210821</v>
      </c>
      <c r="E77" s="207">
        <f t="shared" si="7"/>
        <v>0.61282046801670453</v>
      </c>
      <c r="F77" s="110"/>
      <c r="G77" s="110"/>
      <c r="H77" s="110"/>
      <c r="I77" s="110"/>
      <c r="J77" s="110"/>
    </row>
    <row r="78" spans="1:10" ht="15" x14ac:dyDescent="0.25">
      <c r="A78" s="111">
        <v>40725</v>
      </c>
      <c r="B78" s="207">
        <v>96.320347519844603</v>
      </c>
      <c r="C78" s="207">
        <f t="shared" si="5"/>
        <v>4.5248907050828908E-2</v>
      </c>
      <c r="D78" s="207">
        <f t="shared" si="6"/>
        <v>0.44794786840487905</v>
      </c>
      <c r="E78" s="207">
        <f t="shared" si="7"/>
        <v>0.67290458974589751</v>
      </c>
      <c r="F78" s="110"/>
      <c r="G78" s="110"/>
      <c r="H78" s="110"/>
      <c r="I78" s="110"/>
      <c r="J78" s="110"/>
    </row>
    <row r="79" spans="1:10" ht="15" x14ac:dyDescent="0.25">
      <c r="A79" s="111">
        <v>40817</v>
      </c>
      <c r="B79" s="207">
        <v>97.507634759978302</v>
      </c>
      <c r="C79" s="207">
        <f t="shared" si="5"/>
        <v>4.500854150742839E-2</v>
      </c>
      <c r="D79" s="207">
        <f t="shared" si="6"/>
        <v>0.44225304263429621</v>
      </c>
      <c r="E79" s="207">
        <f t="shared" si="7"/>
        <v>0.67084694669339651</v>
      </c>
      <c r="F79" s="110"/>
      <c r="G79" s="110"/>
      <c r="H79" s="110"/>
      <c r="I79" s="110"/>
      <c r="J79" s="110"/>
    </row>
    <row r="80" spans="1:10" ht="15" x14ac:dyDescent="0.25">
      <c r="A80" s="111">
        <v>40909</v>
      </c>
      <c r="B80" s="207">
        <v>98.982206427275202</v>
      </c>
      <c r="C80" s="207">
        <f t="shared" si="5"/>
        <v>4.9403604050275572E-2</v>
      </c>
      <c r="D80" s="207">
        <f t="shared" si="6"/>
        <v>0.54638242440106566</v>
      </c>
      <c r="E80" s="207">
        <f t="shared" si="7"/>
        <v>0.70759845556561074</v>
      </c>
      <c r="F80" s="110"/>
      <c r="G80" s="110"/>
      <c r="H80" s="110"/>
      <c r="I80" s="110"/>
      <c r="J80" s="110"/>
    </row>
    <row r="81" spans="1:10" ht="15" x14ac:dyDescent="0.25">
      <c r="A81" s="111">
        <v>41000</v>
      </c>
      <c r="B81" s="207">
        <v>99.382020679232099</v>
      </c>
      <c r="C81" s="207">
        <f t="shared" si="5"/>
        <v>4.3319940340217314E-2</v>
      </c>
      <c r="D81" s="207">
        <f t="shared" si="6"/>
        <v>0.40224610442166553</v>
      </c>
      <c r="E81" s="207">
        <f t="shared" si="7"/>
        <v>0.65624854263356802</v>
      </c>
      <c r="F81" s="110"/>
      <c r="G81" s="110"/>
      <c r="H81" s="110"/>
      <c r="I81" s="110"/>
      <c r="J81" s="110"/>
    </row>
    <row r="82" spans="1:10" ht="15" x14ac:dyDescent="0.25">
      <c r="A82" s="111">
        <v>41091</v>
      </c>
      <c r="B82" s="207">
        <v>99.894650113869801</v>
      </c>
      <c r="C82" s="207">
        <f t="shared" si="5"/>
        <v>3.6436542280999629E-2</v>
      </c>
      <c r="D82" s="207">
        <f t="shared" si="6"/>
        <v>0.23916219438097047</v>
      </c>
      <c r="E82" s="207">
        <f t="shared" si="7"/>
        <v>0.5945100917064019</v>
      </c>
      <c r="F82" s="110"/>
      <c r="G82" s="110"/>
      <c r="H82" s="110"/>
      <c r="I82" s="110"/>
      <c r="J82" s="110"/>
    </row>
    <row r="83" spans="1:10" ht="15" x14ac:dyDescent="0.25">
      <c r="A83" s="111">
        <v>41183</v>
      </c>
      <c r="B83" s="207">
        <v>99.961781399364895</v>
      </c>
      <c r="C83" s="207">
        <f t="shared" si="5"/>
        <v>2.4857246761401487E-2</v>
      </c>
      <c r="D83" s="207">
        <f t="shared" si="6"/>
        <v>-3.5178585072279348E-2</v>
      </c>
      <c r="E83" s="207">
        <f t="shared" si="7"/>
        <v>0.48596866914844511</v>
      </c>
      <c r="F83" s="110"/>
      <c r="G83" s="110"/>
      <c r="H83" s="110"/>
      <c r="I83" s="110"/>
      <c r="J83" s="110"/>
    </row>
    <row r="84" spans="1:10" ht="15" x14ac:dyDescent="0.25">
      <c r="A84" s="111">
        <v>41275</v>
      </c>
      <c r="B84" s="207">
        <v>100.70214295194999</v>
      </c>
      <c r="C84" s="207">
        <f t="shared" si="5"/>
        <v>1.7226979130857502E-2</v>
      </c>
      <c r="D84" s="207">
        <f t="shared" si="6"/>
        <v>-0.21595759409380449</v>
      </c>
      <c r="E84" s="207">
        <f t="shared" si="7"/>
        <v>0.41451040128303424</v>
      </c>
      <c r="F84" s="110"/>
      <c r="G84" s="110"/>
      <c r="H84" s="110"/>
      <c r="I84" s="110"/>
      <c r="J84" s="110"/>
    </row>
    <row r="85" spans="1:10" ht="15" x14ac:dyDescent="0.25">
      <c r="A85" s="111">
        <v>41365</v>
      </c>
      <c r="B85" s="207">
        <v>101.045068375402</v>
      </c>
      <c r="C85" s="207">
        <f t="shared" si="5"/>
        <v>1.6595420029175426E-2</v>
      </c>
      <c r="D85" s="207">
        <f t="shared" si="6"/>
        <v>-0.23092071649904977</v>
      </c>
      <c r="E85" s="207">
        <f t="shared" si="7"/>
        <v>0.40868819810374812</v>
      </c>
      <c r="F85" s="110"/>
      <c r="G85" s="110"/>
      <c r="H85" s="110"/>
      <c r="I85" s="110"/>
      <c r="J85" s="110"/>
    </row>
    <row r="86" spans="1:10" ht="15" x14ac:dyDescent="0.25">
      <c r="A86" s="111">
        <v>41456</v>
      </c>
      <c r="B86" s="207">
        <v>101.08601596829</v>
      </c>
      <c r="C86" s="207">
        <f t="shared" si="5"/>
        <v>1.1855665842498576E-2</v>
      </c>
      <c r="D86" s="207">
        <f t="shared" si="6"/>
        <v>-0.34321665503770604</v>
      </c>
      <c r="E86" s="207">
        <f t="shared" si="7"/>
        <v>0.36571773796780571</v>
      </c>
      <c r="F86" s="110"/>
      <c r="G86" s="110"/>
      <c r="H86" s="110"/>
      <c r="I86" s="110"/>
      <c r="J86" s="110"/>
    </row>
    <row r="87" spans="1:10" ht="15" x14ac:dyDescent="0.25">
      <c r="A87" s="111">
        <v>41548</v>
      </c>
      <c r="B87" s="207">
        <v>101.66970911296499</v>
      </c>
      <c r="C87" s="207">
        <f t="shared" si="5"/>
        <v>1.6941486262777011E-2</v>
      </c>
      <c r="D87" s="207">
        <f t="shared" si="6"/>
        <v>-0.2227215924583841</v>
      </c>
      <c r="E87" s="207">
        <f t="shared" si="7"/>
        <v>0.41187609754021354</v>
      </c>
      <c r="F87" s="110"/>
      <c r="G87" s="110"/>
      <c r="H87" s="110"/>
      <c r="I87" s="110"/>
      <c r="J87" s="110"/>
    </row>
    <row r="88" spans="1:10" ht="15" x14ac:dyDescent="0.25">
      <c r="A88" s="111">
        <v>41640</v>
      </c>
      <c r="B88" s="207">
        <v>101.66235768338601</v>
      </c>
      <c r="C88" s="207">
        <f t="shared" si="5"/>
        <v>9.4900235452942336E-3</v>
      </c>
      <c r="D88" s="207">
        <f t="shared" si="6"/>
        <v>-0.39926429201390951</v>
      </c>
      <c r="E88" s="207">
        <f t="shared" si="7"/>
        <v>0.34484923751883834</v>
      </c>
      <c r="F88" s="110"/>
      <c r="G88" s="110"/>
      <c r="H88" s="110"/>
      <c r="I88" s="110"/>
      <c r="J88" s="110"/>
    </row>
    <row r="89" spans="1:10" ht="15" x14ac:dyDescent="0.25">
      <c r="A89" s="111">
        <v>41730</v>
      </c>
      <c r="B89" s="207">
        <v>102.15214739293801</v>
      </c>
      <c r="C89" s="207">
        <f t="shared" si="5"/>
        <v>1.0896704147302354E-2</v>
      </c>
      <c r="D89" s="207">
        <f t="shared" si="6"/>
        <v>-0.36593671589811594</v>
      </c>
      <c r="E89" s="207">
        <f t="shared" si="7"/>
        <v>0.35720614917505844</v>
      </c>
      <c r="F89" s="110"/>
      <c r="G89" s="110"/>
      <c r="H89" s="110"/>
      <c r="I89" s="110"/>
      <c r="J89" s="110"/>
    </row>
    <row r="90" spans="1:10" ht="15" x14ac:dyDescent="0.25">
      <c r="A90" s="111">
        <v>41821</v>
      </c>
      <c r="B90" s="207">
        <v>101.8272338754</v>
      </c>
      <c r="C90" s="207">
        <f t="shared" si="5"/>
        <v>7.3057940231152068E-3</v>
      </c>
      <c r="D90" s="207">
        <f t="shared" si="6"/>
        <v>-0.45101383313281423</v>
      </c>
      <c r="E90" s="207">
        <f t="shared" si="7"/>
        <v>0.32598978953635671</v>
      </c>
      <c r="F90" s="110"/>
      <c r="G90" s="110"/>
      <c r="H90" s="110"/>
      <c r="I90" s="110"/>
      <c r="J90" s="110"/>
    </row>
    <row r="91" spans="1:10" ht="15" x14ac:dyDescent="0.25">
      <c r="A91" s="111">
        <v>41913</v>
      </c>
      <c r="B91" s="207">
        <v>101.58729395418899</v>
      </c>
      <c r="C91" s="207">
        <f t="shared" si="5"/>
        <v>-8.109453750564388E-4</v>
      </c>
      <c r="D91" s="207">
        <f t="shared" si="6"/>
        <v>-0.64331850394327039</v>
      </c>
      <c r="E91" s="207">
        <f t="shared" si="7"/>
        <v>0.26000872597003055</v>
      </c>
      <c r="F91" s="110"/>
      <c r="G91" s="110"/>
      <c r="H91" s="110"/>
      <c r="I91" s="110"/>
      <c r="J91" s="110"/>
    </row>
    <row r="92" spans="1:10" ht="15" x14ac:dyDescent="0.25">
      <c r="A92" s="111">
        <v>42005</v>
      </c>
      <c r="B92" s="207">
        <v>100.553378854524</v>
      </c>
      <c r="C92" s="207">
        <f t="shared" si="5"/>
        <v>-1.0968384220171214E-2</v>
      </c>
      <c r="D92" s="207">
        <f t="shared" si="6"/>
        <v>-0.88397215038498533</v>
      </c>
      <c r="E92" s="207">
        <f t="shared" si="7"/>
        <v>0.18835562340146947</v>
      </c>
      <c r="F92" s="110"/>
      <c r="G92" s="110"/>
      <c r="H92" s="110"/>
      <c r="I92" s="110"/>
      <c r="J92" s="110"/>
    </row>
    <row r="93" spans="1:10" ht="15" x14ac:dyDescent="0.25">
      <c r="A93" s="111">
        <v>42095</v>
      </c>
      <c r="B93" s="207">
        <v>99.879520856255496</v>
      </c>
      <c r="C93" s="207">
        <f t="shared" si="5"/>
        <v>-2.2498674793982969E-2</v>
      </c>
      <c r="D93" s="207">
        <f t="shared" si="6"/>
        <v>-1.1571518872686464</v>
      </c>
      <c r="E93" s="207">
        <f t="shared" si="7"/>
        <v>0.12360515534916687</v>
      </c>
      <c r="F93" s="110"/>
      <c r="G93" s="110"/>
      <c r="H93" s="110"/>
      <c r="I93" s="110"/>
      <c r="J93" s="110"/>
    </row>
    <row r="94" spans="1:10" ht="15" x14ac:dyDescent="0.25">
      <c r="A94" s="111">
        <v>42186</v>
      </c>
      <c r="B94" s="207">
        <v>100.07281014618</v>
      </c>
      <c r="C94" s="207">
        <f t="shared" si="5"/>
        <v>-1.7379569159809198E-2</v>
      </c>
      <c r="D94" s="207">
        <f t="shared" si="6"/>
        <v>-1.035868219587325</v>
      </c>
      <c r="E94" s="207">
        <f t="shared" si="7"/>
        <v>0.15013181291784719</v>
      </c>
      <c r="F94" s="110"/>
      <c r="G94" s="110"/>
      <c r="H94" s="110"/>
      <c r="I94" s="110"/>
      <c r="J94" s="110"/>
    </row>
    <row r="95" spans="1:10" ht="15" x14ac:dyDescent="0.25">
      <c r="A95" s="111">
        <v>42278</v>
      </c>
      <c r="B95" s="207">
        <v>99.814947165719204</v>
      </c>
      <c r="C95" s="207">
        <f t="shared" si="5"/>
        <v>-1.7600524515352517E-2</v>
      </c>
      <c r="D95" s="207">
        <f t="shared" si="6"/>
        <v>-1.0411031722976629</v>
      </c>
      <c r="E95" s="207">
        <f t="shared" si="7"/>
        <v>0.14891383371177047</v>
      </c>
      <c r="F95" s="110"/>
      <c r="G95" s="110"/>
      <c r="H95" s="110"/>
      <c r="I95" s="110"/>
      <c r="J95" s="110"/>
    </row>
    <row r="96" spans="1:10" ht="15" x14ac:dyDescent="0.25">
      <c r="A96" s="111">
        <v>42370</v>
      </c>
      <c r="B96" s="207">
        <v>100.004657451713</v>
      </c>
      <c r="C96" s="207">
        <f t="shared" si="5"/>
        <v>-5.4719599581601625E-3</v>
      </c>
      <c r="D96" s="207">
        <f t="shared" si="6"/>
        <v>-0.75374891584591242</v>
      </c>
      <c r="E96" s="207">
        <f t="shared" si="7"/>
        <v>0.22550000174940588</v>
      </c>
      <c r="F96" s="110"/>
      <c r="G96" s="110"/>
      <c r="H96" s="110"/>
      <c r="I96" s="110"/>
      <c r="J96" s="110"/>
    </row>
    <row r="97" spans="1:10" ht="15" x14ac:dyDescent="0.25">
      <c r="A97" s="111">
        <v>42461</v>
      </c>
      <c r="B97" s="207">
        <v>100.058468384584</v>
      </c>
      <c r="C97" s="207">
        <f t="shared" si="5"/>
        <v>1.7900307669401817E-3</v>
      </c>
      <c r="D97" s="207">
        <f t="shared" si="6"/>
        <v>-0.5816952539858824</v>
      </c>
      <c r="E97" s="207">
        <f t="shared" si="7"/>
        <v>0.28038598445120272</v>
      </c>
      <c r="F97" s="110"/>
      <c r="G97" s="110"/>
      <c r="H97" s="110"/>
      <c r="I97" s="110"/>
      <c r="J97" s="110"/>
    </row>
    <row r="98" spans="1:10" ht="15" x14ac:dyDescent="0.25">
      <c r="A98" s="111">
        <v>42552</v>
      </c>
      <c r="B98" s="207">
        <v>100.15929343365001</v>
      </c>
      <c r="C98" s="207">
        <f t="shared" si="5"/>
        <v>8.638304377934483E-4</v>
      </c>
      <c r="D98" s="207">
        <f t="shared" si="6"/>
        <v>-0.60363912093339345</v>
      </c>
      <c r="E98" s="207">
        <f t="shared" si="7"/>
        <v>0.27304179871943612</v>
      </c>
      <c r="F98" s="110"/>
      <c r="G98" s="110"/>
      <c r="H98" s="110"/>
      <c r="I98" s="110"/>
      <c r="J98" s="110"/>
    </row>
    <row r="99" spans="1:10" ht="15" x14ac:dyDescent="0.25">
      <c r="A99" s="111">
        <v>42644</v>
      </c>
      <c r="B99" s="207">
        <v>100.985825531572</v>
      </c>
      <c r="C99" s="207">
        <f t="shared" si="5"/>
        <v>1.1662222418514242E-2</v>
      </c>
      <c r="D99" s="207">
        <f t="shared" si="6"/>
        <v>-0.34779978530035</v>
      </c>
      <c r="E99" s="207">
        <f t="shared" si="7"/>
        <v>0.36399527545729016</v>
      </c>
      <c r="F99" s="110"/>
      <c r="G99" s="110"/>
      <c r="H99" s="110"/>
      <c r="I99" s="110"/>
      <c r="J99" s="110"/>
    </row>
    <row r="100" spans="1:10" ht="15" x14ac:dyDescent="0.25">
      <c r="A100" s="111">
        <v>42736</v>
      </c>
      <c r="B100" s="207">
        <v>101.189620635355</v>
      </c>
      <c r="C100" s="207">
        <f t="shared" si="5"/>
        <v>1.1779429281020848E-2</v>
      </c>
      <c r="D100" s="207">
        <f t="shared" si="6"/>
        <v>-0.34502287871195608</v>
      </c>
      <c r="E100" s="207">
        <f t="shared" si="7"/>
        <v>0.36503858545450008</v>
      </c>
      <c r="F100" s="110"/>
      <c r="G100" s="110"/>
      <c r="H100" s="110"/>
      <c r="I100" s="110"/>
      <c r="J100" s="110"/>
    </row>
    <row r="101" spans="1:10" ht="15" x14ac:dyDescent="0.25">
      <c r="A101" s="111">
        <v>42826</v>
      </c>
      <c r="B101" s="207">
        <v>101.888350176145</v>
      </c>
      <c r="C101" s="207">
        <f t="shared" si="5"/>
        <v>1.8122908676311437E-2</v>
      </c>
      <c r="D101" s="207">
        <f t="shared" si="6"/>
        <v>-0.19473091329798017</v>
      </c>
      <c r="E101" s="207">
        <f t="shared" si="7"/>
        <v>0.42280180492209851</v>
      </c>
      <c r="F101" s="110"/>
      <c r="G101" s="110"/>
      <c r="H101" s="110"/>
      <c r="I101" s="110"/>
      <c r="J101" s="110"/>
    </row>
    <row r="102" spans="1:10" ht="15" x14ac:dyDescent="0.25">
      <c r="A102" s="111">
        <v>42917</v>
      </c>
      <c r="B102" s="207">
        <v>102.580615490116</v>
      </c>
      <c r="C102" s="207">
        <f t="shared" si="5"/>
        <v>2.3887129091329059E-2</v>
      </c>
      <c r="D102" s="207">
        <f t="shared" si="6"/>
        <v>-5.8162957249204054E-2</v>
      </c>
      <c r="E102" s="207">
        <f t="shared" si="7"/>
        <v>0.47680941329036303</v>
      </c>
      <c r="F102" s="110"/>
      <c r="G102" s="110"/>
      <c r="H102" s="110"/>
      <c r="I102" s="110"/>
      <c r="J102" s="110"/>
    </row>
    <row r="103" spans="1:10" ht="15" x14ac:dyDescent="0.25">
      <c r="A103" s="111">
        <v>43009</v>
      </c>
      <c r="B103" s="207">
        <v>102.60219731869</v>
      </c>
      <c r="C103" s="207">
        <f t="shared" si="5"/>
        <v>1.5879183147905762E-2</v>
      </c>
      <c r="D103" s="207">
        <f t="shared" si="6"/>
        <v>-0.24789005491416463</v>
      </c>
      <c r="E103" s="207">
        <f t="shared" si="7"/>
        <v>0.40210973741667144</v>
      </c>
      <c r="F103" s="110"/>
      <c r="G103" s="110"/>
      <c r="H103" s="110"/>
      <c r="I103" s="110"/>
      <c r="J103" s="110"/>
    </row>
    <row r="104" spans="1:10" ht="15" x14ac:dyDescent="0.25">
      <c r="A104" s="111">
        <v>43101</v>
      </c>
      <c r="B104" s="207">
        <v>103.993722819285</v>
      </c>
      <c r="C104" s="207">
        <f t="shared" si="5"/>
        <v>2.7334351111226934E-2</v>
      </c>
      <c r="D104" s="207">
        <f t="shared" si="6"/>
        <v>2.3509850417424191E-2</v>
      </c>
      <c r="E104" s="207">
        <f t="shared" si="7"/>
        <v>0.50937820941965195</v>
      </c>
      <c r="F104" s="110"/>
      <c r="G104" s="110"/>
      <c r="H104" s="110"/>
      <c r="I104" s="110"/>
      <c r="J104" s="110"/>
    </row>
    <row r="105" spans="1:10" ht="15" x14ac:dyDescent="0.25">
      <c r="A105" s="111">
        <v>43191</v>
      </c>
      <c r="B105" s="207">
        <v>104.574107057636</v>
      </c>
      <c r="C105" s="207">
        <f t="shared" si="5"/>
        <v>2.6018370867869442E-2</v>
      </c>
      <c r="D105" s="207">
        <f t="shared" si="6"/>
        <v>-7.6688206076591251E-3</v>
      </c>
      <c r="E105" s="207">
        <f t="shared" si="7"/>
        <v>0.49694061320632266</v>
      </c>
      <c r="F105" s="110"/>
      <c r="G105" s="110"/>
      <c r="H105" s="110"/>
      <c r="I105" s="110"/>
      <c r="J105" s="110"/>
    </row>
    <row r="106" spans="1:10" ht="15" x14ac:dyDescent="0.25">
      <c r="A106" s="111">
        <v>43282</v>
      </c>
      <c r="B106" s="207">
        <v>104.826408648805</v>
      </c>
      <c r="C106" s="207">
        <f t="shared" si="5"/>
        <v>2.1656749024535873E-2</v>
      </c>
      <c r="D106" s="207">
        <f t="shared" si="6"/>
        <v>-0.11100591345197221</v>
      </c>
      <c r="E106" s="207">
        <f t="shared" si="7"/>
        <v>0.45580582872987563</v>
      </c>
      <c r="F106" s="110"/>
      <c r="G106" s="110"/>
      <c r="H106" s="110"/>
      <c r="I106" s="110"/>
      <c r="J106" s="110"/>
    </row>
    <row r="107" spans="1:10" ht="15" x14ac:dyDescent="0.25">
      <c r="A107" s="111">
        <v>43374</v>
      </c>
      <c r="B107" s="207">
        <v>105.522320608136</v>
      </c>
      <c r="C107" s="207">
        <f t="shared" si="5"/>
        <v>2.8063151414920544E-2</v>
      </c>
      <c r="D107" s="207">
        <f t="shared" si="6"/>
        <v>4.0776845895920198E-2</v>
      </c>
      <c r="E107" s="207">
        <f t="shared" si="7"/>
        <v>0.51626310084948224</v>
      </c>
      <c r="F107" s="110"/>
      <c r="G107" s="110"/>
      <c r="H107" s="110"/>
      <c r="I107" s="110"/>
      <c r="J107" s="110"/>
    </row>
    <row r="108" spans="1:10" ht="15" x14ac:dyDescent="0.25">
      <c r="A108" s="111">
        <v>43466</v>
      </c>
      <c r="B108" s="207">
        <v>105.48276460305399</v>
      </c>
      <c r="C108" s="207">
        <f t="shared" si="5"/>
        <v>1.421703106566158E-2</v>
      </c>
      <c r="D108" s="207">
        <f t="shared" si="6"/>
        <v>-0.28727035201781231</v>
      </c>
      <c r="E108" s="207">
        <f t="shared" si="7"/>
        <v>0.38695266100437331</v>
      </c>
      <c r="F108" s="110"/>
      <c r="G108" s="110"/>
      <c r="H108" s="110"/>
      <c r="I108" s="110"/>
      <c r="J108" s="110"/>
    </row>
    <row r="109" spans="1:10" ht="15" x14ac:dyDescent="0.25">
      <c r="A109" s="111">
        <v>43556</v>
      </c>
      <c r="B109" s="207">
        <v>107.869192248896</v>
      </c>
      <c r="C109" s="207">
        <f t="shared" si="5"/>
        <v>3.1023331651740607E-2</v>
      </c>
      <c r="D109" s="207">
        <f t="shared" si="6"/>
        <v>0.1109104867652488</v>
      </c>
      <c r="E109" s="207">
        <f t="shared" si="7"/>
        <v>0.54415633516231554</v>
      </c>
      <c r="F109" s="110"/>
      <c r="G109" s="110"/>
      <c r="H109" s="110"/>
      <c r="I109" s="110"/>
      <c r="J109" s="110"/>
    </row>
    <row r="110" spans="1:10" ht="15" x14ac:dyDescent="0.25">
      <c r="A110" s="111">
        <v>43647</v>
      </c>
      <c r="B110" s="207">
        <v>106.814074768005</v>
      </c>
      <c r="C110" s="207">
        <f t="shared" si="5"/>
        <v>1.8783972994055573E-2</v>
      </c>
      <c r="D110" s="207">
        <f t="shared" si="6"/>
        <v>-0.17906874284108945</v>
      </c>
      <c r="E110" s="207">
        <f t="shared" si="7"/>
        <v>0.42894186243942867</v>
      </c>
      <c r="F110" s="110"/>
      <c r="G110" s="110"/>
      <c r="H110" s="110"/>
      <c r="I110" s="110"/>
      <c r="J110" s="110"/>
    </row>
    <row r="111" spans="1:10" ht="15" x14ac:dyDescent="0.25">
      <c r="A111" s="111">
        <v>43739</v>
      </c>
      <c r="B111" s="207">
        <v>106.330201553539</v>
      </c>
      <c r="C111" s="207">
        <f t="shared" si="5"/>
        <v>7.6268609246836414E-3</v>
      </c>
      <c r="D111" s="207">
        <f t="shared" si="6"/>
        <v>-0.44340700214004408</v>
      </c>
      <c r="E111" s="207">
        <f t="shared" si="7"/>
        <v>0.32873568604229508</v>
      </c>
      <c r="F111" s="110"/>
      <c r="G111" s="110"/>
      <c r="H111" s="110"/>
      <c r="I111" s="110"/>
      <c r="J111" s="110"/>
    </row>
    <row r="112" spans="1:10" ht="15" x14ac:dyDescent="0.25">
      <c r="A112" s="111">
        <v>43831</v>
      </c>
      <c r="B112" s="207">
        <v>106.119695530671</v>
      </c>
      <c r="C112" s="207">
        <f t="shared" si="5"/>
        <v>6.0200892827334306E-3</v>
      </c>
      <c r="D112" s="207">
        <f t="shared" si="6"/>
        <v>-0.481475206195285</v>
      </c>
      <c r="E112" s="207">
        <f t="shared" si="7"/>
        <v>0.31508939856707163</v>
      </c>
      <c r="F112" s="110"/>
      <c r="G112" s="110"/>
      <c r="H112" s="110"/>
      <c r="I112" s="110"/>
      <c r="J112" s="110"/>
    </row>
    <row r="113" spans="1:10" ht="15" x14ac:dyDescent="0.25">
      <c r="A113" s="111">
        <v>43922</v>
      </c>
      <c r="B113" s="207">
        <v>101.464741916641</v>
      </c>
      <c r="C113" s="207">
        <f t="shared" ref="C113:C114" si="8">LN(B113/B109)</f>
        <v>-6.1207942313437631E-2</v>
      </c>
      <c r="D113" s="207">
        <f t="shared" ref="D113:D114" si="9">(C113-$E$31)/$E$32</f>
        <v>-2.0742655929667033</v>
      </c>
      <c r="E113" s="207">
        <f t="shared" ref="E113:E114" si="10">_xlfn.NORM.DIST(C113,$E$31,$E$32,TRUE)</f>
        <v>1.9027325705323672E-2</v>
      </c>
      <c r="F113" s="110"/>
      <c r="G113" s="110"/>
      <c r="H113" s="110"/>
      <c r="I113" s="110"/>
      <c r="J113" s="110"/>
    </row>
    <row r="114" spans="1:10" ht="15" x14ac:dyDescent="0.25">
      <c r="A114" s="111">
        <v>44013</v>
      </c>
      <c r="B114" s="207">
        <v>103.85992952533201</v>
      </c>
      <c r="C114" s="207">
        <f t="shared" si="8"/>
        <v>-2.8046544198863543E-2</v>
      </c>
      <c r="D114" s="207">
        <f t="shared" si="9"/>
        <v>-1.2885939783927354</v>
      </c>
      <c r="E114" s="207">
        <f t="shared" si="10"/>
        <v>9.8769638973429982E-2</v>
      </c>
      <c r="F114" s="110"/>
      <c r="G114" s="110"/>
      <c r="H114" s="110"/>
      <c r="I114" s="110"/>
      <c r="J114" s="110"/>
    </row>
    <row r="115" spans="1:10" ht="15" x14ac:dyDescent="0.25">
      <c r="A115" s="111">
        <v>44105</v>
      </c>
      <c r="B115" s="207">
        <v>104.96012727972899</v>
      </c>
      <c r="C115" s="207">
        <f t="shared" ref="C115" si="11">LN(B115/B111)</f>
        <v>-1.2968823363546733E-2</v>
      </c>
      <c r="D115" s="207">
        <f t="shared" ref="D115" si="12">(C115-$E$31)/$E$32</f>
        <v>-0.93136726461396202</v>
      </c>
      <c r="E115" s="207">
        <f t="shared" ref="E115" si="13">_xlfn.NORM.DIST(C115,$E$31,$E$32,TRUE)</f>
        <v>0.17583180908815302</v>
      </c>
    </row>
    <row r="116" spans="1:10" ht="15" x14ac:dyDescent="0.25">
      <c r="A116" s="111">
        <v>44197</v>
      </c>
      <c r="B116" s="207">
        <v>105.982674266054</v>
      </c>
      <c r="C116" s="207">
        <f t="shared" ref="C116" si="14">LN(B116/B112)</f>
        <v>-1.2920297289424584E-3</v>
      </c>
      <c r="D116" s="207">
        <f t="shared" ref="D116" si="15">(C116-$E$31)/$E$32</f>
        <v>-0.65471652521360368</v>
      </c>
      <c r="E116" s="207">
        <f t="shared" ref="E116" si="16">_xlfn.NORM.DIST(C116,$E$31,$E$32,TRUE)</f>
        <v>0.25632514181173133</v>
      </c>
    </row>
    <row r="117" spans="1:10" ht="15" x14ac:dyDescent="0.25">
      <c r="A117" s="111">
        <v>44287</v>
      </c>
      <c r="B117" s="207">
        <v>109.648689274655</v>
      </c>
      <c r="C117" s="207">
        <f t="shared" ref="C117" si="17">LN(B117/B113)</f>
        <v>7.7570153217522336E-2</v>
      </c>
      <c r="D117" s="207">
        <f t="shared" ref="D117" si="18">(C117-$E$31)/$E$32</f>
        <v>1.2137143048226593</v>
      </c>
      <c r="E117" s="207">
        <f t="shared" ref="E117" si="19">_xlfn.NORM.DIST(C117,$E$31,$E$32,TRUE)</f>
        <v>0.8875715800341063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7"/>
  <sheetViews>
    <sheetView topLeftCell="A7" zoomScale="90" zoomScaleNormal="90" workbookViewId="0">
      <selection activeCell="F122" sqref="F122"/>
    </sheetView>
  </sheetViews>
  <sheetFormatPr defaultColWidth="8.7109375" defaultRowHeight="12.75" x14ac:dyDescent="0.2"/>
  <cols>
    <col min="1" max="1" width="26.85546875" style="162" customWidth="1"/>
    <col min="2" max="2" width="32.28515625" style="143" customWidth="1"/>
    <col min="3" max="3" width="27.42578125" style="143" customWidth="1"/>
    <col min="4" max="4" width="13.85546875" style="143" customWidth="1"/>
    <col min="5" max="5" width="17" style="142" customWidth="1"/>
    <col min="6" max="6" width="33.42578125" style="143" customWidth="1"/>
    <col min="7" max="7" width="15.140625" style="143" customWidth="1"/>
    <col min="8" max="9" width="16.5703125" style="143" customWidth="1"/>
    <col min="10" max="10" width="27.85546875" style="143" bestFit="1" customWidth="1"/>
    <col min="11" max="11" width="15.28515625" style="143" customWidth="1"/>
    <col min="12" max="12" width="20" style="143" customWidth="1"/>
    <col min="13" max="13" width="16.140625" style="143" customWidth="1"/>
    <col min="14" max="14" width="17.28515625" style="143" customWidth="1"/>
    <col min="15" max="15" width="13.42578125" style="143" customWidth="1"/>
    <col min="16" max="16" width="7.5703125" style="143" customWidth="1"/>
    <col min="17" max="17" width="18.7109375" style="143" customWidth="1"/>
    <col min="18" max="18" width="12.5703125" style="143" customWidth="1"/>
    <col min="19" max="19" width="19.140625" style="143" customWidth="1"/>
    <col min="20" max="20" width="12.42578125" style="143" customWidth="1"/>
    <col min="21" max="21" width="8.7109375" style="143"/>
    <col min="22" max="22" width="14.5703125" style="143" customWidth="1"/>
    <col min="23" max="16384" width="8.7109375" style="143"/>
  </cols>
  <sheetData>
    <row r="1" spans="1:18" ht="23.25" customHeight="1" x14ac:dyDescent="0.2">
      <c r="A1" s="170" t="str">
        <f>F26</f>
        <v>Отрасль</v>
      </c>
      <c r="B1" s="171" t="str">
        <f>D26</f>
        <v>Вложения (руб)</v>
      </c>
      <c r="C1" s="146" t="s">
        <v>286</v>
      </c>
      <c r="D1" s="142"/>
      <c r="E1" s="278" t="s">
        <v>285</v>
      </c>
      <c r="F1" s="278"/>
      <c r="G1" s="278"/>
      <c r="K1" s="280"/>
      <c r="L1" s="280"/>
      <c r="M1" s="280"/>
      <c r="N1" s="280"/>
    </row>
    <row r="2" spans="1:18" x14ac:dyDescent="0.2">
      <c r="A2" s="159" t="s">
        <v>203</v>
      </c>
      <c r="B2" s="140">
        <f>SUMIF(F27:$F$467,"Банк",D27:$D$467)</f>
        <v>24619384181.5</v>
      </c>
      <c r="C2" s="180">
        <f t="shared" ref="C2:C19" si="0">B2/$B$20</f>
        <v>0.3549374044279473</v>
      </c>
      <c r="D2" s="142"/>
      <c r="E2" s="143"/>
      <c r="I2" s="277" t="s">
        <v>330</v>
      </c>
      <c r="J2" s="277"/>
    </row>
    <row r="3" spans="1:18" x14ac:dyDescent="0.2">
      <c r="A3" s="159" t="s">
        <v>338</v>
      </c>
      <c r="B3" s="140">
        <f>SUMIF(F27:$F$467,"Страны",D27:$D$467)</f>
        <v>1075155512.78</v>
      </c>
      <c r="C3" s="141">
        <f t="shared" si="0"/>
        <v>1.5500505790445046E-2</v>
      </c>
      <c r="D3" s="142"/>
      <c r="E3" s="143"/>
      <c r="J3" s="151" t="str">
        <f>D26</f>
        <v>Вложения (руб)</v>
      </c>
    </row>
    <row r="4" spans="1:18" ht="25.5" x14ac:dyDescent="0.2">
      <c r="A4" s="159" t="s">
        <v>265</v>
      </c>
      <c r="B4" s="140">
        <f>SUMIF($F$27:$F$467,"Электроэнергетика и теплоэнергетика",$D$27:$D$467)</f>
        <v>1029665890.91</v>
      </c>
      <c r="C4" s="141">
        <f t="shared" si="0"/>
        <v>1.4844682387393424E-2</v>
      </c>
      <c r="D4" s="142"/>
      <c r="E4" s="143"/>
      <c r="I4" s="156" t="s">
        <v>70</v>
      </c>
      <c r="J4" s="140">
        <f>SUMIF($H$27:$H$247,I4,$D$27:$D$247)</f>
        <v>1550752681.8499999</v>
      </c>
      <c r="K4" s="194">
        <f>J4/$J$15</f>
        <v>2.2447498752644336E-2</v>
      </c>
    </row>
    <row r="5" spans="1:18" x14ac:dyDescent="0.2">
      <c r="A5" s="159" t="s">
        <v>222</v>
      </c>
      <c r="B5" s="140">
        <f>SUMIF($F$27:$F$467,"Топливная промышленность",$D$27:$D$467)</f>
        <v>18169684181.310001</v>
      </c>
      <c r="C5" s="141">
        <f t="shared" si="0"/>
        <v>0.26195214693614549</v>
      </c>
      <c r="D5" s="142"/>
      <c r="E5" s="143"/>
      <c r="I5" s="139" t="s">
        <v>72</v>
      </c>
      <c r="J5" s="140">
        <f t="shared" ref="J5:J14" si="1">SUMIF($H$27:$H$247,I5,$D$27:$D$247)</f>
        <v>0</v>
      </c>
      <c r="K5" s="194">
        <f t="shared" ref="K5:K14" si="2">J5/$J$15</f>
        <v>0</v>
      </c>
    </row>
    <row r="6" spans="1:18" x14ac:dyDescent="0.2">
      <c r="A6" s="159" t="s">
        <v>210</v>
      </c>
      <c r="B6" s="140">
        <f>SUMIF($F$27:$F$467,"Транспорт",$D$27:$D$467)</f>
        <v>2313096158.5</v>
      </c>
      <c r="C6" s="141">
        <f t="shared" si="0"/>
        <v>3.3347883141089357E-2</v>
      </c>
      <c r="D6" s="142"/>
      <c r="E6" s="143"/>
      <c r="I6" s="139" t="s">
        <v>74</v>
      </c>
      <c r="J6" s="140">
        <f t="shared" si="1"/>
        <v>15576049421.240002</v>
      </c>
      <c r="K6" s="194">
        <f t="shared" si="2"/>
        <v>0.22546686782917427</v>
      </c>
      <c r="L6" s="277" t="s">
        <v>334</v>
      </c>
      <c r="M6" s="277"/>
      <c r="N6" s="277"/>
      <c r="O6" s="154"/>
      <c r="P6" s="277" t="s">
        <v>335</v>
      </c>
      <c r="Q6" s="277"/>
      <c r="R6" s="277"/>
    </row>
    <row r="7" spans="1:18" x14ac:dyDescent="0.2">
      <c r="A7" s="159" t="s">
        <v>261</v>
      </c>
      <c r="B7" s="140">
        <f>SUMIF($F$27:$F$467,"Связь и телекоммуникации",$D$27:$D$467)</f>
        <v>1587242837.8099999</v>
      </c>
      <c r="C7" s="141">
        <f t="shared" si="0"/>
        <v>2.2883263403171192E-2</v>
      </c>
      <c r="D7" s="142"/>
      <c r="E7" s="277" t="s">
        <v>333</v>
      </c>
      <c r="F7" s="277"/>
      <c r="G7" s="277"/>
      <c r="I7" s="139" t="s">
        <v>76</v>
      </c>
      <c r="J7" s="140">
        <f t="shared" si="1"/>
        <v>21992960843.850002</v>
      </c>
      <c r="K7" s="194">
        <f t="shared" si="2"/>
        <v>0.31835312418762057</v>
      </c>
      <c r="M7" s="142" t="str">
        <f>D26</f>
        <v>Вложения (руб)</v>
      </c>
      <c r="N7" s="143" t="s">
        <v>194</v>
      </c>
      <c r="P7" s="150"/>
      <c r="Q7" s="151" t="str">
        <f>D26</f>
        <v>Вложения (руб)</v>
      </c>
      <c r="R7" s="150" t="str">
        <f>N7</f>
        <v>Доля</v>
      </c>
    </row>
    <row r="8" spans="1:18" ht="25.5" x14ac:dyDescent="0.2">
      <c r="A8" s="159" t="s">
        <v>266</v>
      </c>
      <c r="B8" s="140">
        <f>SUMIF($F$27:$F$467,"Горнодобывающая промышленность",$D$27:$D$467)</f>
        <v>1055380223.2099999</v>
      </c>
      <c r="C8" s="141">
        <f t="shared" si="0"/>
        <v>1.5215405647401613E-2</v>
      </c>
      <c r="D8" s="142"/>
      <c r="E8" s="143"/>
      <c r="F8" s="151" t="str">
        <f>D26</f>
        <v>Вложения (руб)</v>
      </c>
      <c r="G8" s="150" t="s">
        <v>287</v>
      </c>
      <c r="H8" s="150"/>
      <c r="I8" s="156" t="s">
        <v>78</v>
      </c>
      <c r="J8" s="140">
        <f t="shared" si="1"/>
        <v>12430555019.849998</v>
      </c>
      <c r="K8" s="194">
        <f t="shared" si="2"/>
        <v>0.17993511897066633</v>
      </c>
      <c r="L8" s="139">
        <v>1</v>
      </c>
      <c r="M8" s="140">
        <f>SUMIF($J$27:$J$286,L8,$D$27:$D$286)</f>
        <v>39282253867.409996</v>
      </c>
      <c r="N8" s="141">
        <f>M8/$M$12</f>
        <v>0.56861958390282974</v>
      </c>
      <c r="P8" s="139">
        <v>1</v>
      </c>
      <c r="Q8" s="140">
        <f>SUMIF($I$27:$I$286,P8,$D$27:$D$286)</f>
        <v>266533704</v>
      </c>
      <c r="R8" s="141">
        <f>Q8/$Q$11</f>
        <v>0.95508445670148789</v>
      </c>
    </row>
    <row r="9" spans="1:18" x14ac:dyDescent="0.2">
      <c r="A9" s="159" t="s">
        <v>246</v>
      </c>
      <c r="B9" s="140">
        <f>SUMIF($F$27:$F$467,"Финансовый лизинг",$D$27:$D$467)</f>
        <v>3079178982.7400002</v>
      </c>
      <c r="C9" s="141">
        <f t="shared" si="0"/>
        <v>4.4392491211217376E-2</v>
      </c>
      <c r="D9" s="142"/>
      <c r="E9" s="139" t="s">
        <v>283</v>
      </c>
      <c r="F9" s="140">
        <f>SUMIF($B$27:$B$247,"акции обыкновенные",D27:$D$247)+SUMIF($B$27:$B$247,"акции привилегированные",$D$27:$D$247)</f>
        <v>279068204</v>
      </c>
      <c r="G9" s="180">
        <f>F9/$F$11</f>
        <v>4.0233233803045479E-3</v>
      </c>
      <c r="H9" s="153"/>
      <c r="I9" s="157" t="s">
        <v>80</v>
      </c>
      <c r="J9" s="140">
        <f t="shared" si="1"/>
        <v>8571247240.5999994</v>
      </c>
      <c r="K9" s="194">
        <f t="shared" si="2"/>
        <v>0.12407075866697441</v>
      </c>
      <c r="L9" s="139">
        <v>2</v>
      </c>
      <c r="M9" s="140">
        <f>SUMIF($J$27:$J$286,L9,$D$27:$D$286)</f>
        <v>13075084380.07</v>
      </c>
      <c r="N9" s="141">
        <f t="shared" ref="N9:N11" si="3">M9/$M$12</f>
        <v>0.18926482845878487</v>
      </c>
      <c r="P9" s="139">
        <v>2</v>
      </c>
      <c r="Q9" s="140">
        <f>SUMIF($I$27:$I$286,P9,$D$27:$D$286)</f>
        <v>0</v>
      </c>
      <c r="R9" s="141">
        <f>Q9/$Q$11</f>
        <v>0</v>
      </c>
    </row>
    <row r="10" spans="1:18" x14ac:dyDescent="0.2">
      <c r="A10" s="159" t="s">
        <v>259</v>
      </c>
      <c r="B10" s="140">
        <f>SUMIF($F$27:$F$467,"Цветная и черная металлургия",$D$27:$D$467)</f>
        <v>3159070298.3500004</v>
      </c>
      <c r="C10" s="141">
        <f t="shared" si="0"/>
        <v>4.5544283473359155E-2</v>
      </c>
      <c r="D10" s="142"/>
      <c r="E10" s="139" t="s">
        <v>284</v>
      </c>
      <c r="F10" s="140">
        <f>SUMIF($B$27:$B$247,"корпоративные еврооблигации",D27:$D$247)+SUMIF($B$27:$B$247,"корпоративные рублевые облигации",D27:$D$247)+SUMIF($B$27:$B$247,"облигации РФ",D27:$D$247)+SUMIF($B$27:$B$247,"госеврооблигации",D27:$D$247)</f>
        <v>69083540172.47998</v>
      </c>
      <c r="G10" s="180">
        <f>F10/$F$11</f>
        <v>0.99597667661969547</v>
      </c>
      <c r="H10" s="153"/>
      <c r="I10" s="157" t="s">
        <v>82</v>
      </c>
      <c r="J10" s="140">
        <f t="shared" si="1"/>
        <v>925076276.28999996</v>
      </c>
      <c r="K10" s="194">
        <f t="shared" si="2"/>
        <v>1.3390690083055582E-2</v>
      </c>
      <c r="L10" s="139">
        <v>3</v>
      </c>
      <c r="M10" s="140">
        <f>SUMIF($J$27:$J$286,L10,$D$27:$D$286)</f>
        <v>8379048466.1100006</v>
      </c>
      <c r="N10" s="141">
        <f t="shared" si="3"/>
        <v>0.12128863757112239</v>
      </c>
      <c r="P10" s="139">
        <v>3</v>
      </c>
      <c r="Q10" s="140">
        <f t="shared" ref="Q10" si="4">SUMIF($I$27:$I$286,P10,$D$27:$D$286)</f>
        <v>12534500</v>
      </c>
      <c r="R10" s="141">
        <f>Q10/$Q$11</f>
        <v>4.4915543298512071E-2</v>
      </c>
    </row>
    <row r="11" spans="1:18" ht="25.5" x14ac:dyDescent="0.2">
      <c r="A11" s="159" t="s">
        <v>245</v>
      </c>
      <c r="B11" s="140">
        <f>SUMIF($F$27:$F$467,"Химическая и нефтехимическая промышленность",$D$27:$D$467)</f>
        <v>0</v>
      </c>
      <c r="C11" s="141">
        <f t="shared" si="0"/>
        <v>0</v>
      </c>
      <c r="D11" s="142"/>
      <c r="E11" s="143"/>
      <c r="F11" s="148">
        <f>SUM(F9:F10)</f>
        <v>69362608376.47998</v>
      </c>
      <c r="I11" s="156" t="s">
        <v>84</v>
      </c>
      <c r="J11" s="140">
        <f t="shared" si="1"/>
        <v>6326483375.6800003</v>
      </c>
      <c r="K11" s="194">
        <f t="shared" si="2"/>
        <v>9.1577289755052332E-2</v>
      </c>
      <c r="L11" s="139">
        <v>4</v>
      </c>
      <c r="M11" s="140">
        <f>SUMIF($J$27:$J$286,L11,$D$27:$D$286)</f>
        <v>8347153458.8899994</v>
      </c>
      <c r="N11" s="141">
        <f t="shared" si="3"/>
        <v>0.12082695006726302</v>
      </c>
      <c r="Q11" s="148">
        <f>SUM(Q8:Q10)</f>
        <v>279068204</v>
      </c>
    </row>
    <row r="12" spans="1:18" x14ac:dyDescent="0.2">
      <c r="A12" s="159" t="s">
        <v>272</v>
      </c>
      <c r="B12" s="140">
        <f>SUMIF($F$27:$F$467,"Инвестиционная деятельность",$D$27:$D$467)</f>
        <v>8484720160.8600006</v>
      </c>
      <c r="C12" s="141">
        <f t="shared" si="0"/>
        <v>0.12232412187856918</v>
      </c>
      <c r="D12" s="142"/>
      <c r="E12" s="144" t="s">
        <v>14</v>
      </c>
      <c r="F12" s="145">
        <f>B20-F11</f>
        <v>0</v>
      </c>
      <c r="I12" s="156" t="s">
        <v>86</v>
      </c>
      <c r="J12" s="140">
        <f t="shared" si="1"/>
        <v>1075155512.78</v>
      </c>
      <c r="K12" s="194">
        <f t="shared" si="2"/>
        <v>1.5563121260081239E-2</v>
      </c>
      <c r="M12" s="148">
        <f>SUM(M8:M11)</f>
        <v>69083540172.479996</v>
      </c>
      <c r="P12" s="155" t="s">
        <v>14</v>
      </c>
      <c r="Q12" s="149">
        <f>Q11-F9</f>
        <v>0</v>
      </c>
    </row>
    <row r="13" spans="1:18" x14ac:dyDescent="0.2">
      <c r="A13" s="159" t="s">
        <v>251</v>
      </c>
      <c r="B13" s="140">
        <f>SUMIF($F$27:$F$467,"Строительство жилых зданий",$D$27:$D$467)</f>
        <v>1124630716.77</v>
      </c>
      <c r="C13" s="141">
        <f t="shared" si="0"/>
        <v>1.6213789289264223E-2</v>
      </c>
      <c r="D13" s="142"/>
      <c r="E13" s="143"/>
      <c r="I13" s="156" t="s">
        <v>88</v>
      </c>
      <c r="J13" s="140">
        <f t="shared" si="1"/>
        <v>622087816.7700001</v>
      </c>
      <c r="K13" s="194">
        <f t="shared" si="2"/>
        <v>9.0048630283978102E-3</v>
      </c>
      <c r="L13" s="144" t="s">
        <v>14</v>
      </c>
      <c r="M13" s="145">
        <f>F10-M12</f>
        <v>0</v>
      </c>
    </row>
    <row r="14" spans="1:18" x14ac:dyDescent="0.2">
      <c r="A14" s="159" t="s">
        <v>217</v>
      </c>
      <c r="B14" s="140">
        <f>SUMIF($F$27:$F$467,"ОФЗ",$D$27:$D$467)</f>
        <v>2854402268.1999998</v>
      </c>
      <c r="C14" s="141">
        <f t="shared" si="0"/>
        <v>4.1151887667014164E-2</v>
      </c>
      <c r="D14" s="142"/>
      <c r="E14" s="143"/>
      <c r="F14" s="142"/>
      <c r="I14" s="156" t="s">
        <v>115</v>
      </c>
      <c r="J14" s="140">
        <f t="shared" si="1"/>
        <v>13171983.57</v>
      </c>
      <c r="K14" s="194">
        <f t="shared" si="2"/>
        <v>1.9066746633298863E-4</v>
      </c>
    </row>
    <row r="15" spans="1:18" ht="38.25" x14ac:dyDescent="0.2">
      <c r="A15" s="159" t="s">
        <v>256</v>
      </c>
      <c r="B15" s="140">
        <f>SUMIF($F$27:$F$467,"Лесная и лесоперерабатывающая промышленность",$D$27:$D$467)</f>
        <v>622438233.86000001</v>
      </c>
      <c r="C15" s="141">
        <f t="shared" si="0"/>
        <v>8.9736855119632621E-3</v>
      </c>
      <c r="D15" s="142"/>
      <c r="E15" s="143"/>
      <c r="F15" s="142"/>
      <c r="I15" s="181"/>
      <c r="J15" s="148">
        <f>SUM(J4:J14)</f>
        <v>69083540172.480011</v>
      </c>
    </row>
    <row r="16" spans="1:18" ht="25.5" x14ac:dyDescent="0.2">
      <c r="A16" s="159" t="s">
        <v>260</v>
      </c>
      <c r="B16" s="140">
        <f>SUMIF($F$27:$F$467,"Профессиональные услуги, сервис",$D$27:$D$467)</f>
        <v>43352100</v>
      </c>
      <c r="C16" s="141">
        <f t="shared" si="0"/>
        <v>6.2500677259277014E-4</v>
      </c>
      <c r="D16" s="142"/>
      <c r="E16" s="143"/>
      <c r="F16" s="142"/>
      <c r="I16" s="144" t="s">
        <v>14</v>
      </c>
      <c r="J16" s="145">
        <f>J15-F10</f>
        <v>0</v>
      </c>
    </row>
    <row r="17" spans="1:14" x14ac:dyDescent="0.2">
      <c r="A17" s="159" t="s">
        <v>255</v>
      </c>
      <c r="B17" s="140">
        <f>SUMIF($F$27:$F$467,"Розничная торговля",$D$27:$D$467)</f>
        <v>0</v>
      </c>
      <c r="C17" s="141">
        <f t="shared" si="0"/>
        <v>0</v>
      </c>
      <c r="D17" s="142"/>
      <c r="E17" s="143"/>
      <c r="F17" s="142"/>
      <c r="I17" s="144"/>
    </row>
    <row r="18" spans="1:14" ht="25.5" x14ac:dyDescent="0.2">
      <c r="A18" s="159" t="s">
        <v>258</v>
      </c>
      <c r="B18" s="140">
        <f>SUMIF($F$27:$F$467,"Финансовые услуги (кроме лизинга)",$D$27:$D$467)</f>
        <v>98593829.680000007</v>
      </c>
      <c r="C18" s="141">
        <f t="shared" si="0"/>
        <v>1.4214262120141373E-3</v>
      </c>
      <c r="D18" s="142"/>
      <c r="E18" s="143"/>
      <c r="F18" s="142"/>
      <c r="I18" s="144"/>
    </row>
    <row r="19" spans="1:14" x14ac:dyDescent="0.2">
      <c r="A19" s="159" t="s">
        <v>226</v>
      </c>
      <c r="B19" s="140">
        <f>SUMIF($F$27:$F$467,"Прочее",$D$27:$D$467)</f>
        <v>46612800.000000015</v>
      </c>
      <c r="C19" s="141">
        <f t="shared" si="0"/>
        <v>6.7201625041260482E-4</v>
      </c>
      <c r="D19" s="142"/>
      <c r="E19" s="143"/>
      <c r="F19" s="142"/>
      <c r="I19" s="144"/>
    </row>
    <row r="20" spans="1:14" x14ac:dyDescent="0.2">
      <c r="A20" s="160"/>
      <c r="B20" s="174">
        <f>SUM(B2:B19)</f>
        <v>69362608376.47998</v>
      </c>
      <c r="C20" s="178">
        <f>SUM(C2:C19)</f>
        <v>1.0000000000000004</v>
      </c>
      <c r="D20" s="142"/>
      <c r="E20" s="143"/>
    </row>
    <row r="21" spans="1:14" x14ac:dyDescent="0.2">
      <c r="A21" s="161" t="s">
        <v>14</v>
      </c>
      <c r="B21" s="145">
        <f>SUM(D27:D131)-B20</f>
        <v>0</v>
      </c>
      <c r="D21" s="142"/>
      <c r="E21" s="144"/>
      <c r="F21" s="149"/>
      <c r="J21" s="148"/>
    </row>
    <row r="22" spans="1:14" x14ac:dyDescent="0.2">
      <c r="D22" s="142"/>
      <c r="E22" s="143"/>
      <c r="J22" s="145"/>
    </row>
    <row r="23" spans="1:14" x14ac:dyDescent="0.2">
      <c r="D23" s="142"/>
      <c r="E23" s="143"/>
      <c r="I23" s="144"/>
      <c r="J23" s="145"/>
    </row>
    <row r="24" spans="1:14" x14ac:dyDescent="0.2">
      <c r="D24" s="142">
        <f>SUBTOTAL(9,D27:D131)</f>
        <v>69362608376.479965</v>
      </c>
      <c r="E24" s="143"/>
      <c r="I24" s="144"/>
      <c r="J24" s="144"/>
    </row>
    <row r="25" spans="1:14" x14ac:dyDescent="0.2">
      <c r="D25" s="142"/>
      <c r="E25" s="143"/>
      <c r="L25" s="279" t="s">
        <v>706</v>
      </c>
      <c r="M25" s="279"/>
      <c r="N25" s="279"/>
    </row>
    <row r="26" spans="1:14" x14ac:dyDescent="0.2">
      <c r="A26" s="158" t="s">
        <v>472</v>
      </c>
      <c r="B26" s="139" t="s">
        <v>220</v>
      </c>
      <c r="C26" s="139" t="s">
        <v>42</v>
      </c>
      <c r="D26" s="140" t="s">
        <v>106</v>
      </c>
      <c r="E26" s="139" t="s">
        <v>101</v>
      </c>
      <c r="F26" s="139" t="s">
        <v>205</v>
      </c>
      <c r="G26" s="146" t="s">
        <v>281</v>
      </c>
      <c r="H26" s="152" t="s">
        <v>163</v>
      </c>
      <c r="I26" s="152" t="s">
        <v>331</v>
      </c>
      <c r="J26" s="152" t="s">
        <v>332</v>
      </c>
      <c r="L26" s="152" t="str">
        <f>E26</f>
        <v>Эмитент</v>
      </c>
      <c r="M26" s="152" t="s">
        <v>282</v>
      </c>
      <c r="N26" s="152" t="s">
        <v>288</v>
      </c>
    </row>
    <row r="27" spans="1:14" x14ac:dyDescent="0.2">
      <c r="A27" s="163" t="s">
        <v>2225</v>
      </c>
      <c r="B27" s="164" t="s">
        <v>2203</v>
      </c>
      <c r="C27" s="164" t="s">
        <v>341</v>
      </c>
      <c r="D27" s="165">
        <v>102516304</v>
      </c>
      <c r="E27" s="164" t="s">
        <v>244</v>
      </c>
      <c r="F27" s="169" t="str">
        <f>VLOOKUP(E27,'Справочник отрасли'!$A:$D,4,0)</f>
        <v>Топливная промышленность</v>
      </c>
      <c r="G27" s="167">
        <f t="shared" ref="G27:G58" si="5">D27/$B$20</f>
        <v>1.4779764832886827E-3</v>
      </c>
      <c r="H27" s="166"/>
      <c r="I27" s="168">
        <f>VLOOKUP(C27,'Справочник отрасли'!$J$6:$K$34,2,0)</f>
        <v>1</v>
      </c>
      <c r="J27" s="168" t="str">
        <f>VLOOKUP(A27,'Эшелоны результат'!$A$3:$H$283,8,FALSE)</f>
        <v>Ошибка, не численные значения</v>
      </c>
      <c r="L27" s="139" t="s">
        <v>244</v>
      </c>
      <c r="M27" s="172">
        <f t="shared" ref="M27:M58" si="6">SUMIF($E$27:$E$423,L27,$D$27:$D$423)</f>
        <v>102516304</v>
      </c>
      <c r="N27" s="173">
        <f t="shared" ref="N27:N58" si="7">M27/$M$78</f>
        <v>1.4779764832886823E-3</v>
      </c>
    </row>
    <row r="28" spans="1:14" x14ac:dyDescent="0.2">
      <c r="A28" s="163" t="s">
        <v>2226</v>
      </c>
      <c r="B28" s="164" t="s">
        <v>2203</v>
      </c>
      <c r="C28" s="164" t="s">
        <v>398</v>
      </c>
      <c r="D28" s="165">
        <v>46612800.000000015</v>
      </c>
      <c r="E28" s="164" t="s">
        <v>401</v>
      </c>
      <c r="F28" s="169" t="str">
        <f>VLOOKUP(E28,'Справочник отрасли'!$A:$D,4,0)</f>
        <v>Прочее</v>
      </c>
      <c r="G28" s="167">
        <f t="shared" si="5"/>
        <v>6.7201625041260482E-4</v>
      </c>
      <c r="H28" s="166"/>
      <c r="I28" s="168">
        <f>VLOOKUP(C28,'Справочник отрасли'!$J$6:$K$34,2,0)</f>
        <v>1</v>
      </c>
      <c r="J28" s="168" t="str">
        <f>VLOOKUP(A28,'Эшелоны результат'!$A$3:$H$283,8,FALSE)</f>
        <v>Ошибка, не численные значения</v>
      </c>
      <c r="L28" s="139" t="s">
        <v>401</v>
      </c>
      <c r="M28" s="172">
        <f t="shared" si="6"/>
        <v>46612800.000000015</v>
      </c>
      <c r="N28" s="173">
        <f t="shared" si="7"/>
        <v>6.7201625041260471E-4</v>
      </c>
    </row>
    <row r="29" spans="1:14" x14ac:dyDescent="0.2">
      <c r="A29" s="163" t="s">
        <v>2227</v>
      </c>
      <c r="B29" s="164" t="s">
        <v>2203</v>
      </c>
      <c r="C29" s="164" t="s">
        <v>399</v>
      </c>
      <c r="D29" s="165">
        <v>57496400</v>
      </c>
      <c r="E29" s="164" t="s">
        <v>134</v>
      </c>
      <c r="F29" s="169" t="str">
        <f>VLOOKUP(E29,'Справочник отрасли'!$A:$D,4,0)</f>
        <v>Горнодобывающая промышленность</v>
      </c>
      <c r="G29" s="167">
        <f t="shared" si="5"/>
        <v>8.2892499785945672E-4</v>
      </c>
      <c r="H29" s="166"/>
      <c r="I29" s="168">
        <f>VLOOKUP(C29,'Справочник отрасли'!$J$6:$K$34,2,0)</f>
        <v>1</v>
      </c>
      <c r="J29" s="168" t="str">
        <f>VLOOKUP(A29,'Эшелоны результат'!$A$3:$H$283,8,FALSE)</f>
        <v>Ошибка, не численные значения</v>
      </c>
      <c r="L29" s="139" t="s">
        <v>134</v>
      </c>
      <c r="M29" s="172">
        <f t="shared" si="6"/>
        <v>840834290.04999995</v>
      </c>
      <c r="N29" s="173">
        <f t="shared" si="7"/>
        <v>1.2122299171423843E-2</v>
      </c>
    </row>
    <row r="30" spans="1:14" x14ac:dyDescent="0.2">
      <c r="A30" s="163" t="s">
        <v>2228</v>
      </c>
      <c r="B30" s="164" t="s">
        <v>2203</v>
      </c>
      <c r="C30" s="164" t="s">
        <v>232</v>
      </c>
      <c r="D30" s="165">
        <v>18015000</v>
      </c>
      <c r="E30" s="164" t="s">
        <v>104</v>
      </c>
      <c r="F30" s="169" t="str">
        <f>VLOOKUP(E30,'Справочник отрасли'!$A:$D,4,0)</f>
        <v>Топливная промышленность</v>
      </c>
      <c r="G30" s="167">
        <f t="shared" si="5"/>
        <v>2.5972206671092649E-4</v>
      </c>
      <c r="H30" s="166"/>
      <c r="I30" s="168">
        <f>VLOOKUP(C30,'Справочник отрасли'!$J$6:$K$34,2,0)</f>
        <v>1</v>
      </c>
      <c r="J30" s="168" t="str">
        <f>VLOOKUP(A30,'Эшелоны результат'!$A$3:$H$283,8,FALSE)</f>
        <v>Ошибка, не численные значения</v>
      </c>
      <c r="L30" s="139" t="s">
        <v>104</v>
      </c>
      <c r="M30" s="172">
        <f t="shared" si="6"/>
        <v>2396272387.48</v>
      </c>
      <c r="N30" s="173">
        <f t="shared" si="7"/>
        <v>3.4547033964953178E-2</v>
      </c>
    </row>
    <row r="31" spans="1:14" x14ac:dyDescent="0.2">
      <c r="A31" s="163" t="s">
        <v>2229</v>
      </c>
      <c r="B31" s="164" t="s">
        <v>2203</v>
      </c>
      <c r="C31" s="164" t="s">
        <v>224</v>
      </c>
      <c r="D31" s="165">
        <v>41893200</v>
      </c>
      <c r="E31" s="164" t="s">
        <v>103</v>
      </c>
      <c r="F31" s="169" t="str">
        <f>VLOOKUP(E31,'Справочник отрасли'!$A:$D,4,0)</f>
        <v>Топливная промышленность</v>
      </c>
      <c r="G31" s="167">
        <f t="shared" si="5"/>
        <v>6.0397382654089286E-4</v>
      </c>
      <c r="H31" s="166"/>
      <c r="I31" s="168">
        <f>VLOOKUP(C31,'Справочник отрасли'!$J$6:$K$34,2,0)</f>
        <v>1</v>
      </c>
      <c r="J31" s="168" t="str">
        <f>VLOOKUP(A31,'Эшелоны результат'!$A$3:$H$283,8,FALSE)</f>
        <v>Ошибка, не численные значения</v>
      </c>
      <c r="L31" s="139" t="s">
        <v>103</v>
      </c>
      <c r="M31" s="172">
        <f t="shared" si="6"/>
        <v>2831973248.6500006</v>
      </c>
      <c r="N31" s="173">
        <f t="shared" si="7"/>
        <v>4.0828528726585316E-2</v>
      </c>
    </row>
    <row r="32" spans="1:14" x14ac:dyDescent="0.2">
      <c r="A32" s="163" t="s">
        <v>537</v>
      </c>
      <c r="B32" s="164" t="s">
        <v>2123</v>
      </c>
      <c r="C32" s="164" t="s">
        <v>2185</v>
      </c>
      <c r="D32" s="165">
        <v>261576668.48000002</v>
      </c>
      <c r="E32" s="164" t="s">
        <v>104</v>
      </c>
      <c r="F32" s="169" t="str">
        <f>VLOOKUP(E32,'Справочник отрасли'!$A:$D,4,0)</f>
        <v>Топливная промышленность</v>
      </c>
      <c r="G32" s="167">
        <f t="shared" si="5"/>
        <v>3.7711480955306387E-3</v>
      </c>
      <c r="H32" s="166" t="s">
        <v>74</v>
      </c>
      <c r="I32" s="168" t="e">
        <f>VLOOKUP(C32,'Справочник отрасли'!$J$6:$K$34,2,0)</f>
        <v>#N/A</v>
      </c>
      <c r="J32" s="168">
        <f>VLOOKUP(A32,'Эшелоны результат'!$A$3:$H$283,8,FALSE)</f>
        <v>1</v>
      </c>
      <c r="L32" s="139" t="s">
        <v>162</v>
      </c>
      <c r="M32" s="172">
        <f t="shared" si="6"/>
        <v>2854402268.1999998</v>
      </c>
      <c r="N32" s="173">
        <f t="shared" si="7"/>
        <v>4.1151887667014157E-2</v>
      </c>
    </row>
    <row r="33" spans="1:14" x14ac:dyDescent="0.2">
      <c r="A33" s="163" t="s">
        <v>550</v>
      </c>
      <c r="B33" s="164" t="s">
        <v>2123</v>
      </c>
      <c r="C33" s="164" t="s">
        <v>2205</v>
      </c>
      <c r="D33" s="165">
        <v>142587067.77999997</v>
      </c>
      <c r="E33" s="164" t="s">
        <v>134</v>
      </c>
      <c r="F33" s="169" t="str">
        <f>VLOOKUP(E33,'Справочник отрасли'!$A:$D,4,0)</f>
        <v>Горнодобывающая промышленность</v>
      </c>
      <c r="G33" s="167">
        <f t="shared" si="5"/>
        <v>2.0556762658935634E-3</v>
      </c>
      <c r="H33" s="166" t="s">
        <v>76</v>
      </c>
      <c r="I33" s="168" t="e">
        <f>VLOOKUP(C33,'Справочник отрасли'!$J$6:$K$34,2,0)</f>
        <v>#N/A</v>
      </c>
      <c r="J33" s="168">
        <f>VLOOKUP(A33,'Эшелоны результат'!$A$3:$H$283,8,FALSE)</f>
        <v>1</v>
      </c>
      <c r="L33" s="139" t="s">
        <v>146</v>
      </c>
      <c r="M33" s="172">
        <f t="shared" si="6"/>
        <v>874467414.36000001</v>
      </c>
      <c r="N33" s="173">
        <f t="shared" si="7"/>
        <v>1.2607187573074618E-2</v>
      </c>
    </row>
    <row r="34" spans="1:14" x14ac:dyDescent="0.2">
      <c r="A34" s="163" t="s">
        <v>535</v>
      </c>
      <c r="B34" s="164" t="s">
        <v>2124</v>
      </c>
      <c r="C34" s="164" t="s">
        <v>2145</v>
      </c>
      <c r="D34" s="165">
        <v>834201574.94000006</v>
      </c>
      <c r="E34" s="164" t="s">
        <v>162</v>
      </c>
      <c r="F34" s="169" t="str">
        <f>VLOOKUP(E34,'Справочник отрасли'!$A:$D,4,0)</f>
        <v>ОФЗ</v>
      </c>
      <c r="G34" s="167">
        <f t="shared" si="5"/>
        <v>1.202667538700675E-2</v>
      </c>
      <c r="H34" s="166" t="s">
        <v>76</v>
      </c>
      <c r="I34" s="168" t="e">
        <f>VLOOKUP(C34,'Справочник отрасли'!$J$6:$K$34,2,0)</f>
        <v>#N/A</v>
      </c>
      <c r="J34" s="168">
        <f>VLOOKUP(A34,'Эшелоны результат'!$A$3:$H$283,8,FALSE)</f>
        <v>1</v>
      </c>
      <c r="L34" s="139" t="s">
        <v>142</v>
      </c>
      <c r="M34" s="172">
        <f t="shared" si="6"/>
        <v>689914267.79999995</v>
      </c>
      <c r="N34" s="173">
        <f t="shared" si="7"/>
        <v>9.9464867880306156E-3</v>
      </c>
    </row>
    <row r="35" spans="1:14" x14ac:dyDescent="0.2">
      <c r="A35" s="163" t="s">
        <v>551</v>
      </c>
      <c r="B35" s="164" t="s">
        <v>2123</v>
      </c>
      <c r="C35" s="164" t="s">
        <v>2206</v>
      </c>
      <c r="D35" s="165">
        <v>2042471707.0800004</v>
      </c>
      <c r="E35" s="164" t="s">
        <v>103</v>
      </c>
      <c r="F35" s="169" t="str">
        <f>VLOOKUP(E35,'Справочник отрасли'!$A:$D,4,0)</f>
        <v>Топливная промышленность</v>
      </c>
      <c r="G35" s="167">
        <f t="shared" si="5"/>
        <v>2.9446293253478306E-2</v>
      </c>
      <c r="H35" s="166" t="s">
        <v>74</v>
      </c>
      <c r="I35" s="168" t="e">
        <f>VLOOKUP(C35,'Справочник отрасли'!$J$6:$K$34,2,0)</f>
        <v>#N/A</v>
      </c>
      <c r="J35" s="168">
        <f>VLOOKUP(A35,'Эшелоны результат'!$A$3:$H$283,8,FALSE)</f>
        <v>1</v>
      </c>
      <c r="L35" s="139" t="s">
        <v>137</v>
      </c>
      <c r="M35" s="172">
        <f t="shared" si="6"/>
        <v>3934815624.0299997</v>
      </c>
      <c r="N35" s="173">
        <f t="shared" si="7"/>
        <v>5.6728195725757151E-2</v>
      </c>
    </row>
    <row r="36" spans="1:14" x14ac:dyDescent="0.2">
      <c r="A36" s="163" t="s">
        <v>552</v>
      </c>
      <c r="B36" s="164" t="s">
        <v>2123</v>
      </c>
      <c r="C36" s="164" t="s">
        <v>2207</v>
      </c>
      <c r="D36" s="165">
        <v>874467414.36000001</v>
      </c>
      <c r="E36" s="164" t="s">
        <v>146</v>
      </c>
      <c r="F36" s="169" t="str">
        <f>VLOOKUP(E36,'Справочник отрасли'!$A:$D,4,0)</f>
        <v>Банк</v>
      </c>
      <c r="G36" s="167">
        <f t="shared" si="5"/>
        <v>1.2607187573074621E-2</v>
      </c>
      <c r="H36" s="166" t="s">
        <v>76</v>
      </c>
      <c r="I36" s="168" t="e">
        <f>VLOOKUP(C36,'Справочник отрасли'!$J$6:$K$34,2,0)</f>
        <v>#N/A</v>
      </c>
      <c r="J36" s="168">
        <f>VLOOKUP(A36,'Эшелоны результат'!$A$3:$H$283,8,FALSE)</f>
        <v>1</v>
      </c>
      <c r="L36" s="139" t="s">
        <v>132</v>
      </c>
      <c r="M36" s="172">
        <f t="shared" si="6"/>
        <v>2987166986.9099998</v>
      </c>
      <c r="N36" s="173">
        <f t="shared" si="7"/>
        <v>4.3065955229026703E-2</v>
      </c>
    </row>
    <row r="37" spans="1:14" x14ac:dyDescent="0.2">
      <c r="A37" s="163" t="s">
        <v>553</v>
      </c>
      <c r="B37" s="164" t="s">
        <v>2123</v>
      </c>
      <c r="C37" s="164" t="s">
        <v>2208</v>
      </c>
      <c r="D37" s="165">
        <v>285942027.79999995</v>
      </c>
      <c r="E37" s="164" t="s">
        <v>142</v>
      </c>
      <c r="F37" s="169" t="str">
        <f>VLOOKUP(E37,'Справочник отрасли'!$A:$D,4,0)</f>
        <v>Связь и телекоммуникации</v>
      </c>
      <c r="G37" s="167">
        <f t="shared" si="5"/>
        <v>4.1224232261853552E-3</v>
      </c>
      <c r="H37" s="166" t="s">
        <v>78</v>
      </c>
      <c r="I37" s="168" t="e">
        <f>VLOOKUP(C37,'Справочник отрасли'!$J$6:$K$34,2,0)</f>
        <v>#N/A</v>
      </c>
      <c r="J37" s="168">
        <f>VLOOKUP(A37,'Эшелоны результат'!$A$3:$H$283,8,FALSE)</f>
        <v>1</v>
      </c>
      <c r="L37" s="139" t="s">
        <v>135</v>
      </c>
      <c r="M37" s="172">
        <f t="shared" si="6"/>
        <v>326384117.75</v>
      </c>
      <c r="N37" s="173">
        <f t="shared" si="7"/>
        <v>4.7054764143021014E-3</v>
      </c>
    </row>
    <row r="38" spans="1:14" x14ac:dyDescent="0.2">
      <c r="A38" s="163" t="s">
        <v>573</v>
      </c>
      <c r="B38" s="164" t="s">
        <v>2123</v>
      </c>
      <c r="C38" s="164" t="s">
        <v>2209</v>
      </c>
      <c r="D38" s="165">
        <v>942899560.94999993</v>
      </c>
      <c r="E38" s="164" t="s">
        <v>137</v>
      </c>
      <c r="F38" s="169" t="str">
        <f>VLOOKUP(E38,'Справочник отрасли'!$A:$D,4,0)</f>
        <v>Банк</v>
      </c>
      <c r="G38" s="167">
        <f t="shared" si="5"/>
        <v>1.3593773115223933E-2</v>
      </c>
      <c r="H38" s="166" t="s">
        <v>80</v>
      </c>
      <c r="I38" s="168" t="e">
        <f>VLOOKUP(C38,'Справочник отрасли'!$J$6:$K$34,2,0)</f>
        <v>#N/A</v>
      </c>
      <c r="J38" s="168">
        <f>VLOOKUP(A38,'Эшелоны результат'!$A$3:$H$283,8,FALSE)</f>
        <v>2</v>
      </c>
      <c r="L38" s="139" t="s">
        <v>136</v>
      </c>
      <c r="M38" s="172">
        <f t="shared" si="6"/>
        <v>2017773694.4400001</v>
      </c>
      <c r="N38" s="173">
        <f t="shared" si="7"/>
        <v>2.9090222263385961E-2</v>
      </c>
    </row>
    <row r="39" spans="1:14" x14ac:dyDescent="0.2">
      <c r="A39" s="163" t="s">
        <v>1104</v>
      </c>
      <c r="B39" s="164" t="s">
        <v>2123</v>
      </c>
      <c r="C39" s="164" t="s">
        <v>2210</v>
      </c>
      <c r="D39" s="165">
        <v>352802745</v>
      </c>
      <c r="E39" s="164" t="s">
        <v>104</v>
      </c>
      <c r="F39" s="169" t="str">
        <f>VLOOKUP(E39,'Справочник отрасли'!$A:$D,4,0)</f>
        <v>Топливная промышленность</v>
      </c>
      <c r="G39" s="167">
        <f t="shared" si="5"/>
        <v>5.0863534872432961E-3</v>
      </c>
      <c r="H39" s="166" t="s">
        <v>74</v>
      </c>
      <c r="I39" s="168" t="e">
        <f>VLOOKUP(C39,'Справочник отрасли'!$J$6:$K$34,2,0)</f>
        <v>#N/A</v>
      </c>
      <c r="J39" s="168">
        <f>VLOOKUP(A39,'Эшелоны результат'!$A$3:$H$283,8,FALSE)</f>
        <v>1</v>
      </c>
      <c r="L39" s="139" t="s">
        <v>138</v>
      </c>
      <c r="M39" s="172">
        <f t="shared" si="6"/>
        <v>705754071.42999995</v>
      </c>
      <c r="N39" s="173">
        <f t="shared" si="7"/>
        <v>1.0174849071409956E-2</v>
      </c>
    </row>
    <row r="40" spans="1:14" x14ac:dyDescent="0.2">
      <c r="A40" s="163" t="s">
        <v>1105</v>
      </c>
      <c r="B40" s="164" t="s">
        <v>2123</v>
      </c>
      <c r="C40" s="164" t="s">
        <v>2154</v>
      </c>
      <c r="D40" s="165">
        <v>705654854</v>
      </c>
      <c r="E40" s="164" t="s">
        <v>104</v>
      </c>
      <c r="F40" s="169" t="str">
        <f>VLOOKUP(E40,'Справочник отрасли'!$A:$D,4,0)</f>
        <v>Топливная промышленность</v>
      </c>
      <c r="G40" s="167">
        <f t="shared" si="5"/>
        <v>1.017341865475865E-2</v>
      </c>
      <c r="H40" s="166" t="s">
        <v>74</v>
      </c>
      <c r="I40" s="168" t="e">
        <f>VLOOKUP(C40,'Справочник отрасли'!$J$6:$K$34,2,0)</f>
        <v>#N/A</v>
      </c>
      <c r="J40" s="168">
        <f>VLOOKUP(A40,'Эшелоны результат'!$A$3:$H$283,8,FALSE)</f>
        <v>1</v>
      </c>
      <c r="L40" s="139" t="s">
        <v>100</v>
      </c>
      <c r="M40" s="172">
        <f t="shared" si="6"/>
        <v>216983106.49000001</v>
      </c>
      <c r="N40" s="173">
        <f t="shared" si="7"/>
        <v>3.128243178403543E-3</v>
      </c>
    </row>
    <row r="41" spans="1:14" x14ac:dyDescent="0.2">
      <c r="A41" s="163" t="s">
        <v>1030</v>
      </c>
      <c r="B41" s="164" t="s">
        <v>2123</v>
      </c>
      <c r="C41" s="164" t="s">
        <v>2211</v>
      </c>
      <c r="D41" s="165">
        <v>14160133.92</v>
      </c>
      <c r="E41" s="164" t="s">
        <v>132</v>
      </c>
      <c r="F41" s="169" t="str">
        <f>VLOOKUP(E41,'Справочник отрасли'!$A:$D,4,0)</f>
        <v>Финансовый лизинг</v>
      </c>
      <c r="G41" s="167">
        <f t="shared" si="5"/>
        <v>2.0414650272583361E-4</v>
      </c>
      <c r="H41" s="166" t="s">
        <v>78</v>
      </c>
      <c r="I41" s="168" t="e">
        <f>VLOOKUP(C41,'Справочник отрасли'!$J$6:$K$34,2,0)</f>
        <v>#N/A</v>
      </c>
      <c r="J41" s="168">
        <f>VLOOKUP(A41,'Эшелоны результат'!$A$3:$H$283,8,FALSE)</f>
        <v>1</v>
      </c>
      <c r="L41" s="139" t="s">
        <v>139</v>
      </c>
      <c r="M41" s="172">
        <f t="shared" si="6"/>
        <v>538238778.0999999</v>
      </c>
      <c r="N41" s="173">
        <f t="shared" si="7"/>
        <v>7.7597828383067268E-3</v>
      </c>
    </row>
    <row r="42" spans="1:14" x14ac:dyDescent="0.2">
      <c r="A42" s="163" t="s">
        <v>482</v>
      </c>
      <c r="B42" s="164" t="s">
        <v>2123</v>
      </c>
      <c r="C42" s="164" t="s">
        <v>2127</v>
      </c>
      <c r="D42" s="165">
        <v>326384117.75</v>
      </c>
      <c r="E42" s="164" t="s">
        <v>135</v>
      </c>
      <c r="F42" s="169" t="str">
        <f>VLOOKUP(E42,'Справочник отрасли'!$A:$D,4,0)</f>
        <v>Транспорт</v>
      </c>
      <c r="G42" s="167">
        <f t="shared" si="5"/>
        <v>4.7054764143021023E-3</v>
      </c>
      <c r="H42" s="166" t="s">
        <v>76</v>
      </c>
      <c r="I42" s="168" t="e">
        <f>VLOOKUP(C42,'Справочник отрасли'!$J$6:$K$34,2,0)</f>
        <v>#N/A</v>
      </c>
      <c r="J42" s="168">
        <f>VLOOKUP(A42,'Эшелоны результат'!$A$3:$H$283,8,FALSE)</f>
        <v>1</v>
      </c>
      <c r="L42" s="139" t="s">
        <v>140</v>
      </c>
      <c r="M42" s="172">
        <f t="shared" si="6"/>
        <v>282641660.99000001</v>
      </c>
      <c r="N42" s="173">
        <f t="shared" si="7"/>
        <v>4.0748418723803399E-3</v>
      </c>
    </row>
    <row r="43" spans="1:14" x14ac:dyDescent="0.2">
      <c r="A43" s="163" t="s">
        <v>483</v>
      </c>
      <c r="B43" s="164" t="s">
        <v>2123</v>
      </c>
      <c r="C43" s="164" t="s">
        <v>2128</v>
      </c>
      <c r="D43" s="165">
        <v>1850582238.73</v>
      </c>
      <c r="E43" s="164" t="s">
        <v>136</v>
      </c>
      <c r="F43" s="169" t="str">
        <f>VLOOKUP(E43,'Справочник отрасли'!$A:$D,4,0)</f>
        <v>Банк</v>
      </c>
      <c r="G43" s="167">
        <f t="shared" si="5"/>
        <v>2.6679824793865596E-2</v>
      </c>
      <c r="H43" s="166" t="s">
        <v>78</v>
      </c>
      <c r="I43" s="168" t="e">
        <f>VLOOKUP(C43,'Справочник отрасли'!$J$6:$K$34,2,0)</f>
        <v>#N/A</v>
      </c>
      <c r="J43" s="168">
        <f>VLOOKUP(A43,'Эшелоны результат'!$A$3:$H$283,8,FALSE)</f>
        <v>1</v>
      </c>
      <c r="L43" s="139" t="s">
        <v>145</v>
      </c>
      <c r="M43" s="172">
        <f t="shared" si="6"/>
        <v>1134200003.6900001</v>
      </c>
      <c r="N43" s="173">
        <f t="shared" si="7"/>
        <v>1.6351749598773644E-2</v>
      </c>
    </row>
    <row r="44" spans="1:14" x14ac:dyDescent="0.2">
      <c r="A44" s="163" t="s">
        <v>484</v>
      </c>
      <c r="B44" s="164" t="s">
        <v>2123</v>
      </c>
      <c r="C44" s="164" t="s">
        <v>2129</v>
      </c>
      <c r="D44" s="165">
        <v>63319456.130000003</v>
      </c>
      <c r="E44" s="164" t="s">
        <v>138</v>
      </c>
      <c r="F44" s="169" t="str">
        <f>VLOOKUP(E44,'Справочник отрасли'!$A:$D,4,0)</f>
        <v>Цветная и черная металлургия</v>
      </c>
      <c r="G44" s="167">
        <f t="shared" si="5"/>
        <v>9.1287593722428207E-4</v>
      </c>
      <c r="H44" s="166" t="s">
        <v>84</v>
      </c>
      <c r="I44" s="168" t="e">
        <f>VLOOKUP(C44,'Справочник отрасли'!$J$6:$K$34,2,0)</f>
        <v>#N/A</v>
      </c>
      <c r="J44" s="168">
        <f>VLOOKUP(A44,'Эшелоны результат'!$A$3:$H$283,8,FALSE)</f>
        <v>2</v>
      </c>
      <c r="L44" s="139" t="s">
        <v>99</v>
      </c>
      <c r="M44" s="172">
        <f t="shared" si="6"/>
        <v>214545933.16</v>
      </c>
      <c r="N44" s="173">
        <f t="shared" si="7"/>
        <v>3.0931064759777672E-3</v>
      </c>
    </row>
    <row r="45" spans="1:14" x14ac:dyDescent="0.2">
      <c r="A45" s="163" t="s">
        <v>485</v>
      </c>
      <c r="B45" s="164" t="s">
        <v>2123</v>
      </c>
      <c r="C45" s="164" t="s">
        <v>2130</v>
      </c>
      <c r="D45" s="165">
        <v>216983106.49000001</v>
      </c>
      <c r="E45" s="164" t="s">
        <v>100</v>
      </c>
      <c r="F45" s="169" t="str">
        <f>VLOOKUP(E45,'Справочник отрасли'!$A:$D,4,0)</f>
        <v>Связь и телекоммуникации</v>
      </c>
      <c r="G45" s="167">
        <f t="shared" si="5"/>
        <v>3.1282431784035438E-3</v>
      </c>
      <c r="H45" s="166" t="s">
        <v>80</v>
      </c>
      <c r="I45" s="168" t="e">
        <f>VLOOKUP(C45,'Справочник отрасли'!$J$6:$K$34,2,0)</f>
        <v>#N/A</v>
      </c>
      <c r="J45" s="168">
        <f>VLOOKUP(A45,'Эшелоны результат'!$A$3:$H$283,8,FALSE)</f>
        <v>2</v>
      </c>
      <c r="L45" s="139" t="s">
        <v>148</v>
      </c>
      <c r="M45" s="172">
        <f t="shared" si="6"/>
        <v>5615953774.3599987</v>
      </c>
      <c r="N45" s="173">
        <f t="shared" si="7"/>
        <v>8.0965146868154675E-2</v>
      </c>
    </row>
    <row r="46" spans="1:14" x14ac:dyDescent="0.2">
      <c r="A46" s="163" t="s">
        <v>486</v>
      </c>
      <c r="B46" s="164" t="s">
        <v>2123</v>
      </c>
      <c r="C46" s="164" t="s">
        <v>2131</v>
      </c>
      <c r="D46" s="165">
        <v>538238778.0999999</v>
      </c>
      <c r="E46" s="164" t="s">
        <v>139</v>
      </c>
      <c r="F46" s="169" t="str">
        <f>VLOOKUP(E46,'Справочник отрасли'!$A:$D,4,0)</f>
        <v>Транспорт</v>
      </c>
      <c r="G46" s="167">
        <f t="shared" si="5"/>
        <v>7.7597828383067285E-3</v>
      </c>
      <c r="H46" s="166" t="s">
        <v>80</v>
      </c>
      <c r="I46" s="168" t="e">
        <f>VLOOKUP(C46,'Справочник отрасли'!$J$6:$K$34,2,0)</f>
        <v>#N/A</v>
      </c>
      <c r="J46" s="168">
        <f>VLOOKUP(A46,'Эшелоны результат'!$A$3:$H$283,8,FALSE)</f>
        <v>2</v>
      </c>
      <c r="L46" s="139" t="s">
        <v>149</v>
      </c>
      <c r="M46" s="172">
        <f t="shared" si="6"/>
        <v>4529276087.0800009</v>
      </c>
      <c r="N46" s="173">
        <f t="shared" si="7"/>
        <v>6.5298526008370564E-2</v>
      </c>
    </row>
    <row r="47" spans="1:14" x14ac:dyDescent="0.2">
      <c r="A47" s="163" t="s">
        <v>487</v>
      </c>
      <c r="B47" s="164" t="s">
        <v>2123</v>
      </c>
      <c r="C47" s="164" t="s">
        <v>2132</v>
      </c>
      <c r="D47" s="165">
        <v>282641660.99000001</v>
      </c>
      <c r="E47" s="164" t="s">
        <v>140</v>
      </c>
      <c r="F47" s="169" t="str">
        <f>VLOOKUP(E47,'Справочник отрасли'!$A:$D,4,0)</f>
        <v>Цветная и черная металлургия</v>
      </c>
      <c r="G47" s="167">
        <f t="shared" si="5"/>
        <v>4.0748418723803408E-3</v>
      </c>
      <c r="H47" s="166" t="s">
        <v>82</v>
      </c>
      <c r="I47" s="168" t="e">
        <f>VLOOKUP(C47,'Справочник отрасли'!$J$6:$K$34,2,0)</f>
        <v>#N/A</v>
      </c>
      <c r="J47" s="168">
        <f>VLOOKUP(A47,'Эшелоны результат'!$A$3:$H$283,8,FALSE)</f>
        <v>2</v>
      </c>
      <c r="L47" s="139" t="s">
        <v>150</v>
      </c>
      <c r="M47" s="172">
        <f t="shared" si="6"/>
        <v>7601794654.1000004</v>
      </c>
      <c r="N47" s="173">
        <f t="shared" si="7"/>
        <v>0.10959499407576598</v>
      </c>
    </row>
    <row r="48" spans="1:14" x14ac:dyDescent="0.2">
      <c r="A48" s="163" t="s">
        <v>488</v>
      </c>
      <c r="B48" s="164" t="s">
        <v>2123</v>
      </c>
      <c r="C48" s="164" t="s">
        <v>2133</v>
      </c>
      <c r="D48" s="165">
        <v>715815488.06000006</v>
      </c>
      <c r="E48" s="164" t="s">
        <v>132</v>
      </c>
      <c r="F48" s="169" t="str">
        <f>VLOOKUP(E48,'Справочник отрасли'!$A:$D,4,0)</f>
        <v>Финансовый лизинг</v>
      </c>
      <c r="G48" s="167">
        <f t="shared" si="5"/>
        <v>1.0319904409804813E-2</v>
      </c>
      <c r="H48" s="166" t="s">
        <v>80</v>
      </c>
      <c r="I48" s="168" t="e">
        <f>VLOOKUP(C48,'Справочник отрасли'!$J$6:$K$34,2,0)</f>
        <v>#N/A</v>
      </c>
      <c r="J48" s="168">
        <f>VLOOKUP(A48,'Эшелоны результат'!$A$3:$H$283,8,FALSE)</f>
        <v>2</v>
      </c>
      <c r="L48" s="139" t="s">
        <v>161</v>
      </c>
      <c r="M48" s="172">
        <f t="shared" si="6"/>
        <v>1029665890.91</v>
      </c>
      <c r="N48" s="173">
        <f t="shared" si="7"/>
        <v>1.4844682387393421E-2</v>
      </c>
    </row>
    <row r="49" spans="1:14" x14ac:dyDescent="0.2">
      <c r="A49" s="163" t="s">
        <v>490</v>
      </c>
      <c r="B49" s="164" t="s">
        <v>2123</v>
      </c>
      <c r="C49" s="164" t="s">
        <v>2134</v>
      </c>
      <c r="D49" s="165">
        <v>827117341.35000002</v>
      </c>
      <c r="E49" s="164" t="s">
        <v>145</v>
      </c>
      <c r="F49" s="169" t="str">
        <f>VLOOKUP(E49,'Справочник отрасли'!$A:$D,4,0)</f>
        <v>Банк</v>
      </c>
      <c r="G49" s="167">
        <f t="shared" si="5"/>
        <v>1.1924542065382673E-2</v>
      </c>
      <c r="H49" s="166" t="s">
        <v>80</v>
      </c>
      <c r="I49" s="168" t="e">
        <f>VLOOKUP(C49,'Справочник отрасли'!$J$6:$K$34,2,0)</f>
        <v>#N/A</v>
      </c>
      <c r="J49" s="168">
        <f>VLOOKUP(A49,'Эшелоны результат'!$A$3:$H$283,8,FALSE)</f>
        <v>2</v>
      </c>
      <c r="L49" s="139" t="s">
        <v>152</v>
      </c>
      <c r="M49" s="172">
        <f t="shared" si="6"/>
        <v>739196590.92999995</v>
      </c>
      <c r="N49" s="173">
        <f t="shared" si="7"/>
        <v>1.0656989525507123E-2</v>
      </c>
    </row>
    <row r="50" spans="1:14" x14ac:dyDescent="0.2">
      <c r="A50" s="163" t="s">
        <v>491</v>
      </c>
      <c r="B50" s="164" t="s">
        <v>2123</v>
      </c>
      <c r="C50" s="164" t="s">
        <v>2135</v>
      </c>
      <c r="D50" s="165">
        <v>138929933.83000001</v>
      </c>
      <c r="E50" s="164" t="s">
        <v>103</v>
      </c>
      <c r="F50" s="169" t="str">
        <f>VLOOKUP(E50,'Справочник отрасли'!$A:$D,4,0)</f>
        <v>Топливная промышленность</v>
      </c>
      <c r="G50" s="167">
        <f t="shared" si="5"/>
        <v>2.0029514039600258E-3</v>
      </c>
      <c r="H50" s="166" t="s">
        <v>74</v>
      </c>
      <c r="I50" s="168" t="e">
        <f>VLOOKUP(C50,'Справочник отрасли'!$J$6:$K$34,2,0)</f>
        <v>#N/A</v>
      </c>
      <c r="J50" s="168">
        <f>VLOOKUP(A50,'Эшелоны результат'!$A$3:$H$283,8,FALSE)</f>
        <v>1</v>
      </c>
      <c r="L50" s="139" t="s">
        <v>336</v>
      </c>
      <c r="M50" s="172">
        <f t="shared" si="6"/>
        <v>1075155512.78</v>
      </c>
      <c r="N50" s="173">
        <f t="shared" si="7"/>
        <v>1.5500505790445042E-2</v>
      </c>
    </row>
    <row r="51" spans="1:14" x14ac:dyDescent="0.2">
      <c r="A51" s="163" t="s">
        <v>523</v>
      </c>
      <c r="B51" s="164" t="s">
        <v>2123</v>
      </c>
      <c r="C51" s="164" t="s">
        <v>2136</v>
      </c>
      <c r="D51" s="165">
        <v>307082662.33999997</v>
      </c>
      <c r="E51" s="164" t="s">
        <v>145</v>
      </c>
      <c r="F51" s="169" t="str">
        <f>VLOOKUP(E51,'Справочник отрасли'!$A:$D,4,0)</f>
        <v>Банк</v>
      </c>
      <c r="G51" s="167">
        <f t="shared" si="5"/>
        <v>4.4272075333909727E-3</v>
      </c>
      <c r="H51" s="166" t="s">
        <v>76</v>
      </c>
      <c r="I51" s="168" t="e">
        <f>VLOOKUP(C51,'Справочник отрасли'!$J$6:$K$34,2,0)</f>
        <v>#N/A</v>
      </c>
      <c r="J51" s="168">
        <f>VLOOKUP(A51,'Эшелоны результат'!$A$3:$H$283,8,FALSE)</f>
        <v>1</v>
      </c>
      <c r="L51" s="139" t="s">
        <v>133</v>
      </c>
      <c r="M51" s="172">
        <f t="shared" si="6"/>
        <v>926412190.02999997</v>
      </c>
      <c r="N51" s="173">
        <f t="shared" si="7"/>
        <v>1.3356074860992899E-2</v>
      </c>
    </row>
    <row r="52" spans="1:14" x14ac:dyDescent="0.2">
      <c r="A52" s="163" t="s">
        <v>492</v>
      </c>
      <c r="B52" s="164" t="s">
        <v>2123</v>
      </c>
      <c r="C52" s="164" t="s">
        <v>2137</v>
      </c>
      <c r="D52" s="165">
        <v>214545933.16</v>
      </c>
      <c r="E52" s="164" t="s">
        <v>99</v>
      </c>
      <c r="F52" s="169" t="str">
        <f>VLOOKUP(E52,'Справочник отрасли'!$A:$D,4,0)</f>
        <v>Горнодобывающая промышленность</v>
      </c>
      <c r="G52" s="167">
        <f t="shared" si="5"/>
        <v>3.093106475977768E-3</v>
      </c>
      <c r="H52" s="166" t="s">
        <v>74</v>
      </c>
      <c r="I52" s="168" t="e">
        <f>VLOOKUP(C52,'Справочник отрасли'!$J$6:$K$34,2,0)</f>
        <v>#N/A</v>
      </c>
      <c r="J52" s="168">
        <f>VLOOKUP(A52,'Эшелоны результат'!$A$3:$H$283,8,FALSE)</f>
        <v>1</v>
      </c>
      <c r="L52" s="139" t="s">
        <v>478</v>
      </c>
      <c r="M52" s="172">
        <f t="shared" si="6"/>
        <v>680345463.51999998</v>
      </c>
      <c r="N52" s="173">
        <f t="shared" si="7"/>
        <v>9.8085334367370297E-3</v>
      </c>
    </row>
    <row r="53" spans="1:14" x14ac:dyDescent="0.2">
      <c r="A53" s="163" t="s">
        <v>493</v>
      </c>
      <c r="B53" s="164" t="s">
        <v>2123</v>
      </c>
      <c r="C53" s="164" t="s">
        <v>2138</v>
      </c>
      <c r="D53" s="165">
        <v>5615953774.3599987</v>
      </c>
      <c r="E53" s="164" t="s">
        <v>148</v>
      </c>
      <c r="F53" s="169" t="str">
        <f>VLOOKUP(E53,'Справочник отрасли'!$A:$D,4,0)</f>
        <v>Банк</v>
      </c>
      <c r="G53" s="167">
        <f t="shared" si="5"/>
        <v>8.0965146868154689E-2</v>
      </c>
      <c r="H53" s="166" t="s">
        <v>76</v>
      </c>
      <c r="I53" s="168" t="e">
        <f>VLOOKUP(C53,'Справочник отрасли'!$J$6:$K$34,2,0)</f>
        <v>#N/A</v>
      </c>
      <c r="J53" s="168">
        <f>VLOOKUP(A53,'Эшелоны результат'!$A$3:$H$283,8,FALSE)</f>
        <v>1</v>
      </c>
      <c r="L53" s="139" t="s">
        <v>154</v>
      </c>
      <c r="M53" s="172">
        <f t="shared" si="6"/>
        <v>36256932.860000007</v>
      </c>
      <c r="N53" s="173">
        <f t="shared" si="7"/>
        <v>5.2271582209261738E-4</v>
      </c>
    </row>
    <row r="54" spans="1:14" x14ac:dyDescent="0.2">
      <c r="A54" s="163" t="s">
        <v>494</v>
      </c>
      <c r="B54" s="164" t="s">
        <v>2123</v>
      </c>
      <c r="C54" s="164" t="s">
        <v>2139</v>
      </c>
      <c r="D54" s="165">
        <v>4529276087.0800009</v>
      </c>
      <c r="E54" s="164" t="s">
        <v>149</v>
      </c>
      <c r="F54" s="169" t="str">
        <f>VLOOKUP(E54,'Справочник отрасли'!$A:$D,4,0)</f>
        <v>Топливная промышленность</v>
      </c>
      <c r="G54" s="167">
        <f t="shared" si="5"/>
        <v>6.5298526008370578E-2</v>
      </c>
      <c r="H54" s="166" t="s">
        <v>74</v>
      </c>
      <c r="I54" s="168" t="e">
        <f>VLOOKUP(C54,'Справочник отрасли'!$J$6:$K$34,2,0)</f>
        <v>#N/A</v>
      </c>
      <c r="J54" s="168">
        <f>VLOOKUP(A54,'Эшелоны результат'!$A$3:$H$283,8,FALSE)</f>
        <v>1</v>
      </c>
      <c r="L54" s="139" t="s">
        <v>196</v>
      </c>
      <c r="M54" s="172">
        <f t="shared" si="6"/>
        <v>13171983.57</v>
      </c>
      <c r="N54" s="173">
        <f t="shared" si="7"/>
        <v>1.8990034945782773E-4</v>
      </c>
    </row>
    <row r="55" spans="1:14" x14ac:dyDescent="0.2">
      <c r="A55" s="163" t="s">
        <v>495</v>
      </c>
      <c r="B55" s="164" t="s">
        <v>2123</v>
      </c>
      <c r="C55" s="164" t="s">
        <v>2140</v>
      </c>
      <c r="D55" s="165">
        <v>167191455.71000001</v>
      </c>
      <c r="E55" s="164" t="s">
        <v>136</v>
      </c>
      <c r="F55" s="169" t="str">
        <f>VLOOKUP(E55,'Справочник отрасли'!$A:$D,4,0)</f>
        <v>Банк</v>
      </c>
      <c r="G55" s="167">
        <f t="shared" si="5"/>
        <v>2.4103974695203734E-3</v>
      </c>
      <c r="H55" s="166" t="s">
        <v>78</v>
      </c>
      <c r="I55" s="168" t="e">
        <f>VLOOKUP(C55,'Справочник отрасли'!$J$6:$K$34,2,0)</f>
        <v>#N/A</v>
      </c>
      <c r="J55" s="168">
        <f>VLOOKUP(A55,'Эшелоны результат'!$A$3:$H$283,8,FALSE)</f>
        <v>1</v>
      </c>
      <c r="L55" s="139" t="s">
        <v>144</v>
      </c>
      <c r="M55" s="172">
        <f t="shared" si="6"/>
        <v>2874093843.02</v>
      </c>
      <c r="N55" s="173">
        <f t="shared" si="7"/>
        <v>4.1435780895381809E-2</v>
      </c>
    </row>
    <row r="56" spans="1:14" x14ac:dyDescent="0.2">
      <c r="A56" s="163" t="s">
        <v>496</v>
      </c>
      <c r="B56" s="164" t="s">
        <v>2123</v>
      </c>
      <c r="C56" s="164" t="s">
        <v>2141</v>
      </c>
      <c r="D56" s="165">
        <v>7601794654.1000004</v>
      </c>
      <c r="E56" s="164" t="s">
        <v>150</v>
      </c>
      <c r="F56" s="169" t="str">
        <f>VLOOKUP(E56,'Справочник отрасли'!$A:$D,4,0)</f>
        <v>Топливная промышленность</v>
      </c>
      <c r="G56" s="167">
        <f t="shared" si="5"/>
        <v>0.10959499407576599</v>
      </c>
      <c r="H56" s="166" t="s">
        <v>76</v>
      </c>
      <c r="I56" s="168" t="e">
        <f>VLOOKUP(C56,'Справочник отрасли'!$J$6:$K$34,2,0)</f>
        <v>#N/A</v>
      </c>
      <c r="J56" s="168">
        <f>VLOOKUP(A56,'Эшелоны результат'!$A$3:$H$283,8,FALSE)</f>
        <v>1</v>
      </c>
      <c r="L56" s="139" t="s">
        <v>156</v>
      </c>
      <c r="M56" s="172">
        <f t="shared" si="6"/>
        <v>1420831508.71</v>
      </c>
      <c r="N56" s="173">
        <f t="shared" si="7"/>
        <v>2.0484113010833464E-2</v>
      </c>
    </row>
    <row r="57" spans="1:14" x14ac:dyDescent="0.2">
      <c r="A57" s="163" t="s">
        <v>497</v>
      </c>
      <c r="B57" s="164" t="s">
        <v>2123</v>
      </c>
      <c r="C57" s="164" t="s">
        <v>2142</v>
      </c>
      <c r="D57" s="165">
        <v>640750822.26999998</v>
      </c>
      <c r="E57" s="164" t="s">
        <v>134</v>
      </c>
      <c r="F57" s="169" t="str">
        <f>VLOOKUP(E57,'Справочник отрасли'!$A:$D,4,0)</f>
        <v>Горнодобывающая промышленность</v>
      </c>
      <c r="G57" s="167">
        <f t="shared" si="5"/>
        <v>9.2376979076708252E-3</v>
      </c>
      <c r="H57" s="166" t="s">
        <v>76</v>
      </c>
      <c r="I57" s="168" t="e">
        <f>VLOOKUP(C57,'Справочник отрасли'!$J$6:$K$34,2,0)</f>
        <v>#N/A</v>
      </c>
      <c r="J57" s="168">
        <f>VLOOKUP(A57,'Эшелоны результат'!$A$3:$H$283,8,FALSE)</f>
        <v>1</v>
      </c>
      <c r="L57" s="139" t="s">
        <v>197</v>
      </c>
      <c r="M57" s="172">
        <f t="shared" si="6"/>
        <v>218396760</v>
      </c>
      <c r="N57" s="173">
        <f t="shared" si="7"/>
        <v>3.1486238062819975E-3</v>
      </c>
    </row>
    <row r="58" spans="1:14" x14ac:dyDescent="0.2">
      <c r="A58" s="163" t="s">
        <v>527</v>
      </c>
      <c r="B58" s="164" t="s">
        <v>2123</v>
      </c>
      <c r="C58" s="164" t="s">
        <v>2143</v>
      </c>
      <c r="D58" s="165">
        <v>1029665890.91</v>
      </c>
      <c r="E58" s="164" t="s">
        <v>161</v>
      </c>
      <c r="F58" s="169" t="str">
        <f>VLOOKUP(E58,'Справочник отрасли'!$A:$D,4,0)</f>
        <v>Электроэнергетика и теплоэнергетика</v>
      </c>
      <c r="G58" s="167">
        <f t="shared" si="5"/>
        <v>1.4844682387393424E-2</v>
      </c>
      <c r="H58" s="166" t="s">
        <v>76</v>
      </c>
      <c r="I58" s="168" t="e">
        <f>VLOOKUP(C58,'Справочник отрасли'!$J$6:$K$34,2,0)</f>
        <v>#N/A</v>
      </c>
      <c r="J58" s="168">
        <f>VLOOKUP(A58,'Эшелоны результат'!$A$3:$H$283,8,FALSE)</f>
        <v>1</v>
      </c>
      <c r="L58" s="139" t="s">
        <v>159</v>
      </c>
      <c r="M58" s="172">
        <f t="shared" si="6"/>
        <v>2226621558.6199999</v>
      </c>
      <c r="N58" s="173">
        <f t="shared" si="7"/>
        <v>3.2101179738434113E-2</v>
      </c>
    </row>
    <row r="59" spans="1:14" x14ac:dyDescent="0.2">
      <c r="A59" s="163" t="s">
        <v>498</v>
      </c>
      <c r="B59" s="164" t="s">
        <v>2123</v>
      </c>
      <c r="C59" s="164" t="s">
        <v>2144</v>
      </c>
      <c r="D59" s="165">
        <v>739196590.92999995</v>
      </c>
      <c r="E59" s="164" t="s">
        <v>152</v>
      </c>
      <c r="F59" s="169" t="str">
        <f>VLOOKUP(E59,'Справочник отрасли'!$A:$D,4,0)</f>
        <v>Банк</v>
      </c>
      <c r="G59" s="167">
        <f t="shared" ref="G59:G91" si="8">D59/$B$20</f>
        <v>1.0656989525507126E-2</v>
      </c>
      <c r="H59" s="52" t="s">
        <v>76</v>
      </c>
      <c r="I59" s="168" t="e">
        <f>VLOOKUP(C59,'Справочник отрасли'!$J$6:$K$34,2,0)</f>
        <v>#N/A</v>
      </c>
      <c r="J59" s="168">
        <f>VLOOKUP(A59,'Эшелоны результат'!$A$3:$H$283,8,FALSE)</f>
        <v>1</v>
      </c>
      <c r="L59" s="139" t="s">
        <v>198</v>
      </c>
      <c r="M59" s="172">
        <f t="shared" ref="M59:M77" si="9">SUMIF($E$27:$E$423,L59,$D$27:$D$423)</f>
        <v>8506941.4899999984</v>
      </c>
      <c r="N59" s="173">
        <f t="shared" ref="N59:N77" si="10">M59/$M$78</f>
        <v>1.2264448654852774E-4</v>
      </c>
    </row>
    <row r="60" spans="1:14" x14ac:dyDescent="0.2">
      <c r="A60" s="163" t="s">
        <v>535</v>
      </c>
      <c r="B60" s="164" t="s">
        <v>2124</v>
      </c>
      <c r="C60" s="164" t="s">
        <v>2145</v>
      </c>
      <c r="D60" s="165">
        <v>911467494.06999981</v>
      </c>
      <c r="E60" s="164" t="s">
        <v>162</v>
      </c>
      <c r="F60" s="169" t="str">
        <f>VLOOKUP(E60,'Справочник отрасли'!$A:$D,4,0)</f>
        <v>ОФЗ</v>
      </c>
      <c r="G60" s="167">
        <f t="shared" si="8"/>
        <v>1.3140617335536467E-2</v>
      </c>
      <c r="H60" s="166" t="s">
        <v>76</v>
      </c>
      <c r="I60" s="168" t="e">
        <f>VLOOKUP(C60,'Справочник отрасли'!$J$6:$K$34,2,0)</f>
        <v>#N/A</v>
      </c>
      <c r="J60" s="168">
        <v>4</v>
      </c>
      <c r="L60" s="139" t="s">
        <v>199</v>
      </c>
      <c r="M60" s="172">
        <f t="shared" si="9"/>
        <v>707851500</v>
      </c>
      <c r="N60" s="173">
        <f t="shared" si="10"/>
        <v>1.0205087677181755E-2</v>
      </c>
    </row>
    <row r="61" spans="1:14" x14ac:dyDescent="0.2">
      <c r="A61" s="163" t="s">
        <v>499</v>
      </c>
      <c r="B61" s="164" t="s">
        <v>2123</v>
      </c>
      <c r="C61" s="164" t="s">
        <v>2146</v>
      </c>
      <c r="D61" s="165">
        <v>396932745.03999996</v>
      </c>
      <c r="E61" s="164" t="s">
        <v>336</v>
      </c>
      <c r="F61" s="169" t="str">
        <f>VLOOKUP(E61,'Справочник отрасли'!$A:$D,4,0)</f>
        <v>Страны</v>
      </c>
      <c r="G61" s="167">
        <f t="shared" si="8"/>
        <v>5.7225752365822943E-3</v>
      </c>
      <c r="H61" s="166" t="s">
        <v>86</v>
      </c>
      <c r="I61" s="168" t="e">
        <f>VLOOKUP(C61,'Справочник отрасли'!$J$6:$K$34,2,0)</f>
        <v>#N/A</v>
      </c>
      <c r="J61" s="168">
        <v>4</v>
      </c>
      <c r="L61" s="139" t="s">
        <v>155</v>
      </c>
      <c r="M61" s="172">
        <f t="shared" si="9"/>
        <v>1550752681.8499999</v>
      </c>
      <c r="N61" s="173">
        <f t="shared" si="10"/>
        <v>2.2357185206083468E-2</v>
      </c>
    </row>
    <row r="62" spans="1:14" x14ac:dyDescent="0.2">
      <c r="A62" s="163" t="s">
        <v>500</v>
      </c>
      <c r="B62" s="164" t="s">
        <v>2123</v>
      </c>
      <c r="C62" s="164" t="s">
        <v>2147</v>
      </c>
      <c r="D62" s="165">
        <v>608678407.74000001</v>
      </c>
      <c r="E62" s="164" t="s">
        <v>103</v>
      </c>
      <c r="F62" s="169" t="str">
        <f>VLOOKUP(E62,'Справочник отрасли'!$A:$D,4,0)</f>
        <v>Топливная промышленность</v>
      </c>
      <c r="G62" s="167">
        <f t="shared" si="8"/>
        <v>8.7753102426060929E-3</v>
      </c>
      <c r="H62" s="166" t="s">
        <v>78</v>
      </c>
      <c r="I62" s="168" t="e">
        <f>VLOOKUP(C62,'Справочник отрасли'!$J$6:$K$34,2,0)</f>
        <v>#N/A</v>
      </c>
      <c r="J62" s="168">
        <v>4</v>
      </c>
      <c r="L62" s="139" t="s">
        <v>160</v>
      </c>
      <c r="M62" s="172">
        <f t="shared" si="9"/>
        <v>92011995.829999998</v>
      </c>
      <c r="N62" s="173">
        <f t="shared" si="10"/>
        <v>1.3265359821906602E-3</v>
      </c>
    </row>
    <row r="63" spans="1:14" x14ac:dyDescent="0.2">
      <c r="A63" s="163" t="s">
        <v>501</v>
      </c>
      <c r="B63" s="164" t="s">
        <v>2123</v>
      </c>
      <c r="C63" s="164" t="s">
        <v>2148</v>
      </c>
      <c r="D63" s="165">
        <v>1921478271.26</v>
      </c>
      <c r="E63" s="164" t="s">
        <v>137</v>
      </c>
      <c r="F63" s="169" t="str">
        <f>VLOOKUP(E63,'Справочник отрасли'!$A:$D,4,0)</f>
        <v>Банк</v>
      </c>
      <c r="G63" s="167">
        <f t="shared" si="8"/>
        <v>2.7701932153859861E-2</v>
      </c>
      <c r="H63" s="166" t="s">
        <v>80</v>
      </c>
      <c r="I63" s="168" t="e">
        <f>VLOOKUP(C63,'Справочник отрасли'!$J$6:$K$34,2,0)</f>
        <v>#N/A</v>
      </c>
      <c r="J63" s="168">
        <f>VLOOKUP(A63,'Эшелоны результат'!$A$3:$H$283,8,FALSE)</f>
        <v>2</v>
      </c>
      <c r="L63" s="139" t="s">
        <v>342</v>
      </c>
      <c r="M63" s="172">
        <f t="shared" si="9"/>
        <v>43352100</v>
      </c>
      <c r="N63" s="173">
        <f t="shared" si="10"/>
        <v>6.2500677259277003E-4</v>
      </c>
    </row>
    <row r="64" spans="1:14" x14ac:dyDescent="0.2">
      <c r="A64" s="163" t="s">
        <v>502</v>
      </c>
      <c r="B64" s="164" t="s">
        <v>2123</v>
      </c>
      <c r="C64" s="164" t="s">
        <v>2149</v>
      </c>
      <c r="D64" s="165">
        <v>1070437791.8199999</v>
      </c>
      <c r="E64" s="164" t="s">
        <v>137</v>
      </c>
      <c r="F64" s="169" t="str">
        <f>VLOOKUP(E64,'Справочник отрасли'!$A:$D,4,0)</f>
        <v>Банк</v>
      </c>
      <c r="G64" s="167">
        <f t="shared" si="8"/>
        <v>1.5432490456673375E-2</v>
      </c>
      <c r="H64" s="166" t="s">
        <v>80</v>
      </c>
      <c r="I64" s="168" t="e">
        <f>VLOOKUP(C64,'Справочник отрасли'!$J$6:$K$34,2,0)</f>
        <v>#N/A</v>
      </c>
      <c r="J64" s="168">
        <v>4</v>
      </c>
      <c r="L64" s="139" t="s">
        <v>434</v>
      </c>
      <c r="M64" s="172">
        <f t="shared" si="9"/>
        <v>76610400</v>
      </c>
      <c r="N64" s="173">
        <f t="shared" si="10"/>
        <v>1.104491336083861E-3</v>
      </c>
    </row>
    <row r="65" spans="1:14" x14ac:dyDescent="0.2">
      <c r="A65" s="163" t="s">
        <v>503</v>
      </c>
      <c r="B65" s="164" t="s">
        <v>2123</v>
      </c>
      <c r="C65" s="164" t="s">
        <v>2150</v>
      </c>
      <c r="D65" s="165">
        <v>926412190.02999997</v>
      </c>
      <c r="E65" s="164" t="s">
        <v>133</v>
      </c>
      <c r="F65" s="169" t="str">
        <f>VLOOKUP(E65,'Справочник отрасли'!$A:$D,4,0)</f>
        <v>Цветная и черная металлургия</v>
      </c>
      <c r="G65" s="167">
        <f t="shared" si="8"/>
        <v>1.3356074860992903E-2</v>
      </c>
      <c r="H65" s="166" t="s">
        <v>78</v>
      </c>
      <c r="I65" s="168" t="e">
        <f>VLOOKUP(C65,'Справочник отрасли'!$J$6:$K$34,2,0)</f>
        <v>#N/A</v>
      </c>
      <c r="J65" s="168">
        <v>4</v>
      </c>
      <c r="L65" s="139" t="s">
        <v>576</v>
      </c>
      <c r="M65" s="172">
        <f t="shared" si="9"/>
        <v>622087816.7700001</v>
      </c>
      <c r="N65" s="173">
        <f t="shared" si="10"/>
        <v>8.9686335524392195E-3</v>
      </c>
    </row>
    <row r="66" spans="1:14" x14ac:dyDescent="0.2">
      <c r="A66" s="163" t="s">
        <v>504</v>
      </c>
      <c r="B66" s="164" t="s">
        <v>2123</v>
      </c>
      <c r="C66" s="164" t="s">
        <v>2151</v>
      </c>
      <c r="D66" s="165">
        <v>678222767.74000001</v>
      </c>
      <c r="E66" s="164" t="s">
        <v>336</v>
      </c>
      <c r="F66" s="169" t="str">
        <f>VLOOKUP(E66,'Справочник отрасли'!$A:$D,4,0)</f>
        <v>Страны</v>
      </c>
      <c r="G66" s="167">
        <f t="shared" si="8"/>
        <v>9.7779305538627515E-3</v>
      </c>
      <c r="H66" s="166" t="s">
        <v>86</v>
      </c>
      <c r="I66" s="168" t="e">
        <f>VLOOKUP(C66,'Справочник отрасли'!$J$6:$K$34,2,0)</f>
        <v>#N/A</v>
      </c>
      <c r="J66" s="168">
        <v>4</v>
      </c>
      <c r="L66" s="139" t="s">
        <v>571</v>
      </c>
      <c r="M66" s="172">
        <f t="shared" si="9"/>
        <v>98593829.680000007</v>
      </c>
      <c r="N66" s="173">
        <f t="shared" si="10"/>
        <v>1.4214262120141369E-3</v>
      </c>
    </row>
    <row r="67" spans="1:14" x14ac:dyDescent="0.2">
      <c r="A67" s="163" t="s">
        <v>505</v>
      </c>
      <c r="B67" s="164" t="s">
        <v>2123</v>
      </c>
      <c r="C67" s="164" t="s">
        <v>2152</v>
      </c>
      <c r="D67" s="165">
        <v>680345463.51999998</v>
      </c>
      <c r="E67" s="164" t="s">
        <v>478</v>
      </c>
      <c r="F67" s="169" t="str">
        <f>VLOOKUP(E67,'Справочник отрасли'!$A:$D,4,0)</f>
        <v>Связь и телекоммуникации</v>
      </c>
      <c r="G67" s="167">
        <f t="shared" si="8"/>
        <v>9.8085334367370314E-3</v>
      </c>
      <c r="H67" s="166" t="s">
        <v>78</v>
      </c>
      <c r="I67" s="168" t="e">
        <f>VLOOKUP(C67,'Справочник отрасли'!$J$6:$K$34,2,0)</f>
        <v>#N/A</v>
      </c>
      <c r="J67" s="168">
        <v>4</v>
      </c>
      <c r="L67" s="139" t="s">
        <v>2188</v>
      </c>
      <c r="M67" s="172">
        <f t="shared" si="9"/>
        <v>4824095109.96</v>
      </c>
      <c r="N67" s="173">
        <f t="shared" si="10"/>
        <v>6.9548928779843741E-2</v>
      </c>
    </row>
    <row r="68" spans="1:14" x14ac:dyDescent="0.2">
      <c r="A68" s="163" t="s">
        <v>570</v>
      </c>
      <c r="B68" s="164" t="s">
        <v>2123</v>
      </c>
      <c r="C68" s="164" t="s">
        <v>2153</v>
      </c>
      <c r="D68" s="165">
        <v>403972240</v>
      </c>
      <c r="E68" s="164" t="s">
        <v>142</v>
      </c>
      <c r="F68" s="169" t="str">
        <f>VLOOKUP(E68,'Справочник отрасли'!$A:$D,4,0)</f>
        <v>Связь и телекоммуникации</v>
      </c>
      <c r="G68" s="167">
        <f t="shared" si="8"/>
        <v>5.8240635618452621E-3</v>
      </c>
      <c r="H68" s="166" t="s">
        <v>78</v>
      </c>
      <c r="I68" s="168" t="e">
        <f>VLOOKUP(C68,'Справочник отрасли'!$J$6:$K$34,2,0)</f>
        <v>#N/A</v>
      </c>
      <c r="J68" s="168">
        <f>VLOOKUP(A68,'Эшелоны результат'!$A$3:$H$283,8,FALSE)</f>
        <v>1</v>
      </c>
      <c r="L68" s="139" t="s">
        <v>158</v>
      </c>
      <c r="M68" s="172">
        <f t="shared" si="9"/>
        <v>500481500.92000002</v>
      </c>
      <c r="N68" s="173">
        <f t="shared" si="10"/>
        <v>7.2154365678339617E-3</v>
      </c>
    </row>
    <row r="69" spans="1:14" x14ac:dyDescent="0.2">
      <c r="A69" s="163" t="s">
        <v>1105</v>
      </c>
      <c r="B69" s="164" t="s">
        <v>2123</v>
      </c>
      <c r="C69" s="164" t="s">
        <v>2154</v>
      </c>
      <c r="D69" s="165">
        <v>1058223120</v>
      </c>
      <c r="E69" s="164" t="s">
        <v>104</v>
      </c>
      <c r="F69" s="169" t="str">
        <f>VLOOKUP(E69,'Справочник отрасли'!$A:$D,4,0)</f>
        <v>Топливная промышленность</v>
      </c>
      <c r="G69" s="167">
        <f t="shared" si="8"/>
        <v>1.5256391660709672E-2</v>
      </c>
      <c r="H69" s="166" t="s">
        <v>74</v>
      </c>
      <c r="I69" s="168" t="e">
        <f>VLOOKUP(C69,'Справочник отрасли'!$J$6:$K$34,2,0)</f>
        <v>#N/A</v>
      </c>
      <c r="J69" s="168">
        <v>4</v>
      </c>
      <c r="L69" s="139" t="s">
        <v>340</v>
      </c>
      <c r="M69" s="172">
        <f t="shared" si="9"/>
        <v>622438233.86000001</v>
      </c>
      <c r="N69" s="173">
        <f t="shared" si="10"/>
        <v>8.9736855119632603E-3</v>
      </c>
    </row>
    <row r="70" spans="1:14" x14ac:dyDescent="0.2">
      <c r="A70" s="163" t="s">
        <v>507</v>
      </c>
      <c r="B70" s="164" t="s">
        <v>2125</v>
      </c>
      <c r="C70" s="164" t="s">
        <v>2156</v>
      </c>
      <c r="D70" s="165">
        <v>362231.77</v>
      </c>
      <c r="E70" s="164" t="s">
        <v>154</v>
      </c>
      <c r="F70" s="169" t="str">
        <f>VLOOKUP(E70,'Справочник отрасли'!$A:$D,4,0)</f>
        <v>Банк</v>
      </c>
      <c r="G70" s="167">
        <f t="shared" si="8"/>
        <v>5.222291642118067E-6</v>
      </c>
      <c r="H70" s="166" t="s">
        <v>76</v>
      </c>
      <c r="I70" s="168" t="e">
        <f>VLOOKUP(C70,'Справочник отрасли'!$J$6:$K$34,2,0)</f>
        <v>#N/A</v>
      </c>
      <c r="J70" s="168">
        <v>4</v>
      </c>
      <c r="L70" s="139" t="s">
        <v>147</v>
      </c>
      <c r="M70" s="172">
        <f t="shared" si="9"/>
        <v>1448473262.6500001</v>
      </c>
      <c r="N70" s="173">
        <f t="shared" si="10"/>
        <v>2.0882623888480518E-2</v>
      </c>
    </row>
    <row r="71" spans="1:14" x14ac:dyDescent="0.2">
      <c r="A71" s="163" t="s">
        <v>554</v>
      </c>
      <c r="B71" s="164" t="s">
        <v>2125</v>
      </c>
      <c r="C71" s="164" t="s">
        <v>2212</v>
      </c>
      <c r="D71" s="165">
        <v>13171983.57</v>
      </c>
      <c r="E71" s="164" t="s">
        <v>196</v>
      </c>
      <c r="F71" s="169" t="str">
        <f>VLOOKUP(E71,'Справочник отрасли'!$A:$D,4,0)</f>
        <v>Инвестиционная деятельность</v>
      </c>
      <c r="G71" s="167">
        <f t="shared" si="8"/>
        <v>1.8990034945782778E-4</v>
      </c>
      <c r="H71" s="166" t="s">
        <v>115</v>
      </c>
      <c r="I71" s="168" t="e">
        <f>VLOOKUP(C71,'Справочник отрасли'!$J$6:$K$34,2,0)</f>
        <v>#N/A</v>
      </c>
      <c r="J71" s="168">
        <v>4</v>
      </c>
      <c r="L71" s="139" t="s">
        <v>230</v>
      </c>
      <c r="M71" s="172">
        <f t="shared" si="9"/>
        <v>521519375.89999998</v>
      </c>
      <c r="N71" s="173">
        <f t="shared" si="10"/>
        <v>7.5187393915370796E-3</v>
      </c>
    </row>
    <row r="72" spans="1:14" x14ac:dyDescent="0.2">
      <c r="A72" s="163" t="s">
        <v>508</v>
      </c>
      <c r="B72" s="164" t="s">
        <v>2125</v>
      </c>
      <c r="C72" s="164" t="s">
        <v>2157</v>
      </c>
      <c r="D72" s="165">
        <v>33061437.959999997</v>
      </c>
      <c r="E72" s="164" t="s">
        <v>144</v>
      </c>
      <c r="F72" s="169" t="str">
        <f>VLOOKUP(E72,'Справочник отрасли'!$A:$D,4,0)</f>
        <v>Банк</v>
      </c>
      <c r="G72" s="167">
        <f t="shared" si="8"/>
        <v>4.7664640551797256E-4</v>
      </c>
      <c r="H72" s="166" t="s">
        <v>78</v>
      </c>
      <c r="I72" s="168" t="e">
        <f>VLOOKUP(C72,'Справочник отрасли'!$J$6:$K$34,2,0)</f>
        <v>#N/A</v>
      </c>
      <c r="J72" s="168">
        <f>VLOOKUP(A72,'Эшелоны результат'!$A$3:$H$283,8,FALSE)</f>
        <v>2</v>
      </c>
      <c r="L72" s="139" t="s">
        <v>460</v>
      </c>
      <c r="M72" s="172">
        <f t="shared" si="9"/>
        <v>502542900</v>
      </c>
      <c r="N72" s="173">
        <f t="shared" si="10"/>
        <v>7.2451557368250026E-3</v>
      </c>
    </row>
    <row r="73" spans="1:14" x14ac:dyDescent="0.2">
      <c r="A73" s="163" t="s">
        <v>511</v>
      </c>
      <c r="B73" s="164" t="s">
        <v>2125</v>
      </c>
      <c r="C73" s="164" t="s">
        <v>2160</v>
      </c>
      <c r="D73" s="165">
        <v>160213868.75</v>
      </c>
      <c r="E73" s="164" t="s">
        <v>156</v>
      </c>
      <c r="F73" s="169" t="str">
        <f>VLOOKUP(E73,'Справочник отрасли'!$A:$D,4,0)</f>
        <v>Инвестиционная деятельность</v>
      </c>
      <c r="G73" s="167">
        <f t="shared" si="8"/>
        <v>2.3098016712463569E-3</v>
      </c>
      <c r="H73" s="166" t="s">
        <v>80</v>
      </c>
      <c r="I73" s="168" t="e">
        <f>VLOOKUP(C73,'Справочник отрасли'!$J$6:$K$34,2,0)</f>
        <v>#N/A</v>
      </c>
      <c r="J73" s="168">
        <v>4</v>
      </c>
      <c r="L73" s="139" t="s">
        <v>461</v>
      </c>
      <c r="M73" s="172">
        <f t="shared" si="9"/>
        <v>5037878019.5500002</v>
      </c>
      <c r="N73" s="173">
        <f t="shared" si="10"/>
        <v>7.263103475298778E-2</v>
      </c>
    </row>
    <row r="74" spans="1:14" x14ac:dyDescent="0.2">
      <c r="A74" s="163" t="s">
        <v>513</v>
      </c>
      <c r="B74" s="164" t="s">
        <v>2125</v>
      </c>
      <c r="C74" s="164" t="s">
        <v>2162</v>
      </c>
      <c r="D74" s="165">
        <v>53935644.32000003</v>
      </c>
      <c r="E74" s="164" t="s">
        <v>156</v>
      </c>
      <c r="F74" s="169" t="str">
        <f>VLOOKUP(E74,'Справочник отрасли'!$A:$D,4,0)</f>
        <v>Инвестиционная деятельность</v>
      </c>
      <c r="G74" s="167">
        <f t="shared" si="8"/>
        <v>7.7758962043718294E-4</v>
      </c>
      <c r="H74" s="166" t="s">
        <v>80</v>
      </c>
      <c r="I74" s="168" t="e">
        <f>VLOOKUP(C74,'Справочник отрасли'!$J$6:$K$34,2,0)</f>
        <v>#N/A</v>
      </c>
      <c r="J74" s="168">
        <v>4</v>
      </c>
      <c r="L74" s="139" t="s">
        <v>479</v>
      </c>
      <c r="M74" s="172">
        <f t="shared" si="9"/>
        <v>722743000</v>
      </c>
      <c r="N74" s="173">
        <f t="shared" si="10"/>
        <v>1.0419778277038862E-2</v>
      </c>
    </row>
    <row r="75" spans="1:14" x14ac:dyDescent="0.2">
      <c r="A75" s="163" t="s">
        <v>555</v>
      </c>
      <c r="B75" s="164" t="s">
        <v>2125</v>
      </c>
      <c r="C75" s="164" t="s">
        <v>2213</v>
      </c>
      <c r="D75" s="165">
        <v>218396760</v>
      </c>
      <c r="E75" s="164" t="s">
        <v>197</v>
      </c>
      <c r="F75" s="169" t="str">
        <f>VLOOKUP(E75,'Справочник отрасли'!$A:$D,4,0)</f>
        <v>Банк</v>
      </c>
      <c r="G75" s="167">
        <f t="shared" si="8"/>
        <v>3.1486238062819979E-3</v>
      </c>
      <c r="H75" s="166" t="s">
        <v>80</v>
      </c>
      <c r="I75" s="168" t="e">
        <f>VLOOKUP(C75,'Справочник отрасли'!$J$6:$K$34,2,0)</f>
        <v>#N/A</v>
      </c>
      <c r="J75" s="168">
        <f>VLOOKUP(A75,'Эшелоны результат'!$A$3:$H$283,8,FALSE)</f>
        <v>2</v>
      </c>
      <c r="L75" s="139"/>
      <c r="M75" s="172">
        <f t="shared" si="9"/>
        <v>0</v>
      </c>
      <c r="N75" s="173">
        <f t="shared" si="10"/>
        <v>0</v>
      </c>
    </row>
    <row r="76" spans="1:14" x14ac:dyDescent="0.2">
      <c r="A76" s="163" t="s">
        <v>519</v>
      </c>
      <c r="B76" s="164" t="s">
        <v>2125</v>
      </c>
      <c r="C76" s="164" t="s">
        <v>2168</v>
      </c>
      <c r="D76" s="165">
        <v>164632347.77000001</v>
      </c>
      <c r="E76" s="164" t="s">
        <v>159</v>
      </c>
      <c r="F76" s="169" t="str">
        <f>VLOOKUP(E76,'Справочник отрасли'!$A:$D,4,0)</f>
        <v>Инвестиционная деятельность</v>
      </c>
      <c r="G76" s="167">
        <f t="shared" si="8"/>
        <v>2.3735028370966632E-3</v>
      </c>
      <c r="H76" s="166" t="s">
        <v>78</v>
      </c>
      <c r="I76" s="168" t="e">
        <f>VLOOKUP(C76,'Справочник отрасли'!$J$6:$K$34,2,0)</f>
        <v>#N/A</v>
      </c>
      <c r="J76" s="168">
        <f>VLOOKUP(A76,'Эшелоны результат'!$A$3:$H$283,8,FALSE)</f>
        <v>1</v>
      </c>
      <c r="L76" s="139"/>
      <c r="M76" s="172">
        <f t="shared" si="9"/>
        <v>0</v>
      </c>
      <c r="N76" s="173">
        <f t="shared" si="10"/>
        <v>0</v>
      </c>
    </row>
    <row r="77" spans="1:14" x14ac:dyDescent="0.2">
      <c r="A77" s="163" t="s">
        <v>489</v>
      </c>
      <c r="B77" s="164" t="s">
        <v>2125</v>
      </c>
      <c r="C77" s="164" t="s">
        <v>2169</v>
      </c>
      <c r="D77" s="165">
        <v>458185287.84000003</v>
      </c>
      <c r="E77" s="164" t="s">
        <v>144</v>
      </c>
      <c r="F77" s="169" t="str">
        <f>VLOOKUP(E77,'Справочник отрасли'!$A:$D,4,0)</f>
        <v>Банк</v>
      </c>
      <c r="G77" s="167">
        <f t="shared" si="8"/>
        <v>6.6056525059309205E-3</v>
      </c>
      <c r="H77" s="166" t="s">
        <v>78</v>
      </c>
      <c r="I77" s="168" t="e">
        <f>VLOOKUP(C77,'Справочник отрасли'!$J$6:$K$34,2,0)</f>
        <v>#N/A</v>
      </c>
      <c r="J77" s="168">
        <v>4</v>
      </c>
      <c r="L77" s="139"/>
      <c r="M77" s="172">
        <f t="shared" si="9"/>
        <v>0</v>
      </c>
      <c r="N77" s="173">
        <f t="shared" si="10"/>
        <v>0</v>
      </c>
    </row>
    <row r="78" spans="1:14" ht="15" x14ac:dyDescent="0.25">
      <c r="A78" s="163" t="s">
        <v>556</v>
      </c>
      <c r="B78" s="164" t="s">
        <v>2125</v>
      </c>
      <c r="C78" s="164" t="s">
        <v>2214</v>
      </c>
      <c r="D78" s="165">
        <v>8506941.4899999984</v>
      </c>
      <c r="E78" s="164" t="s">
        <v>198</v>
      </c>
      <c r="F78" s="169" t="str">
        <f>VLOOKUP(E78,'Справочник отрасли'!$A:$D,4,0)</f>
        <v>Банк</v>
      </c>
      <c r="G78" s="167">
        <f t="shared" si="8"/>
        <v>1.2264448654852777E-4</v>
      </c>
      <c r="H78" s="166" t="s">
        <v>76</v>
      </c>
      <c r="I78" s="168" t="e">
        <f>VLOOKUP(C78,'Справочник отрасли'!$J$6:$K$34,2,0)</f>
        <v>#N/A</v>
      </c>
      <c r="J78" s="168">
        <v>4</v>
      </c>
      <c r="L78"/>
      <c r="M78" s="213">
        <f>SUM(M27:M77)</f>
        <v>69362608376.479996</v>
      </c>
      <c r="N78" s="212"/>
    </row>
    <row r="79" spans="1:14" x14ac:dyDescent="0.2">
      <c r="A79" s="163" t="s">
        <v>557</v>
      </c>
      <c r="B79" s="164" t="s">
        <v>2125</v>
      </c>
      <c r="C79" s="164" t="s">
        <v>2215</v>
      </c>
      <c r="D79" s="165">
        <v>539698102.23000002</v>
      </c>
      <c r="E79" s="164" t="s">
        <v>199</v>
      </c>
      <c r="F79" s="169" t="str">
        <f>VLOOKUP(E79,'Справочник отрасли'!$A:$D,4,0)</f>
        <v>Топливная промышленность</v>
      </c>
      <c r="G79" s="167">
        <f t="shared" si="8"/>
        <v>7.7808218990363847E-3</v>
      </c>
      <c r="H79" s="166" t="s">
        <v>76</v>
      </c>
      <c r="I79" s="168" t="e">
        <f>VLOOKUP(C79,'Справочник отрасли'!$J$6:$K$34,2,0)</f>
        <v>#N/A</v>
      </c>
      <c r="J79" s="168">
        <v>4</v>
      </c>
      <c r="L79" s="147"/>
      <c r="M79" s="214">
        <f>M78-B20</f>
        <v>0</v>
      </c>
      <c r="N79" s="212"/>
    </row>
    <row r="80" spans="1:14" ht="15" x14ac:dyDescent="0.25">
      <c r="A80" s="163" t="s">
        <v>558</v>
      </c>
      <c r="B80" s="164" t="s">
        <v>2125</v>
      </c>
      <c r="C80" s="164" t="s">
        <v>2216</v>
      </c>
      <c r="D80" s="165">
        <v>155618897.77000001</v>
      </c>
      <c r="E80" s="164" t="s">
        <v>199</v>
      </c>
      <c r="F80" s="169" t="str">
        <f>VLOOKUP(E80,'Справочник отрасли'!$A:$D,4,0)</f>
        <v>Топливная промышленность</v>
      </c>
      <c r="G80" s="167">
        <f t="shared" si="8"/>
        <v>2.2435560226533881E-3</v>
      </c>
      <c r="H80" s="166" t="s">
        <v>76</v>
      </c>
      <c r="I80" s="168" t="e">
        <f>VLOOKUP(C80,'Справочник отрасли'!$J$6:$K$34,2,0)</f>
        <v>#N/A</v>
      </c>
      <c r="J80" s="168">
        <v>4</v>
      </c>
      <c r="L80"/>
      <c r="M80" s="212"/>
      <c r="N80" s="212"/>
    </row>
    <row r="81" spans="1:14" ht="15" x14ac:dyDescent="0.25">
      <c r="A81" s="163" t="s">
        <v>524</v>
      </c>
      <c r="B81" s="164" t="s">
        <v>2125</v>
      </c>
      <c r="C81" s="164" t="s">
        <v>2173</v>
      </c>
      <c r="D81" s="165">
        <v>177877369.34999999</v>
      </c>
      <c r="E81" s="164" t="s">
        <v>155</v>
      </c>
      <c r="F81" s="169" t="str">
        <f>VLOOKUP(E81,'Справочник отрасли'!$A:$D,4,0)</f>
        <v>Банк</v>
      </c>
      <c r="G81" s="167">
        <f t="shared" si="8"/>
        <v>2.5644561747812824E-3</v>
      </c>
      <c r="H81" s="166" t="s">
        <v>70</v>
      </c>
      <c r="I81" s="168" t="e">
        <f>VLOOKUP(C81,'Справочник отрасли'!$J$6:$K$34,2,0)</f>
        <v>#N/A</v>
      </c>
      <c r="J81" s="168">
        <f>VLOOKUP(A81,'Эшелоны результат'!$A$3:$H$283,8,FALSE)</f>
        <v>3</v>
      </c>
      <c r="L81"/>
      <c r="M81" s="212"/>
      <c r="N81" s="212"/>
    </row>
    <row r="82" spans="1:14" ht="15" x14ac:dyDescent="0.25">
      <c r="A82" s="163" t="s">
        <v>526</v>
      </c>
      <c r="B82" s="164" t="s">
        <v>2125</v>
      </c>
      <c r="C82" s="164" t="s">
        <v>2175</v>
      </c>
      <c r="D82" s="165">
        <v>16012026.780000001</v>
      </c>
      <c r="E82" s="164" t="s">
        <v>160</v>
      </c>
      <c r="F82" s="169" t="str">
        <f>VLOOKUP(E82,'Справочник отрасли'!$A:$D,4,0)</f>
        <v>Финансовый лизинг</v>
      </c>
      <c r="G82" s="167">
        <f t="shared" si="8"/>
        <v>2.3084522273285048E-4</v>
      </c>
      <c r="H82" s="166" t="s">
        <v>78</v>
      </c>
      <c r="I82" s="168" t="e">
        <f>VLOOKUP(C82,'Справочник отрасли'!$J$6:$K$34,2,0)</f>
        <v>#N/A</v>
      </c>
      <c r="J82" s="168">
        <f>VLOOKUP(A82,'Эшелоны результат'!$A$3:$H$283,8,FALSE)</f>
        <v>1</v>
      </c>
      <c r="L82"/>
    </row>
    <row r="83" spans="1:14" ht="15" x14ac:dyDescent="0.25">
      <c r="A83" s="163" t="s">
        <v>559</v>
      </c>
      <c r="B83" s="164" t="s">
        <v>2125</v>
      </c>
      <c r="C83" s="164" t="s">
        <v>2217</v>
      </c>
      <c r="D83" s="165">
        <v>492649407.60000002</v>
      </c>
      <c r="E83" s="164" t="s">
        <v>156</v>
      </c>
      <c r="F83" s="169" t="str">
        <f>VLOOKUP(E83,'Справочник отрасли'!$A:$D,4,0)</f>
        <v>Инвестиционная деятельность</v>
      </c>
      <c r="G83" s="167">
        <f t="shared" si="8"/>
        <v>7.1025213602989509E-3</v>
      </c>
      <c r="H83" s="166" t="s">
        <v>80</v>
      </c>
      <c r="I83" s="168" t="e">
        <f>VLOOKUP(C83,'Справочник отрасли'!$J$6:$K$34,2,0)</f>
        <v>#N/A</v>
      </c>
      <c r="J83" s="168">
        <v>4</v>
      </c>
      <c r="L83"/>
    </row>
    <row r="84" spans="1:14" ht="15" x14ac:dyDescent="0.25">
      <c r="A84" s="163" t="s">
        <v>560</v>
      </c>
      <c r="B84" s="164" t="s">
        <v>2125</v>
      </c>
      <c r="C84" s="164" t="s">
        <v>2218</v>
      </c>
      <c r="D84" s="165">
        <v>54844312.5</v>
      </c>
      <c r="E84" s="164" t="s">
        <v>155</v>
      </c>
      <c r="F84" s="169" t="str">
        <f>VLOOKUP(E84,'Справочник отрасли'!$A:$D,4,0)</f>
        <v>Банк</v>
      </c>
      <c r="G84" s="167">
        <f t="shared" si="8"/>
        <v>7.9068988009102959E-4</v>
      </c>
      <c r="H84" s="166" t="s">
        <v>70</v>
      </c>
      <c r="I84" s="168" t="e">
        <f>VLOOKUP(C84,'Справочник отрасли'!$J$6:$K$34,2,0)</f>
        <v>#N/A</v>
      </c>
      <c r="J84" s="168">
        <v>4</v>
      </c>
      <c r="L84"/>
    </row>
    <row r="85" spans="1:14" ht="15" x14ac:dyDescent="0.25">
      <c r="A85" s="163" t="s">
        <v>561</v>
      </c>
      <c r="B85" s="164" t="s">
        <v>2125</v>
      </c>
      <c r="C85" s="164" t="s">
        <v>2219</v>
      </c>
      <c r="D85" s="165">
        <v>43352100</v>
      </c>
      <c r="E85" s="164" t="s">
        <v>342</v>
      </c>
      <c r="F85" s="169" t="str">
        <f>VLOOKUP(E85,'Справочник отрасли'!$A:$D,4,0)</f>
        <v>Профессиональные услуги, сервис</v>
      </c>
      <c r="G85" s="167">
        <f t="shared" si="8"/>
        <v>6.2500677259277014E-4</v>
      </c>
      <c r="H85" s="166" t="s">
        <v>78</v>
      </c>
      <c r="I85" s="168" t="e">
        <f>VLOOKUP(C85,'Справочник отрасли'!$J$6:$K$34,2,0)</f>
        <v>#N/A</v>
      </c>
      <c r="J85" s="168">
        <v>4</v>
      </c>
      <c r="L85"/>
    </row>
    <row r="86" spans="1:14" ht="15" x14ac:dyDescent="0.25">
      <c r="A86" s="163" t="s">
        <v>562</v>
      </c>
      <c r="B86" s="164" t="s">
        <v>2125</v>
      </c>
      <c r="C86" s="164" t="s">
        <v>2220</v>
      </c>
      <c r="D86" s="165">
        <v>76610400</v>
      </c>
      <c r="E86" s="164" t="s">
        <v>434</v>
      </c>
      <c r="F86" s="169" t="str">
        <f>VLOOKUP(E86,'Справочник отрасли'!$A:$D,4,0)</f>
        <v>Банк</v>
      </c>
      <c r="G86" s="167">
        <f t="shared" si="8"/>
        <v>1.1044913360838612E-3</v>
      </c>
      <c r="H86" s="166" t="s">
        <v>80</v>
      </c>
      <c r="I86" s="168" t="e">
        <f>VLOOKUP(C86,'Справочник отрасли'!$J$6:$K$34,2,0)</f>
        <v>#N/A</v>
      </c>
      <c r="J86" s="168">
        <f>VLOOKUP(A86,'Эшелоны результат'!$A$3:$H$283,8,FALSE)</f>
        <v>2</v>
      </c>
      <c r="L86"/>
    </row>
    <row r="87" spans="1:14" ht="15" x14ac:dyDescent="0.25">
      <c r="A87" s="163" t="s">
        <v>574</v>
      </c>
      <c r="B87" s="164" t="s">
        <v>2125</v>
      </c>
      <c r="C87" s="164" t="s">
        <v>2221</v>
      </c>
      <c r="D87" s="165">
        <v>622087816.7700001</v>
      </c>
      <c r="E87" s="164" t="s">
        <v>576</v>
      </c>
      <c r="F87" s="169" t="str">
        <f>VLOOKUP(E87,'Справочник отрасли'!$A:$D,4,0)</f>
        <v>Строительство жилых зданий</v>
      </c>
      <c r="G87" s="167">
        <f t="shared" si="8"/>
        <v>8.9686335524392213E-3</v>
      </c>
      <c r="H87" s="166" t="s">
        <v>88</v>
      </c>
      <c r="I87" s="168" t="e">
        <f>VLOOKUP(C87,'Справочник отрасли'!$J$6:$K$34,2,0)</f>
        <v>#N/A</v>
      </c>
      <c r="J87" s="168">
        <f>VLOOKUP(A87,'Эшелоны результат'!$A$3:$H$283,8,FALSE)</f>
        <v>3</v>
      </c>
      <c r="L87"/>
    </row>
    <row r="88" spans="1:14" ht="15" x14ac:dyDescent="0.25">
      <c r="A88" s="163" t="s">
        <v>575</v>
      </c>
      <c r="B88" s="164" t="s">
        <v>2125</v>
      </c>
      <c r="C88" s="164" t="s">
        <v>2222</v>
      </c>
      <c r="D88" s="165">
        <v>98593829.680000007</v>
      </c>
      <c r="E88" s="164" t="s">
        <v>571</v>
      </c>
      <c r="F88" s="169" t="str">
        <f>VLOOKUP(E88,'Справочник отрасли'!$A:$D,4,0)</f>
        <v>Финансовые услуги (кроме лизинга)</v>
      </c>
      <c r="G88" s="167">
        <f t="shared" si="8"/>
        <v>1.4214262120141373E-3</v>
      </c>
      <c r="H88" s="166" t="s">
        <v>76</v>
      </c>
      <c r="I88" s="168" t="e">
        <f>VLOOKUP(C88,'Справочник отрасли'!$J$6:$K$34,2,0)</f>
        <v>#N/A</v>
      </c>
      <c r="J88" s="168">
        <f>VLOOKUP(A88,'Эшелоны результат'!$A$3:$H$283,8,FALSE)</f>
        <v>2</v>
      </c>
      <c r="L88"/>
    </row>
    <row r="89" spans="1:14" ht="15" x14ac:dyDescent="0.25">
      <c r="A89" s="163" t="s">
        <v>506</v>
      </c>
      <c r="B89" s="164" t="s">
        <v>2125</v>
      </c>
      <c r="C89" s="164" t="s">
        <v>2155</v>
      </c>
      <c r="D89" s="165">
        <v>219743965.81999999</v>
      </c>
      <c r="E89" s="164" t="s">
        <v>132</v>
      </c>
      <c r="F89" s="169" t="str">
        <f>VLOOKUP(E89,'Справочник отрасли'!$A:$D,4,0)</f>
        <v>Финансовый лизинг</v>
      </c>
      <c r="G89" s="167">
        <f t="shared" si="8"/>
        <v>3.16804645850822E-3</v>
      </c>
      <c r="H89" s="166" t="s">
        <v>78</v>
      </c>
      <c r="I89" s="168" t="e">
        <f>VLOOKUP(C89,'Справочник отрасли'!$J$6:$K$34,2,0)</f>
        <v>#N/A</v>
      </c>
      <c r="J89" s="168">
        <f>VLOOKUP(A89,'Эшелоны результат'!$A$3:$H$283,8,FALSE)</f>
        <v>1</v>
      </c>
      <c r="L89"/>
    </row>
    <row r="90" spans="1:14" ht="15" x14ac:dyDescent="0.25">
      <c r="A90" s="163" t="s">
        <v>507</v>
      </c>
      <c r="B90" s="164" t="s">
        <v>2125</v>
      </c>
      <c r="C90" s="164" t="s">
        <v>2156</v>
      </c>
      <c r="D90" s="165">
        <v>35894701.090000004</v>
      </c>
      <c r="E90" s="164" t="s">
        <v>154</v>
      </c>
      <c r="F90" s="169" t="str">
        <f>VLOOKUP(E90,'Справочник отрасли'!$A:$D,4,0)</f>
        <v>Банк</v>
      </c>
      <c r="G90" s="167">
        <f t="shared" si="8"/>
        <v>5.1749353045049934E-4</v>
      </c>
      <c r="H90" s="166" t="s">
        <v>76</v>
      </c>
      <c r="I90" s="168" t="e">
        <f>VLOOKUP(C90,'Справочник отрасли'!$J$6:$K$34,2,0)</f>
        <v>#N/A</v>
      </c>
      <c r="J90" s="168">
        <v>4</v>
      </c>
      <c r="L90"/>
    </row>
    <row r="91" spans="1:14" ht="15" x14ac:dyDescent="0.25">
      <c r="A91" s="163" t="s">
        <v>508</v>
      </c>
      <c r="B91" s="164" t="s">
        <v>2125</v>
      </c>
      <c r="C91" s="164" t="s">
        <v>2157</v>
      </c>
      <c r="D91" s="165">
        <v>50342023.920000002</v>
      </c>
      <c r="E91" s="164" t="s">
        <v>144</v>
      </c>
      <c r="F91" s="169" t="str">
        <f>VLOOKUP(E91,'Справочник отрасли'!$A:$D,4,0)</f>
        <v>Банк</v>
      </c>
      <c r="G91" s="167">
        <f t="shared" si="8"/>
        <v>7.2578043269016352E-4</v>
      </c>
      <c r="H91" s="166" t="s">
        <v>78</v>
      </c>
      <c r="I91" s="168" t="e">
        <f>VLOOKUP(C91,'Справочник отрасли'!$J$6:$K$34,2,0)</f>
        <v>#N/A</v>
      </c>
      <c r="J91" s="168">
        <f>VLOOKUP(A91,'Эшелоны результат'!$A$3:$H$283,8,FALSE)</f>
        <v>2</v>
      </c>
      <c r="L91"/>
    </row>
    <row r="92" spans="1:14" ht="15" x14ac:dyDescent="0.25">
      <c r="A92" s="163" t="s">
        <v>509</v>
      </c>
      <c r="B92" s="164" t="s">
        <v>2125</v>
      </c>
      <c r="C92" s="164" t="s">
        <v>2158</v>
      </c>
      <c r="D92" s="165">
        <v>482664478.94</v>
      </c>
      <c r="E92" s="164" t="s">
        <v>132</v>
      </c>
      <c r="F92" s="169" t="str">
        <f>VLOOKUP(E92,'Справочник отрасли'!$A:$D,4,0)</f>
        <v>Финансовый лизинг</v>
      </c>
      <c r="G92" s="167">
        <f t="shared" ref="G92:G109" si="11">D92/$B$20</f>
        <v>6.9585687481681507E-3</v>
      </c>
      <c r="H92" s="166" t="s">
        <v>78</v>
      </c>
      <c r="I92" s="168" t="e">
        <f>VLOOKUP(C92,'Справочник отрасли'!$J$6:$K$34,2,0)</f>
        <v>#N/A</v>
      </c>
      <c r="J92" s="168">
        <f>VLOOKUP(A92,'Эшелоны результат'!$A$3:$H$283,8,FALSE)</f>
        <v>1</v>
      </c>
      <c r="L92"/>
    </row>
    <row r="93" spans="1:14" ht="15" x14ac:dyDescent="0.25">
      <c r="A93" s="163" t="s">
        <v>510</v>
      </c>
      <c r="B93" s="164" t="s">
        <v>2125</v>
      </c>
      <c r="C93" s="164" t="s">
        <v>2159</v>
      </c>
      <c r="D93" s="165">
        <v>582062742.75999999</v>
      </c>
      <c r="E93" s="164" t="s">
        <v>132</v>
      </c>
      <c r="F93" s="169" t="str">
        <f>VLOOKUP(E93,'Справочник отрасли'!$A:$D,4,0)</f>
        <v>Финансовый лизинг</v>
      </c>
      <c r="G93" s="167">
        <f t="shared" si="11"/>
        <v>8.3915924787708873E-3</v>
      </c>
      <c r="H93" s="166" t="s">
        <v>78</v>
      </c>
      <c r="I93" s="168" t="e">
        <f>VLOOKUP(C93,'Справочник отрасли'!$J$6:$K$34,2,0)</f>
        <v>#N/A</v>
      </c>
      <c r="J93" s="168">
        <f>VLOOKUP(A93,'Эшелоны результат'!$A$3:$H$283,8,FALSE)</f>
        <v>1</v>
      </c>
      <c r="L93"/>
    </row>
    <row r="94" spans="1:14" ht="15" x14ac:dyDescent="0.25">
      <c r="A94" s="163" t="s">
        <v>511</v>
      </c>
      <c r="B94" s="164" t="s">
        <v>2125</v>
      </c>
      <c r="C94" s="164" t="s">
        <v>2160</v>
      </c>
      <c r="D94" s="165">
        <v>565753025.93999982</v>
      </c>
      <c r="E94" s="164" t="s">
        <v>156</v>
      </c>
      <c r="F94" s="169" t="str">
        <f>VLOOKUP(E94,'Справочник отрасли'!$A:$D,4,0)</f>
        <v>Инвестиционная деятельность</v>
      </c>
      <c r="G94" s="167">
        <f t="shared" si="11"/>
        <v>8.1564554618427498E-3</v>
      </c>
      <c r="H94" s="166" t="s">
        <v>80</v>
      </c>
      <c r="I94" s="168" t="e">
        <f>VLOOKUP(C94,'Справочник отрасли'!$J$6:$K$34,2,0)</f>
        <v>#N/A</v>
      </c>
      <c r="J94" s="168">
        <f>VLOOKUP(A94,'Эшелоны результат'!$A$3:$H$283,8,FALSE)</f>
        <v>2</v>
      </c>
      <c r="L94"/>
    </row>
    <row r="95" spans="1:14" ht="15" x14ac:dyDescent="0.25">
      <c r="A95" s="163" t="s">
        <v>512</v>
      </c>
      <c r="B95" s="164" t="s">
        <v>2125</v>
      </c>
      <c r="C95" s="164" t="s">
        <v>2161</v>
      </c>
      <c r="D95" s="165">
        <v>597068354.92999995</v>
      </c>
      <c r="E95" s="164" t="s">
        <v>132</v>
      </c>
      <c r="F95" s="169" t="str">
        <f>VLOOKUP(E95,'Справочник отрасли'!$A:$D,4,0)</f>
        <v>Финансовый лизинг</v>
      </c>
      <c r="G95" s="167">
        <f t="shared" si="11"/>
        <v>8.6079282325902066E-3</v>
      </c>
      <c r="H95" s="166" t="s">
        <v>78</v>
      </c>
      <c r="I95" s="168" t="e">
        <f>VLOOKUP(C95,'Справочник отрасли'!$J$6:$K$34,2,0)</f>
        <v>#N/A</v>
      </c>
      <c r="J95" s="168">
        <f>VLOOKUP(A95,'Эшелоны результат'!$A$3:$H$283,8,FALSE)</f>
        <v>1</v>
      </c>
      <c r="L95"/>
    </row>
    <row r="96" spans="1:14" ht="15" x14ac:dyDescent="0.25">
      <c r="A96" s="163" t="s">
        <v>513</v>
      </c>
      <c r="B96" s="164" t="s">
        <v>2125</v>
      </c>
      <c r="C96" s="164" t="s">
        <v>2162</v>
      </c>
      <c r="D96" s="165">
        <v>148279562.10000002</v>
      </c>
      <c r="E96" s="164" t="s">
        <v>156</v>
      </c>
      <c r="F96" s="169" t="str">
        <f>VLOOKUP(E96,'Справочник отрасли'!$A:$D,4,0)</f>
        <v>Инвестиционная деятельность</v>
      </c>
      <c r="G96" s="167">
        <f t="shared" si="11"/>
        <v>2.1377448970082247E-3</v>
      </c>
      <c r="H96" s="166" t="s">
        <v>80</v>
      </c>
      <c r="I96" s="168" t="e">
        <f>VLOOKUP(C96,'Справочник отрасли'!$J$6:$K$34,2,0)</f>
        <v>#N/A</v>
      </c>
      <c r="J96" s="168">
        <f>VLOOKUP(A96,'Эшелоны результат'!$A$3:$H$283,8,FALSE)</f>
        <v>2</v>
      </c>
      <c r="L96"/>
    </row>
    <row r="97" spans="1:12" ht="15" x14ac:dyDescent="0.25">
      <c r="A97" s="163" t="s">
        <v>514</v>
      </c>
      <c r="B97" s="164" t="s">
        <v>2125</v>
      </c>
      <c r="C97" s="164" t="s">
        <v>2163</v>
      </c>
      <c r="D97" s="165">
        <v>375651822.47999996</v>
      </c>
      <c r="E97" s="164" t="s">
        <v>132</v>
      </c>
      <c r="F97" s="169" t="str">
        <f>VLOOKUP(E97,'Справочник отрасли'!$A:$D,4,0)</f>
        <v>Финансовый лизинг</v>
      </c>
      <c r="G97" s="167">
        <f t="shared" si="11"/>
        <v>5.4157683984585982E-3</v>
      </c>
      <c r="H97" s="166" t="s">
        <v>78</v>
      </c>
      <c r="I97" s="168" t="e">
        <f>VLOOKUP(C97,'Справочник отрасли'!$J$6:$K$34,2,0)</f>
        <v>#N/A</v>
      </c>
      <c r="J97" s="168">
        <f>VLOOKUP(A97,'Эшелоны результат'!$A$3:$H$283,8,FALSE)</f>
        <v>1</v>
      </c>
      <c r="L97"/>
    </row>
    <row r="98" spans="1:12" ht="15" x14ac:dyDescent="0.25">
      <c r="A98" s="163" t="s">
        <v>515</v>
      </c>
      <c r="B98" s="164" t="s">
        <v>2125</v>
      </c>
      <c r="C98" s="164" t="s">
        <v>2164</v>
      </c>
      <c r="D98" s="165">
        <v>1227888170.95</v>
      </c>
      <c r="E98" s="164" t="s">
        <v>2188</v>
      </c>
      <c r="F98" s="169" t="str">
        <f>VLOOKUP(E98,'Справочник отрасли'!$A:$D,4,0)</f>
        <v>Инвестиционная деятельность</v>
      </c>
      <c r="G98" s="167">
        <f t="shared" si="11"/>
        <v>1.7702450926951618E-2</v>
      </c>
      <c r="H98" s="166" t="s">
        <v>74</v>
      </c>
      <c r="I98" s="168" t="e">
        <f>VLOOKUP(C98,'Справочник отрасли'!$J$6:$K$34,2,0)</f>
        <v>#N/A</v>
      </c>
      <c r="J98" s="168">
        <f>VLOOKUP(A98,'Эшелоны результат'!$A$3:$H$283,8,FALSE)</f>
        <v>1</v>
      </c>
      <c r="L98"/>
    </row>
    <row r="99" spans="1:12" ht="15" x14ac:dyDescent="0.25">
      <c r="A99" s="163" t="s">
        <v>516</v>
      </c>
      <c r="B99" s="164" t="s">
        <v>2125</v>
      </c>
      <c r="C99" s="164" t="s">
        <v>2165</v>
      </c>
      <c r="D99" s="165">
        <v>1011880748.49</v>
      </c>
      <c r="E99" s="164" t="s">
        <v>144</v>
      </c>
      <c r="F99" s="169" t="str">
        <f>VLOOKUP(E99,'Справочник отрасли'!$A:$D,4,0)</f>
        <v>Банк</v>
      </c>
      <c r="G99" s="167">
        <f t="shared" si="11"/>
        <v>1.4588274175010935E-2</v>
      </c>
      <c r="H99" s="166" t="s">
        <v>78</v>
      </c>
      <c r="I99" s="168" t="e">
        <f>VLOOKUP(C99,'Справочник отрасли'!$J$6:$K$34,2,0)</f>
        <v>#N/A</v>
      </c>
      <c r="J99" s="168">
        <f>VLOOKUP(A99,'Эшелоны результат'!$A$3:$H$283,8,FALSE)</f>
        <v>2</v>
      </c>
      <c r="L99"/>
    </row>
    <row r="100" spans="1:12" ht="15" x14ac:dyDescent="0.25">
      <c r="A100" s="163" t="s">
        <v>517</v>
      </c>
      <c r="B100" s="164" t="s">
        <v>2125</v>
      </c>
      <c r="C100" s="164" t="s">
        <v>2166</v>
      </c>
      <c r="D100" s="165">
        <v>500481500.92000002</v>
      </c>
      <c r="E100" s="164" t="s">
        <v>158</v>
      </c>
      <c r="F100" s="169" t="str">
        <f>VLOOKUP(E100,'Справочник отрасли'!$A:$D,4,0)</f>
        <v>Банк</v>
      </c>
      <c r="G100" s="167">
        <f t="shared" si="11"/>
        <v>7.2154365678339634E-3</v>
      </c>
      <c r="H100" s="52" t="s">
        <v>76</v>
      </c>
      <c r="I100" s="168" t="e">
        <f>VLOOKUP(C100,'Справочник отрасли'!$J$6:$K$34,2,0)</f>
        <v>#N/A</v>
      </c>
      <c r="J100" s="168">
        <f>VLOOKUP(A100,'Эшелоны результат'!$A$3:$H$283,8,FALSE)</f>
        <v>2</v>
      </c>
      <c r="L100"/>
    </row>
    <row r="101" spans="1:12" ht="15" x14ac:dyDescent="0.25">
      <c r="A101" s="163" t="s">
        <v>518</v>
      </c>
      <c r="B101" s="164" t="s">
        <v>2125</v>
      </c>
      <c r="C101" s="164" t="s">
        <v>2167</v>
      </c>
      <c r="D101" s="165">
        <v>2083515840.8399999</v>
      </c>
      <c r="E101" s="164" t="s">
        <v>2188</v>
      </c>
      <c r="F101" s="169" t="str">
        <f>VLOOKUP(E101,'Справочник отрасли'!$A:$D,4,0)</f>
        <v>Инвестиционная деятельность</v>
      </c>
      <c r="G101" s="167">
        <f t="shared" si="11"/>
        <v>3.0038026100911379E-2</v>
      </c>
      <c r="H101" s="166" t="s">
        <v>74</v>
      </c>
      <c r="I101" s="168" t="e">
        <f>VLOOKUP(C101,'Справочник отрасли'!$J$6:$K$34,2,0)</f>
        <v>#N/A</v>
      </c>
      <c r="J101" s="168">
        <f>VLOOKUP(A101,'Эшелоны результат'!$A$3:$H$283,8,FALSE)</f>
        <v>2</v>
      </c>
      <c r="L101"/>
    </row>
    <row r="102" spans="1:12" ht="15" x14ac:dyDescent="0.25">
      <c r="A102" s="163" t="s">
        <v>519</v>
      </c>
      <c r="B102" s="164" t="s">
        <v>2125</v>
      </c>
      <c r="C102" s="164" t="s">
        <v>2168</v>
      </c>
      <c r="D102" s="165">
        <v>2061989210.8499999</v>
      </c>
      <c r="E102" s="164" t="s">
        <v>159</v>
      </c>
      <c r="F102" s="169" t="str">
        <f>VLOOKUP(E102,'Справочник отрасли'!$A:$D,4,0)</f>
        <v>Инвестиционная деятельность</v>
      </c>
      <c r="G102" s="167">
        <f t="shared" si="11"/>
        <v>2.9727676901337458E-2</v>
      </c>
      <c r="H102" s="166" t="s">
        <v>78</v>
      </c>
      <c r="I102" s="168" t="e">
        <f>VLOOKUP(C102,'Справочник отрасли'!$J$6:$K$34,2,0)</f>
        <v>#N/A</v>
      </c>
      <c r="J102" s="168">
        <f>VLOOKUP(A102,'Эшелоны результат'!$A$3:$H$283,8,FALSE)</f>
        <v>1</v>
      </c>
      <c r="L102"/>
    </row>
    <row r="103" spans="1:12" ht="15" x14ac:dyDescent="0.25">
      <c r="A103" s="163" t="s">
        <v>489</v>
      </c>
      <c r="B103" s="164" t="s">
        <v>2125</v>
      </c>
      <c r="C103" s="164" t="s">
        <v>2169</v>
      </c>
      <c r="D103" s="165">
        <v>1320624344.8099999</v>
      </c>
      <c r="E103" s="164" t="s">
        <v>144</v>
      </c>
      <c r="F103" s="169" t="str">
        <f>VLOOKUP(E103,'Справочник отрасли'!$A:$D,4,0)</f>
        <v>Банк</v>
      </c>
      <c r="G103" s="167">
        <f t="shared" si="11"/>
        <v>1.9039427376231828E-2</v>
      </c>
      <c r="H103" s="166" t="s">
        <v>78</v>
      </c>
      <c r="I103" s="168" t="e">
        <f>VLOOKUP(C103,'Справочник отрасли'!$J$6:$K$34,2,0)</f>
        <v>#N/A</v>
      </c>
      <c r="J103" s="168">
        <f>VLOOKUP(A103,'Эшелоны результат'!$A$3:$H$283,8,FALSE)</f>
        <v>1</v>
      </c>
      <c r="L103"/>
    </row>
    <row r="104" spans="1:12" ht="15" x14ac:dyDescent="0.25">
      <c r="A104" s="163" t="s">
        <v>520</v>
      </c>
      <c r="B104" s="164" t="s">
        <v>2125</v>
      </c>
      <c r="C104" s="164" t="s">
        <v>2170</v>
      </c>
      <c r="D104" s="165">
        <v>622438233.86000001</v>
      </c>
      <c r="E104" s="164" t="s">
        <v>340</v>
      </c>
      <c r="F104" s="169" t="str">
        <f>VLOOKUP(E104,'Справочник отрасли'!$A:$D,4,0)</f>
        <v>Лесная и лесоперерабатывающая промышленность</v>
      </c>
      <c r="G104" s="167">
        <f t="shared" si="11"/>
        <v>8.9736855119632621E-3</v>
      </c>
      <c r="H104" s="108" t="s">
        <v>80</v>
      </c>
      <c r="I104" s="168" t="e">
        <f>VLOOKUP(C104,'Справочник отрасли'!$J$6:$K$34,2,0)</f>
        <v>#N/A</v>
      </c>
      <c r="J104" s="168">
        <f>VLOOKUP(A104,'Эшелоны результат'!$A$3:$H$283,8,FALSE)</f>
        <v>2</v>
      </c>
      <c r="L104"/>
    </row>
    <row r="105" spans="1:12" ht="15" x14ac:dyDescent="0.25">
      <c r="A105" s="163" t="s">
        <v>521</v>
      </c>
      <c r="B105" s="164" t="s">
        <v>2125</v>
      </c>
      <c r="C105" s="164" t="s">
        <v>2171</v>
      </c>
      <c r="D105" s="165">
        <v>1448473262.6500001</v>
      </c>
      <c r="E105" s="164" t="s">
        <v>147</v>
      </c>
      <c r="F105" s="169" t="str">
        <f>VLOOKUP(E105,'Справочник отрасли'!$A:$D,4,0)</f>
        <v>Транспорт</v>
      </c>
      <c r="G105" s="167">
        <f t="shared" si="11"/>
        <v>2.0882623888480525E-2</v>
      </c>
      <c r="H105" s="108" t="s">
        <v>74</v>
      </c>
      <c r="I105" s="168" t="e">
        <f>VLOOKUP(C105,'Справочник отрасли'!$J$6:$K$34,2,0)</f>
        <v>#N/A</v>
      </c>
      <c r="J105" s="168">
        <f>VLOOKUP(A105,'Эшелоны результат'!$A$3:$H$283,8,FALSE)</f>
        <v>1</v>
      </c>
      <c r="L105"/>
    </row>
    <row r="106" spans="1:12" ht="15" x14ac:dyDescent="0.25">
      <c r="A106" s="163" t="s">
        <v>522</v>
      </c>
      <c r="B106" s="164" t="s">
        <v>2125</v>
      </c>
      <c r="C106" s="164" t="s">
        <v>2172</v>
      </c>
      <c r="D106" s="165">
        <v>1512691098.1700001</v>
      </c>
      <c r="E106" s="164" t="s">
        <v>200</v>
      </c>
      <c r="F106" s="169" t="str">
        <f>VLOOKUP(E106,'Справочник отрасли'!$A:$D,4,0)</f>
        <v>Инвестиционная деятельность</v>
      </c>
      <c r="G106" s="167">
        <f t="shared" si="11"/>
        <v>2.1808451751980758E-2</v>
      </c>
      <c r="H106" s="108" t="s">
        <v>74</v>
      </c>
      <c r="I106" s="168" t="e">
        <f>VLOOKUP(C106,'Справочник отрасли'!$J$6:$K$34,2,0)</f>
        <v>#N/A</v>
      </c>
      <c r="J106" s="168">
        <f>VLOOKUP(A106,'Эшелоны результат'!$A$3:$H$283,8,FALSE)</f>
        <v>3</v>
      </c>
      <c r="L106"/>
    </row>
    <row r="107" spans="1:12" ht="15" x14ac:dyDescent="0.25">
      <c r="A107" s="163" t="s">
        <v>524</v>
      </c>
      <c r="B107" s="164" t="s">
        <v>2125</v>
      </c>
      <c r="C107" s="164" t="s">
        <v>2173</v>
      </c>
      <c r="D107" s="165">
        <v>1318031000</v>
      </c>
      <c r="E107" s="164" t="s">
        <v>155</v>
      </c>
      <c r="F107" s="169" t="str">
        <f>VLOOKUP(E107,'Справочник отрасли'!$A:$D,4,0)</f>
        <v>Банк</v>
      </c>
      <c r="G107" s="167">
        <f t="shared" si="11"/>
        <v>1.9002039151211163E-2</v>
      </c>
      <c r="H107" s="108" t="s">
        <v>70</v>
      </c>
      <c r="I107" s="168" t="e">
        <f>VLOOKUP(C107,'Справочник отрасли'!$J$6:$K$34,2,0)</f>
        <v>#N/A</v>
      </c>
      <c r="J107" s="168">
        <f>VLOOKUP(A107,'Эшелоны результат'!$A$3:$H$283,8,FALSE)</f>
        <v>3</v>
      </c>
      <c r="L107"/>
    </row>
    <row r="108" spans="1:12" ht="15" x14ac:dyDescent="0.25">
      <c r="A108" s="163" t="s">
        <v>525</v>
      </c>
      <c r="B108" s="164" t="s">
        <v>2125</v>
      </c>
      <c r="C108" s="164" t="s">
        <v>2174</v>
      </c>
      <c r="D108" s="165">
        <v>642434615.29999995</v>
      </c>
      <c r="E108" s="164" t="s">
        <v>138</v>
      </c>
      <c r="F108" s="169" t="str">
        <f>VLOOKUP(E108,'Справочник отрасли'!$A:$D,4,0)</f>
        <v>Цветная и черная металлургия</v>
      </c>
      <c r="G108" s="167">
        <f t="shared" si="11"/>
        <v>9.2619731341856762E-3</v>
      </c>
      <c r="H108" s="108" t="s">
        <v>82</v>
      </c>
      <c r="I108" s="168" t="e">
        <f>VLOOKUP(C108,'Справочник отрасли'!$J$6:$K$34,2,0)</f>
        <v>#N/A</v>
      </c>
      <c r="J108" s="168">
        <f>VLOOKUP(A108,'Эшелоны результат'!$A$3:$H$283,8,FALSE)</f>
        <v>2</v>
      </c>
      <c r="L108"/>
    </row>
    <row r="109" spans="1:12" ht="15" x14ac:dyDescent="0.25">
      <c r="A109" s="163" t="s">
        <v>526</v>
      </c>
      <c r="B109" s="164" t="s">
        <v>2125</v>
      </c>
      <c r="C109" s="164" t="s">
        <v>2175</v>
      </c>
      <c r="D109" s="165">
        <v>75999969.049999997</v>
      </c>
      <c r="E109" s="164" t="s">
        <v>160</v>
      </c>
      <c r="F109" s="169" t="str">
        <f>VLOOKUP(E109,'Справочник отрасли'!$A:$D,4,0)</f>
        <v>Финансовый лизинг</v>
      </c>
      <c r="G109" s="167">
        <f t="shared" si="11"/>
        <v>1.0956907594578099E-3</v>
      </c>
      <c r="H109" s="108" t="s">
        <v>78</v>
      </c>
      <c r="I109" s="168" t="e">
        <f>VLOOKUP(C109,'Справочник отрасли'!$J$6:$K$34,2,0)</f>
        <v>#N/A</v>
      </c>
      <c r="J109" s="168">
        <f>VLOOKUP(A109,'Эшелоны результат'!$A$3:$H$283,8,FALSE)</f>
        <v>1</v>
      </c>
      <c r="L109"/>
    </row>
    <row r="110" spans="1:12" ht="15" x14ac:dyDescent="0.25">
      <c r="A110" s="163" t="s">
        <v>528</v>
      </c>
      <c r="B110" s="164" t="s">
        <v>2125</v>
      </c>
      <c r="C110" s="164" t="s">
        <v>2176</v>
      </c>
      <c r="D110" s="165">
        <v>312832676.01999998</v>
      </c>
      <c r="E110" s="164" t="s">
        <v>230</v>
      </c>
      <c r="F110" s="169" t="str">
        <f>VLOOKUP(E110,'Справочник отрасли'!$A:$D,4,0)</f>
        <v>Цветная и черная металлургия</v>
      </c>
      <c r="G110" s="167">
        <f t="shared" ref="G110:G116" si="12">D110/$B$20</f>
        <v>4.5101054205175734E-3</v>
      </c>
      <c r="H110" s="108" t="s">
        <v>76</v>
      </c>
      <c r="I110" s="168" t="e">
        <f>VLOOKUP(C110,'Справочник отрасли'!$J$6:$K$34,2,0)</f>
        <v>#N/A</v>
      </c>
      <c r="J110" s="168">
        <f>VLOOKUP(A110,'Эшелоны результат'!$A$3:$H$283,8,FALSE)</f>
        <v>1</v>
      </c>
      <c r="L110"/>
    </row>
    <row r="111" spans="1:12" ht="15" x14ac:dyDescent="0.25">
      <c r="A111" s="163" t="s">
        <v>529</v>
      </c>
      <c r="B111" s="164" t="s">
        <v>2125</v>
      </c>
      <c r="C111" s="164" t="s">
        <v>2177</v>
      </c>
      <c r="D111" s="165">
        <v>208686699.88</v>
      </c>
      <c r="E111" s="164" t="s">
        <v>230</v>
      </c>
      <c r="F111" s="169" t="str">
        <f>VLOOKUP(E111,'Справочник отрасли'!$A:$D,4,0)</f>
        <v>Цветная и черная металлургия</v>
      </c>
      <c r="G111" s="167">
        <f t="shared" si="12"/>
        <v>3.0086339710195084E-3</v>
      </c>
      <c r="H111" s="108" t="s">
        <v>76</v>
      </c>
      <c r="I111" s="168" t="e">
        <f>VLOOKUP(C111,'Справочник отрасли'!$J$6:$K$34,2,0)</f>
        <v>#N/A</v>
      </c>
      <c r="J111" s="168">
        <f>VLOOKUP(A111,'Эшелоны результат'!$A$3:$H$283,8,FALSE)</f>
        <v>1</v>
      </c>
      <c r="L111"/>
    </row>
    <row r="112" spans="1:12" ht="15" x14ac:dyDescent="0.25">
      <c r="A112" s="163" t="s">
        <v>530</v>
      </c>
      <c r="B112" s="164" t="s">
        <v>2125</v>
      </c>
      <c r="C112" s="164" t="s">
        <v>2178</v>
      </c>
      <c r="D112" s="165">
        <v>502542900</v>
      </c>
      <c r="E112" s="164" t="s">
        <v>460</v>
      </c>
      <c r="F112" s="169" t="str">
        <f>VLOOKUP(E112,'Справочник отрасли'!$A:$D,4,0)</f>
        <v>Строительство жилых зданий</v>
      </c>
      <c r="G112" s="167">
        <f t="shared" si="12"/>
        <v>7.2451557368250043E-3</v>
      </c>
      <c r="H112" s="108" t="s">
        <v>84</v>
      </c>
      <c r="I112" s="168" t="e">
        <f>VLOOKUP(C112,'Справочник отрасли'!$J$6:$K$34,2,0)</f>
        <v>#N/A</v>
      </c>
      <c r="J112" s="168">
        <f>VLOOKUP(A112,'Эшелоны результат'!$A$3:$H$283,8,FALSE)</f>
        <v>2</v>
      </c>
      <c r="L112"/>
    </row>
    <row r="113" spans="1:12" ht="15" x14ac:dyDescent="0.25">
      <c r="A113" s="163" t="s">
        <v>531</v>
      </c>
      <c r="B113" s="164" t="s">
        <v>2125</v>
      </c>
      <c r="C113" s="164" t="s">
        <v>2179</v>
      </c>
      <c r="D113" s="165">
        <v>4025618181.8200002</v>
      </c>
      <c r="E113" s="164" t="s">
        <v>461</v>
      </c>
      <c r="F113" s="169" t="str">
        <f>VLOOKUP(E113,'Справочник отрасли'!$A:$D,4,0)</f>
        <v>Банк</v>
      </c>
      <c r="G113" s="167">
        <f t="shared" si="12"/>
        <v>5.803729525236595E-2</v>
      </c>
      <c r="H113" s="108" t="s">
        <v>84</v>
      </c>
      <c r="I113" s="168" t="e">
        <f>VLOOKUP(C113,'Справочник отрасли'!$J$6:$K$34,2,0)</f>
        <v>#N/A</v>
      </c>
      <c r="J113" s="168">
        <f>VLOOKUP(A113,'Эшелоны результат'!$A$3:$H$283,8,FALSE)</f>
        <v>3</v>
      </c>
      <c r="L113"/>
    </row>
    <row r="114" spans="1:12" ht="15" x14ac:dyDescent="0.25">
      <c r="A114" s="163" t="s">
        <v>532</v>
      </c>
      <c r="B114" s="164" t="s">
        <v>2125</v>
      </c>
      <c r="C114" s="164" t="s">
        <v>2180</v>
      </c>
      <c r="D114" s="165">
        <v>1012259837.73</v>
      </c>
      <c r="E114" s="164" t="s">
        <v>461</v>
      </c>
      <c r="F114" s="169" t="str">
        <f>VLOOKUP(E114,'Справочник отрасли'!$A:$D,4,0)</f>
        <v>Банк</v>
      </c>
      <c r="G114" s="167">
        <f t="shared" si="12"/>
        <v>1.4593739500621851E-2</v>
      </c>
      <c r="H114" s="108" t="s">
        <v>84</v>
      </c>
      <c r="I114" s="168" t="e">
        <f>VLOOKUP(C114,'Справочник отрасли'!$J$6:$K$34,2,0)</f>
        <v>#N/A</v>
      </c>
      <c r="J114" s="168">
        <f>VLOOKUP(A114,'Эшелоны результат'!$A$3:$H$283,8,FALSE)</f>
        <v>2</v>
      </c>
      <c r="L114"/>
    </row>
    <row r="115" spans="1:12" ht="15" x14ac:dyDescent="0.25">
      <c r="A115" s="163" t="s">
        <v>533</v>
      </c>
      <c r="B115" s="164" t="s">
        <v>2125</v>
      </c>
      <c r="C115" s="164" t="s">
        <v>2181</v>
      </c>
      <c r="D115" s="165">
        <v>722743000</v>
      </c>
      <c r="E115" s="164" t="s">
        <v>479</v>
      </c>
      <c r="F115" s="169" t="str">
        <f>VLOOKUP(E115,'Справочник отрасли'!$A:$D,4,0)</f>
        <v>Цветная и черная металлургия</v>
      </c>
      <c r="G115" s="167">
        <f t="shared" si="12"/>
        <v>1.0419778277038863E-2</v>
      </c>
      <c r="H115" s="108" t="s">
        <v>84</v>
      </c>
      <c r="I115" s="168" t="e">
        <f>VLOOKUP(C115,'Справочник отрасли'!$J$6:$K$34,2,0)</f>
        <v>#N/A</v>
      </c>
      <c r="J115" s="168">
        <f>VLOOKUP(A115,'Эшелоны результат'!$A$3:$H$283,8,FALSE)</f>
        <v>3</v>
      </c>
      <c r="L115"/>
    </row>
    <row r="116" spans="1:12" ht="15" x14ac:dyDescent="0.25">
      <c r="A116" s="163" t="s">
        <v>563</v>
      </c>
      <c r="B116" s="164" t="s">
        <v>433</v>
      </c>
      <c r="C116" s="164" t="s">
        <v>2223</v>
      </c>
      <c r="D116" s="165">
        <v>115130088.92999999</v>
      </c>
      <c r="E116" s="164" t="s">
        <v>162</v>
      </c>
      <c r="F116" s="169" t="str">
        <f>VLOOKUP(E116,'Справочник отрасли'!$A:$D,4,0)</f>
        <v>ОФЗ</v>
      </c>
      <c r="G116" s="167">
        <f t="shared" si="12"/>
        <v>1.6598292887878075E-3</v>
      </c>
      <c r="H116" s="108" t="s">
        <v>76</v>
      </c>
      <c r="I116" s="168" t="e">
        <f>VLOOKUP(C116,'Справочник отрасли'!$J$6:$K$34,2,0)</f>
        <v>#N/A</v>
      </c>
      <c r="J116" s="168">
        <f>VLOOKUP(A116,'Эшелоны результат'!$A$3:$H$283,8,FALSE)</f>
        <v>1</v>
      </c>
      <c r="L116"/>
    </row>
    <row r="117" spans="1:12" ht="15" x14ac:dyDescent="0.25">
      <c r="A117" s="163" t="s">
        <v>564</v>
      </c>
      <c r="B117" s="164" t="s">
        <v>433</v>
      </c>
      <c r="C117" s="164" t="s">
        <v>2224</v>
      </c>
      <c r="D117" s="165">
        <v>225995000</v>
      </c>
      <c r="E117" s="164" t="s">
        <v>162</v>
      </c>
      <c r="F117" s="169" t="str">
        <f>VLOOKUP(E117,'Справочник отрасли'!$A:$D,4,0)</f>
        <v>ОФЗ</v>
      </c>
      <c r="G117" s="167">
        <f t="shared" ref="G117:G119" si="13">D117/$B$20</f>
        <v>3.2581675529467567E-3</v>
      </c>
      <c r="H117" s="108" t="s">
        <v>76</v>
      </c>
      <c r="I117" s="168" t="e">
        <f>VLOOKUP(C117,'Справочник отрасли'!$J$6:$K$34,2,0)</f>
        <v>#N/A</v>
      </c>
      <c r="J117" s="168">
        <f>VLOOKUP(A117,'Эшелоны результат'!$A$3:$H$283,8,FALSE)</f>
        <v>1</v>
      </c>
      <c r="L117"/>
    </row>
    <row r="118" spans="1:12" ht="15" x14ac:dyDescent="0.25">
      <c r="A118" s="163" t="s">
        <v>534</v>
      </c>
      <c r="B118" s="164" t="s">
        <v>433</v>
      </c>
      <c r="C118" s="164" t="s">
        <v>2182</v>
      </c>
      <c r="D118" s="165">
        <v>767608110.25999999</v>
      </c>
      <c r="E118" s="164" t="s">
        <v>162</v>
      </c>
      <c r="F118" s="169" t="str">
        <f>VLOOKUP(E118,'Справочник отрасли'!$A:$D,4,0)</f>
        <v>ОФЗ</v>
      </c>
      <c r="G118" s="167">
        <f t="shared" si="13"/>
        <v>1.1066598102736381E-2</v>
      </c>
      <c r="H118" s="108" t="s">
        <v>76</v>
      </c>
      <c r="I118" s="168" t="e">
        <f>VLOOKUP(C118,'Справочник отрасли'!$J$6:$K$34,2,0)</f>
        <v>#N/A</v>
      </c>
      <c r="J118" s="168">
        <f>VLOOKUP(A118,'Эшелоны результат'!$A$3:$H$283,8,FALSE)</f>
        <v>1</v>
      </c>
      <c r="L118"/>
    </row>
    <row r="119" spans="1:12" ht="15" x14ac:dyDescent="0.25">
      <c r="A119" s="163"/>
      <c r="B119" s="164" t="s">
        <v>2204</v>
      </c>
      <c r="C119" s="164" t="s">
        <v>229</v>
      </c>
      <c r="D119" s="165">
        <v>12534500</v>
      </c>
      <c r="E119" s="164" t="s">
        <v>199</v>
      </c>
      <c r="F119" s="169" t="str">
        <f>VLOOKUP(E119,'Справочник отрасли'!$A:$D,4,0)</f>
        <v>Топливная промышленность</v>
      </c>
      <c r="G119" s="167">
        <f t="shared" si="13"/>
        <v>1.807097554919849E-4</v>
      </c>
      <c r="H119" s="108"/>
      <c r="I119" s="168">
        <f>VLOOKUP(C119,'Справочник отрасли'!$J$6:$K$34,2,0)</f>
        <v>3</v>
      </c>
      <c r="J119" s="168" t="str">
        <f>VLOOKUP(A119,'Эшелоны результат'!$A$3:$H$283,8,FALSE)</f>
        <v>Ошибка, не численные значения</v>
      </c>
      <c r="L119"/>
    </row>
    <row r="120" spans="1:12" ht="15" x14ac:dyDescent="0.25">
      <c r="A120" s="163"/>
      <c r="B120" s="164"/>
      <c r="C120" s="164"/>
      <c r="D120" s="165"/>
      <c r="E120" s="164"/>
      <c r="F120" s="169"/>
      <c r="G120" s="167"/>
      <c r="H120" s="108"/>
      <c r="I120" s="168"/>
      <c r="J120" s="168"/>
      <c r="L120"/>
    </row>
    <row r="121" spans="1:12" ht="15" x14ac:dyDescent="0.25">
      <c r="A121" s="163"/>
      <c r="B121" s="164"/>
      <c r="C121" s="164"/>
      <c r="D121" s="165"/>
      <c r="E121" s="164"/>
      <c r="F121" s="169"/>
      <c r="G121" s="167"/>
      <c r="H121" s="108"/>
      <c r="I121" s="168"/>
      <c r="J121" s="168"/>
      <c r="L121"/>
    </row>
    <row r="122" spans="1:12" ht="15" x14ac:dyDescent="0.25">
      <c r="A122" s="163"/>
      <c r="B122" s="164"/>
      <c r="C122" s="164"/>
      <c r="D122" s="165"/>
      <c r="E122" s="164"/>
      <c r="F122" s="169"/>
      <c r="G122" s="167"/>
      <c r="H122" s="108"/>
      <c r="I122" s="168"/>
      <c r="J122" s="168"/>
      <c r="L122"/>
    </row>
    <row r="123" spans="1:12" ht="15" x14ac:dyDescent="0.25">
      <c r="A123" s="163"/>
      <c r="B123" s="164"/>
      <c r="C123" s="164"/>
      <c r="D123" s="165"/>
      <c r="E123" s="164"/>
      <c r="F123" s="169"/>
      <c r="G123" s="167"/>
      <c r="H123" s="108"/>
      <c r="I123" s="168"/>
      <c r="J123" s="168"/>
      <c r="L123"/>
    </row>
    <row r="124" spans="1:12" ht="15" x14ac:dyDescent="0.25">
      <c r="A124" s="163"/>
      <c r="B124" s="164"/>
      <c r="C124" s="164"/>
      <c r="D124" s="165"/>
      <c r="E124" s="164"/>
      <c r="F124" s="169"/>
      <c r="G124" s="167"/>
      <c r="H124" s="108"/>
      <c r="I124" s="168"/>
      <c r="J124" s="168"/>
      <c r="L124"/>
    </row>
    <row r="125" spans="1:12" ht="15" x14ac:dyDescent="0.25">
      <c r="A125" s="163"/>
      <c r="B125" s="164"/>
      <c r="C125" s="164"/>
      <c r="D125" s="165"/>
      <c r="E125" s="164"/>
      <c r="F125" s="169"/>
      <c r="G125" s="167"/>
      <c r="H125" s="108"/>
      <c r="I125" s="168"/>
      <c r="J125" s="168"/>
      <c r="L125"/>
    </row>
    <row r="126" spans="1:12" ht="15" x14ac:dyDescent="0.25">
      <c r="A126" s="163"/>
      <c r="B126" s="164"/>
      <c r="C126" s="164"/>
      <c r="D126" s="165"/>
      <c r="E126" s="164"/>
      <c r="F126" s="169"/>
      <c r="G126" s="167"/>
      <c r="H126" s="166"/>
      <c r="I126" s="168"/>
      <c r="J126" s="168"/>
      <c r="L126"/>
    </row>
    <row r="127" spans="1:12" ht="15" x14ac:dyDescent="0.25">
      <c r="A127" s="163"/>
      <c r="B127" s="164"/>
      <c r="C127" s="164"/>
      <c r="D127" s="165"/>
      <c r="E127" s="164"/>
      <c r="F127" s="169"/>
      <c r="G127" s="167"/>
      <c r="H127" s="166"/>
      <c r="I127" s="168"/>
      <c r="J127" s="168"/>
      <c r="L127"/>
    </row>
    <row r="128" spans="1:12" ht="15" x14ac:dyDescent="0.25">
      <c r="A128" s="163"/>
      <c r="B128" s="164"/>
      <c r="C128" s="164"/>
      <c r="D128" s="165"/>
      <c r="E128" s="164"/>
      <c r="F128" s="169"/>
      <c r="G128" s="167"/>
      <c r="H128" s="166"/>
      <c r="I128" s="168"/>
      <c r="J128" s="168"/>
      <c r="L128"/>
    </row>
    <row r="129" spans="1:12" ht="15" x14ac:dyDescent="0.25">
      <c r="A129" s="163"/>
      <c r="B129" s="164"/>
      <c r="C129" s="164"/>
      <c r="D129" s="165"/>
      <c r="E129" s="164"/>
      <c r="F129" s="169"/>
      <c r="G129" s="167"/>
      <c r="H129" s="166"/>
      <c r="I129" s="168"/>
      <c r="J129" s="168"/>
      <c r="L129"/>
    </row>
    <row r="130" spans="1:12" ht="15" x14ac:dyDescent="0.25">
      <c r="A130" s="163"/>
      <c r="B130" s="164"/>
      <c r="C130" s="164"/>
      <c r="D130" s="165"/>
      <c r="E130" s="164"/>
      <c r="F130" s="169"/>
      <c r="G130" s="167"/>
      <c r="H130" s="166"/>
      <c r="I130" s="168"/>
      <c r="J130" s="168"/>
      <c r="L130"/>
    </row>
    <row r="131" spans="1:12" ht="15" x14ac:dyDescent="0.25">
      <c r="A131" s="163"/>
      <c r="B131" s="164"/>
      <c r="C131" s="164"/>
      <c r="D131" s="165"/>
      <c r="E131" s="164"/>
      <c r="F131" s="169"/>
      <c r="G131" s="167"/>
      <c r="H131" s="166"/>
      <c r="I131" s="168"/>
      <c r="J131" s="168"/>
      <c r="L131"/>
    </row>
    <row r="136" spans="1:12" ht="15" x14ac:dyDescent="0.25">
      <c r="D136" s="142"/>
      <c r="K136"/>
    </row>
    <row r="137" spans="1:12" ht="15" x14ac:dyDescent="0.25">
      <c r="K137"/>
    </row>
    <row r="138" spans="1:12" ht="15" x14ac:dyDescent="0.25">
      <c r="F138" s="142"/>
      <c r="K138"/>
    </row>
    <row r="139" spans="1:12" ht="15" x14ac:dyDescent="0.25">
      <c r="F139" s="142"/>
      <c r="K139"/>
    </row>
    <row r="140" spans="1:12" ht="15" x14ac:dyDescent="0.25">
      <c r="F140" s="142"/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  <row r="157" spans="11:11" ht="15" x14ac:dyDescent="0.25">
      <c r="K157"/>
    </row>
  </sheetData>
  <autoFilter ref="A26:T119"/>
  <dataConsolidate/>
  <mergeCells count="7">
    <mergeCell ref="P6:R6"/>
    <mergeCell ref="E1:G1"/>
    <mergeCell ref="L25:N25"/>
    <mergeCell ref="E7:G7"/>
    <mergeCell ref="K1:N1"/>
    <mergeCell ref="I2:J2"/>
    <mergeCell ref="L6:N6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6"/>
  <sheetViews>
    <sheetView topLeftCell="A49" workbookViewId="0">
      <selection activeCell="D71" sqref="D71"/>
    </sheetView>
  </sheetViews>
  <sheetFormatPr defaultRowHeight="15" x14ac:dyDescent="0.25"/>
  <cols>
    <col min="1" max="1" width="28.7109375" style="205" customWidth="1"/>
    <col min="2" max="2" width="34.85546875" style="205" customWidth="1"/>
    <col min="3" max="3" width="19.140625" style="205" customWidth="1"/>
    <col min="4" max="4" width="29.5703125" style="205" customWidth="1"/>
    <col min="5" max="6" width="9.140625" style="204"/>
    <col min="7" max="7" width="16.28515625" customWidth="1"/>
    <col min="10" max="10" width="22.42578125" customWidth="1"/>
  </cols>
  <sheetData>
    <row r="1" spans="1:11" x14ac:dyDescent="0.25">
      <c r="A1" s="205" t="s">
        <v>204</v>
      </c>
      <c r="B1" s="205" t="s">
        <v>276</v>
      </c>
      <c r="C1" s="205" t="s">
        <v>214</v>
      </c>
      <c r="D1" s="205" t="s">
        <v>275</v>
      </c>
      <c r="G1" s="282" t="s">
        <v>446</v>
      </c>
      <c r="H1" s="282"/>
      <c r="I1" s="282"/>
      <c r="J1" s="282"/>
      <c r="K1" s="282"/>
    </row>
    <row r="2" spans="1:11" ht="15" customHeight="1" x14ac:dyDescent="0.25">
      <c r="A2" s="12" t="s">
        <v>152</v>
      </c>
      <c r="B2" s="12" t="s">
        <v>203</v>
      </c>
      <c r="C2" s="12"/>
      <c r="D2" s="12" t="s">
        <v>203</v>
      </c>
      <c r="G2" s="282"/>
      <c r="H2" s="282"/>
      <c r="I2" s="282"/>
      <c r="J2" s="282"/>
      <c r="K2" s="282"/>
    </row>
    <row r="3" spans="1:11" x14ac:dyDescent="0.25">
      <c r="A3" s="12" t="s">
        <v>104</v>
      </c>
      <c r="B3" s="12" t="s">
        <v>208</v>
      </c>
      <c r="C3" s="12"/>
      <c r="D3" s="12" t="s">
        <v>222</v>
      </c>
      <c r="G3" s="282"/>
      <c r="H3" s="282"/>
      <c r="I3" s="282"/>
      <c r="J3" s="282"/>
      <c r="K3" s="282"/>
    </row>
    <row r="4" spans="1:11" x14ac:dyDescent="0.25">
      <c r="A4" s="12" t="s">
        <v>149</v>
      </c>
      <c r="B4" s="12" t="s">
        <v>208</v>
      </c>
      <c r="C4" s="12"/>
      <c r="D4" s="12" t="s">
        <v>222</v>
      </c>
      <c r="G4" s="281" t="s">
        <v>448</v>
      </c>
      <c r="H4" s="281"/>
      <c r="J4" s="281" t="s">
        <v>449</v>
      </c>
      <c r="K4" s="281"/>
    </row>
    <row r="5" spans="1:11" x14ac:dyDescent="0.25">
      <c r="A5" s="12" t="s">
        <v>103</v>
      </c>
      <c r="B5" s="12" t="s">
        <v>208</v>
      </c>
      <c r="C5" s="12"/>
      <c r="D5" s="12" t="s">
        <v>222</v>
      </c>
      <c r="G5" t="s">
        <v>289</v>
      </c>
      <c r="H5" t="s">
        <v>304</v>
      </c>
      <c r="J5" t="str">
        <f>G5</f>
        <v>Наименование инструмента</v>
      </c>
      <c r="K5" t="s">
        <v>304</v>
      </c>
    </row>
    <row r="6" spans="1:11" ht="15" customHeight="1" x14ac:dyDescent="0.25">
      <c r="A6" s="12" t="s">
        <v>134</v>
      </c>
      <c r="B6" s="12" t="s">
        <v>218</v>
      </c>
      <c r="C6" s="12" t="s">
        <v>212</v>
      </c>
      <c r="D6" s="12" t="s">
        <v>266</v>
      </c>
      <c r="G6" s="5" t="s">
        <v>290</v>
      </c>
      <c r="H6" s="5">
        <v>1</v>
      </c>
      <c r="J6" s="5" t="s">
        <v>221</v>
      </c>
      <c r="K6" s="5">
        <v>1</v>
      </c>
    </row>
    <row r="7" spans="1:11" ht="15" customHeight="1" x14ac:dyDescent="0.25">
      <c r="A7" s="12" t="s">
        <v>144</v>
      </c>
      <c r="B7" s="12" t="s">
        <v>203</v>
      </c>
      <c r="C7" s="12"/>
      <c r="D7" s="12" t="s">
        <v>203</v>
      </c>
      <c r="G7" s="5" t="s">
        <v>291</v>
      </c>
      <c r="H7" s="5">
        <v>1</v>
      </c>
      <c r="J7" s="5" t="s">
        <v>231</v>
      </c>
      <c r="K7" s="5">
        <v>3</v>
      </c>
    </row>
    <row r="8" spans="1:11" ht="15" customHeight="1" x14ac:dyDescent="0.25">
      <c r="A8" s="12" t="s">
        <v>132</v>
      </c>
      <c r="B8" s="12" t="s">
        <v>207</v>
      </c>
      <c r="C8" s="12"/>
      <c r="D8" s="12" t="s">
        <v>246</v>
      </c>
      <c r="G8" s="5" t="s">
        <v>292</v>
      </c>
      <c r="H8" s="5">
        <v>1</v>
      </c>
      <c r="J8" s="5" t="s">
        <v>232</v>
      </c>
      <c r="K8" s="5">
        <v>1</v>
      </c>
    </row>
    <row r="9" spans="1:11" ht="15" customHeight="1" x14ac:dyDescent="0.25">
      <c r="A9" s="12" t="s">
        <v>133</v>
      </c>
      <c r="B9" s="12" t="s">
        <v>218</v>
      </c>
      <c r="C9" s="12" t="s">
        <v>209</v>
      </c>
      <c r="D9" s="12" t="s">
        <v>259</v>
      </c>
      <c r="G9" s="5" t="s">
        <v>293</v>
      </c>
      <c r="H9" s="5">
        <v>1</v>
      </c>
      <c r="J9" s="5" t="s">
        <v>223</v>
      </c>
      <c r="K9" s="5">
        <v>2</v>
      </c>
    </row>
    <row r="10" spans="1:11" ht="15" customHeight="1" x14ac:dyDescent="0.25">
      <c r="A10" s="12" t="s">
        <v>135</v>
      </c>
      <c r="B10" s="12" t="s">
        <v>210</v>
      </c>
      <c r="C10" s="12"/>
      <c r="D10" s="12" t="s">
        <v>210</v>
      </c>
      <c r="G10" s="5" t="s">
        <v>294</v>
      </c>
      <c r="H10" s="5">
        <v>1</v>
      </c>
      <c r="J10" s="5" t="s">
        <v>224</v>
      </c>
      <c r="K10" s="5">
        <v>1</v>
      </c>
    </row>
    <row r="11" spans="1:11" ht="15" customHeight="1" x14ac:dyDescent="0.25">
      <c r="A11" s="12" t="s">
        <v>136</v>
      </c>
      <c r="B11" s="12" t="s">
        <v>203</v>
      </c>
      <c r="C11" s="12"/>
      <c r="D11" s="12" t="s">
        <v>203</v>
      </c>
      <c r="G11" s="5" t="s">
        <v>295</v>
      </c>
      <c r="H11" s="5">
        <v>1</v>
      </c>
      <c r="J11" s="5" t="s">
        <v>233</v>
      </c>
      <c r="K11" s="5">
        <v>2</v>
      </c>
    </row>
    <row r="12" spans="1:11" ht="15" customHeight="1" x14ac:dyDescent="0.25">
      <c r="A12" s="12" t="s">
        <v>137</v>
      </c>
      <c r="B12" s="12" t="s">
        <v>203</v>
      </c>
      <c r="C12" s="12"/>
      <c r="D12" s="12" t="s">
        <v>203</v>
      </c>
      <c r="G12" s="5" t="s">
        <v>296</v>
      </c>
      <c r="H12" s="5">
        <v>1</v>
      </c>
      <c r="J12" s="5" t="s">
        <v>234</v>
      </c>
      <c r="K12" s="5">
        <v>1</v>
      </c>
    </row>
    <row r="13" spans="1:11" ht="15" customHeight="1" x14ac:dyDescent="0.25">
      <c r="A13" s="12" t="s">
        <v>138</v>
      </c>
      <c r="B13" s="12" t="s">
        <v>218</v>
      </c>
      <c r="C13" s="12" t="s">
        <v>209</v>
      </c>
      <c r="D13" s="12" t="s">
        <v>259</v>
      </c>
      <c r="G13" s="5" t="s">
        <v>297</v>
      </c>
      <c r="H13" s="5">
        <v>1</v>
      </c>
      <c r="J13" s="5" t="s">
        <v>235</v>
      </c>
      <c r="K13" s="5">
        <v>2</v>
      </c>
    </row>
    <row r="14" spans="1:11" ht="15" customHeight="1" x14ac:dyDescent="0.25">
      <c r="A14" s="12" t="s">
        <v>100</v>
      </c>
      <c r="B14" s="12" t="s">
        <v>225</v>
      </c>
      <c r="C14" s="12"/>
      <c r="D14" s="12" t="s">
        <v>261</v>
      </c>
      <c r="G14" s="5" t="s">
        <v>298</v>
      </c>
      <c r="H14" s="5">
        <v>1</v>
      </c>
      <c r="J14" s="5" t="s">
        <v>236</v>
      </c>
      <c r="K14" s="5">
        <v>2</v>
      </c>
    </row>
    <row r="15" spans="1:11" ht="15" customHeight="1" x14ac:dyDescent="0.25">
      <c r="A15" s="12" t="s">
        <v>139</v>
      </c>
      <c r="B15" s="12" t="s">
        <v>210</v>
      </c>
      <c r="C15" s="12"/>
      <c r="D15" s="12" t="s">
        <v>210</v>
      </c>
      <c r="G15" s="5" t="s">
        <v>299</v>
      </c>
      <c r="H15" s="5">
        <v>1</v>
      </c>
      <c r="I15" s="2"/>
      <c r="J15" s="5" t="s">
        <v>237</v>
      </c>
      <c r="K15" s="5">
        <v>2</v>
      </c>
    </row>
    <row r="16" spans="1:11" ht="15" customHeight="1" x14ac:dyDescent="0.25">
      <c r="A16" s="12" t="s">
        <v>140</v>
      </c>
      <c r="B16" s="12" t="s">
        <v>218</v>
      </c>
      <c r="C16" s="12" t="s">
        <v>209</v>
      </c>
      <c r="D16" s="12" t="s">
        <v>259</v>
      </c>
      <c r="G16" s="5" t="s">
        <v>300</v>
      </c>
      <c r="H16" s="5">
        <v>1</v>
      </c>
      <c r="J16" s="5" t="s">
        <v>228</v>
      </c>
      <c r="K16" s="5">
        <v>2</v>
      </c>
    </row>
    <row r="17" spans="1:11" ht="15" customHeight="1" x14ac:dyDescent="0.25">
      <c r="A17" s="12" t="s">
        <v>141</v>
      </c>
      <c r="B17" s="12" t="s">
        <v>218</v>
      </c>
      <c r="C17" s="12" t="s">
        <v>213</v>
      </c>
      <c r="D17" s="12" t="s">
        <v>266</v>
      </c>
      <c r="G17" s="5" t="s">
        <v>301</v>
      </c>
      <c r="H17" s="5">
        <v>1</v>
      </c>
      <c r="J17" s="5" t="s">
        <v>229</v>
      </c>
      <c r="K17" s="5">
        <v>3</v>
      </c>
    </row>
    <row r="18" spans="1:11" ht="15" customHeight="1" x14ac:dyDescent="0.25">
      <c r="A18" s="12" t="s">
        <v>142</v>
      </c>
      <c r="B18" s="12" t="s">
        <v>225</v>
      </c>
      <c r="C18" s="12"/>
      <c r="D18" s="12" t="s">
        <v>261</v>
      </c>
      <c r="G18" s="5" t="s">
        <v>302</v>
      </c>
      <c r="H18" s="5">
        <v>1</v>
      </c>
      <c r="J18" s="5" t="s">
        <v>238</v>
      </c>
      <c r="K18" s="5">
        <v>2</v>
      </c>
    </row>
    <row r="19" spans="1:11" ht="15" customHeight="1" x14ac:dyDescent="0.25">
      <c r="A19" s="12" t="s">
        <v>143</v>
      </c>
      <c r="B19" s="12" t="s">
        <v>219</v>
      </c>
      <c r="C19" s="12"/>
      <c r="D19" s="12" t="s">
        <v>245</v>
      </c>
      <c r="G19" s="5" t="s">
        <v>303</v>
      </c>
      <c r="H19" s="5">
        <v>1</v>
      </c>
      <c r="J19" s="5" t="s">
        <v>239</v>
      </c>
      <c r="K19" s="5">
        <v>1</v>
      </c>
    </row>
    <row r="20" spans="1:11" ht="15" customHeight="1" x14ac:dyDescent="0.25">
      <c r="A20" s="12" t="s">
        <v>145</v>
      </c>
      <c r="B20" s="12" t="s">
        <v>203</v>
      </c>
      <c r="C20" s="12"/>
      <c r="D20" s="12" t="s">
        <v>203</v>
      </c>
      <c r="G20" s="5" t="s">
        <v>305</v>
      </c>
      <c r="H20" s="5">
        <v>2</v>
      </c>
      <c r="J20" s="5" t="s">
        <v>337</v>
      </c>
      <c r="K20" s="5">
        <v>2</v>
      </c>
    </row>
    <row r="21" spans="1:11" ht="15" customHeight="1" x14ac:dyDescent="0.25">
      <c r="A21" s="12" t="s">
        <v>146</v>
      </c>
      <c r="B21" s="12" t="s">
        <v>203</v>
      </c>
      <c r="C21" s="12"/>
      <c r="D21" s="12" t="s">
        <v>203</v>
      </c>
      <c r="G21" s="5" t="s">
        <v>306</v>
      </c>
      <c r="H21" s="5">
        <v>2</v>
      </c>
      <c r="J21" s="5" t="s">
        <v>341</v>
      </c>
      <c r="K21" s="5">
        <v>1</v>
      </c>
    </row>
    <row r="22" spans="1:11" ht="15" customHeight="1" x14ac:dyDescent="0.25">
      <c r="A22" s="12" t="s">
        <v>147</v>
      </c>
      <c r="B22" s="12" t="s">
        <v>210</v>
      </c>
      <c r="C22" s="12"/>
      <c r="D22" s="12" t="s">
        <v>210</v>
      </c>
      <c r="G22" s="5" t="s">
        <v>307</v>
      </c>
      <c r="H22" s="5">
        <v>2</v>
      </c>
      <c r="J22" s="5" t="s">
        <v>398</v>
      </c>
      <c r="K22" s="5">
        <v>1</v>
      </c>
    </row>
    <row r="23" spans="1:11" ht="15" customHeight="1" x14ac:dyDescent="0.25">
      <c r="A23" s="12" t="s">
        <v>99</v>
      </c>
      <c r="B23" s="12" t="s">
        <v>218</v>
      </c>
      <c r="C23" s="12" t="s">
        <v>213</v>
      </c>
      <c r="D23" s="12" t="s">
        <v>266</v>
      </c>
      <c r="G23" s="5" t="s">
        <v>308</v>
      </c>
      <c r="H23" s="5">
        <v>2</v>
      </c>
      <c r="J23" s="5" t="s">
        <v>399</v>
      </c>
      <c r="K23" s="5">
        <v>1</v>
      </c>
    </row>
    <row r="24" spans="1:11" ht="15" customHeight="1" x14ac:dyDescent="0.25">
      <c r="A24" s="12" t="s">
        <v>148</v>
      </c>
      <c r="B24" s="12" t="s">
        <v>203</v>
      </c>
      <c r="C24" s="12"/>
      <c r="D24" s="12" t="s">
        <v>203</v>
      </c>
      <c r="G24" s="5" t="s">
        <v>309</v>
      </c>
      <c r="H24" s="5">
        <v>2</v>
      </c>
      <c r="J24" s="5" t="s">
        <v>400</v>
      </c>
      <c r="K24" s="5">
        <v>1</v>
      </c>
    </row>
    <row r="25" spans="1:11" x14ac:dyDescent="0.25">
      <c r="A25" s="12" t="s">
        <v>150</v>
      </c>
      <c r="B25" s="12" t="s">
        <v>208</v>
      </c>
      <c r="C25" s="12"/>
      <c r="D25" s="12" t="s">
        <v>222</v>
      </c>
      <c r="G25" s="5" t="s">
        <v>211</v>
      </c>
      <c r="H25" s="5">
        <v>2</v>
      </c>
      <c r="J25" s="5" t="s">
        <v>462</v>
      </c>
      <c r="K25" s="5">
        <v>2</v>
      </c>
    </row>
    <row r="26" spans="1:11" ht="15" customHeight="1" x14ac:dyDescent="0.25">
      <c r="A26" s="12" t="s">
        <v>151</v>
      </c>
      <c r="B26" s="12" t="s">
        <v>218</v>
      </c>
      <c r="C26" s="12" t="s">
        <v>212</v>
      </c>
      <c r="D26" s="12" t="s">
        <v>266</v>
      </c>
      <c r="G26" s="5" t="s">
        <v>310</v>
      </c>
      <c r="H26" s="5">
        <v>2</v>
      </c>
      <c r="J26" s="5" t="s">
        <v>463</v>
      </c>
      <c r="K26" s="5">
        <v>1</v>
      </c>
    </row>
    <row r="27" spans="1:11" ht="15" customHeight="1" x14ac:dyDescent="0.25">
      <c r="A27" s="12" t="s">
        <v>153</v>
      </c>
      <c r="B27" s="12" t="s">
        <v>203</v>
      </c>
      <c r="C27" s="12"/>
      <c r="D27" s="12" t="s">
        <v>203</v>
      </c>
      <c r="G27" s="5" t="s">
        <v>311</v>
      </c>
      <c r="H27" s="5">
        <v>2</v>
      </c>
    </row>
    <row r="28" spans="1:11" ht="15" customHeight="1" x14ac:dyDescent="0.25">
      <c r="A28" s="12" t="s">
        <v>195</v>
      </c>
      <c r="B28" s="12" t="s">
        <v>207</v>
      </c>
      <c r="C28" s="12"/>
      <c r="D28" s="12" t="s">
        <v>246</v>
      </c>
      <c r="G28" s="5" t="s">
        <v>312</v>
      </c>
      <c r="H28" s="5">
        <v>2</v>
      </c>
    </row>
    <row r="29" spans="1:11" ht="15" customHeight="1" x14ac:dyDescent="0.25">
      <c r="A29" s="12" t="s">
        <v>154</v>
      </c>
      <c r="B29" s="12" t="s">
        <v>203</v>
      </c>
      <c r="C29" s="12"/>
      <c r="D29" s="12" t="s">
        <v>203</v>
      </c>
      <c r="G29" s="5" t="s">
        <v>313</v>
      </c>
      <c r="H29" s="5">
        <v>2</v>
      </c>
    </row>
    <row r="30" spans="1:11" ht="15" customHeight="1" x14ac:dyDescent="0.25">
      <c r="A30" s="12" t="s">
        <v>196</v>
      </c>
      <c r="B30" s="12" t="s">
        <v>216</v>
      </c>
      <c r="C30" s="12"/>
      <c r="D30" s="12" t="s">
        <v>272</v>
      </c>
      <c r="G30" s="5" t="s">
        <v>314</v>
      </c>
      <c r="H30" s="5">
        <v>2</v>
      </c>
    </row>
    <row r="31" spans="1:11" ht="15" customHeight="1" x14ac:dyDescent="0.25">
      <c r="A31" s="12" t="s">
        <v>8</v>
      </c>
      <c r="B31" s="12" t="s">
        <v>207</v>
      </c>
      <c r="C31" s="12"/>
      <c r="D31" s="12" t="s">
        <v>246</v>
      </c>
      <c r="G31" s="5" t="s">
        <v>315</v>
      </c>
      <c r="H31" s="5">
        <v>2</v>
      </c>
    </row>
    <row r="32" spans="1:11" ht="15" customHeight="1" x14ac:dyDescent="0.25">
      <c r="A32" s="12" t="s">
        <v>155</v>
      </c>
      <c r="B32" s="12" t="s">
        <v>203</v>
      </c>
      <c r="C32" s="12"/>
      <c r="D32" s="12" t="s">
        <v>203</v>
      </c>
      <c r="G32" s="5" t="s">
        <v>316</v>
      </c>
      <c r="H32" s="5">
        <v>2</v>
      </c>
    </row>
    <row r="33" spans="1:8" ht="15" customHeight="1" x14ac:dyDescent="0.25">
      <c r="A33" s="12" t="s">
        <v>156</v>
      </c>
      <c r="B33" s="12" t="s">
        <v>216</v>
      </c>
      <c r="C33" s="12"/>
      <c r="D33" s="12" t="s">
        <v>272</v>
      </c>
      <c r="G33" s="5" t="s">
        <v>317</v>
      </c>
      <c r="H33" s="5">
        <v>2</v>
      </c>
    </row>
    <row r="34" spans="1:8" ht="15" customHeight="1" x14ac:dyDescent="0.25">
      <c r="A34" s="12" t="s">
        <v>197</v>
      </c>
      <c r="B34" s="12" t="s">
        <v>203</v>
      </c>
      <c r="C34" s="12"/>
      <c r="D34" s="12" t="s">
        <v>203</v>
      </c>
      <c r="G34" s="5" t="s">
        <v>318</v>
      </c>
      <c r="H34" s="5">
        <v>2</v>
      </c>
    </row>
    <row r="35" spans="1:8" ht="15" customHeight="1" x14ac:dyDescent="0.25">
      <c r="A35" s="12" t="s">
        <v>159</v>
      </c>
      <c r="B35" s="12" t="s">
        <v>216</v>
      </c>
      <c r="C35" s="12"/>
      <c r="D35" s="12" t="s">
        <v>272</v>
      </c>
      <c r="G35" s="5" t="s">
        <v>319</v>
      </c>
      <c r="H35" s="5">
        <v>3</v>
      </c>
    </row>
    <row r="36" spans="1:8" ht="15" customHeight="1" x14ac:dyDescent="0.25">
      <c r="A36" s="12" t="s">
        <v>198</v>
      </c>
      <c r="B36" s="12" t="s">
        <v>203</v>
      </c>
      <c r="C36" s="12"/>
      <c r="D36" s="12" t="s">
        <v>203</v>
      </c>
      <c r="G36" s="5" t="s">
        <v>320</v>
      </c>
      <c r="H36" s="5">
        <v>2</v>
      </c>
    </row>
    <row r="37" spans="1:8" x14ac:dyDescent="0.25">
      <c r="A37" s="12" t="s">
        <v>199</v>
      </c>
      <c r="B37" s="12" t="s">
        <v>208</v>
      </c>
      <c r="C37" s="12"/>
      <c r="D37" s="12" t="s">
        <v>222</v>
      </c>
      <c r="G37" s="5" t="s">
        <v>321</v>
      </c>
      <c r="H37" s="5">
        <v>3</v>
      </c>
    </row>
    <row r="38" spans="1:8" ht="15" customHeight="1" x14ac:dyDescent="0.25">
      <c r="A38" s="12" t="s">
        <v>200</v>
      </c>
      <c r="B38" s="12" t="s">
        <v>216</v>
      </c>
      <c r="C38" s="12"/>
      <c r="D38" s="12" t="s">
        <v>272</v>
      </c>
      <c r="G38" s="5" t="s">
        <v>322</v>
      </c>
      <c r="H38" s="5">
        <v>3</v>
      </c>
    </row>
    <row r="39" spans="1:8" ht="15" customHeight="1" x14ac:dyDescent="0.25">
      <c r="A39" s="12" t="s">
        <v>160</v>
      </c>
      <c r="B39" s="12" t="s">
        <v>207</v>
      </c>
      <c r="C39" s="12"/>
      <c r="D39" s="12" t="s">
        <v>246</v>
      </c>
      <c r="G39" s="5" t="s">
        <v>323</v>
      </c>
      <c r="H39" s="5">
        <v>3</v>
      </c>
    </row>
    <row r="40" spans="1:8" ht="15" customHeight="1" x14ac:dyDescent="0.25">
      <c r="A40" s="12" t="s">
        <v>6</v>
      </c>
      <c r="B40" s="12" t="s">
        <v>207</v>
      </c>
      <c r="C40" s="12"/>
      <c r="D40" s="12" t="s">
        <v>246</v>
      </c>
      <c r="G40" s="5" t="s">
        <v>324</v>
      </c>
      <c r="H40" s="5">
        <v>3</v>
      </c>
    </row>
    <row r="41" spans="1:8" ht="15" customHeight="1" x14ac:dyDescent="0.25">
      <c r="A41" s="12" t="s">
        <v>7</v>
      </c>
      <c r="B41" s="12" t="s">
        <v>206</v>
      </c>
      <c r="C41" s="12"/>
      <c r="D41" s="12" t="s">
        <v>251</v>
      </c>
      <c r="G41" s="5" t="s">
        <v>325</v>
      </c>
      <c r="H41" s="5">
        <v>3</v>
      </c>
    </row>
    <row r="42" spans="1:8" ht="15" customHeight="1" x14ac:dyDescent="0.25">
      <c r="A42" s="12" t="s">
        <v>157</v>
      </c>
      <c r="B42" s="12" t="s">
        <v>203</v>
      </c>
      <c r="C42" s="12"/>
      <c r="D42" s="12" t="s">
        <v>203</v>
      </c>
      <c r="G42" s="5" t="s">
        <v>326</v>
      </c>
      <c r="H42" s="5">
        <v>3</v>
      </c>
    </row>
    <row r="43" spans="1:8" ht="15" customHeight="1" x14ac:dyDescent="0.25">
      <c r="A43" s="12" t="s">
        <v>158</v>
      </c>
      <c r="B43" s="12" t="s">
        <v>203</v>
      </c>
      <c r="C43" s="12"/>
      <c r="D43" s="12" t="s">
        <v>203</v>
      </c>
      <c r="G43" s="5" t="s">
        <v>327</v>
      </c>
      <c r="H43" s="5">
        <v>3</v>
      </c>
    </row>
    <row r="44" spans="1:8" ht="15" customHeight="1" x14ac:dyDescent="0.25">
      <c r="A44" s="12" t="s">
        <v>161</v>
      </c>
      <c r="B44" s="12" t="s">
        <v>215</v>
      </c>
      <c r="C44" s="12"/>
      <c r="D44" s="12" t="s">
        <v>265</v>
      </c>
      <c r="G44" s="5" t="s">
        <v>328</v>
      </c>
      <c r="H44" s="5">
        <v>3</v>
      </c>
    </row>
    <row r="45" spans="1:8" ht="15" customHeight="1" x14ac:dyDescent="0.25">
      <c r="A45" s="12" t="s">
        <v>162</v>
      </c>
      <c r="B45" s="12" t="s">
        <v>217</v>
      </c>
      <c r="C45" s="12"/>
      <c r="D45" s="12" t="s">
        <v>217</v>
      </c>
      <c r="G45" s="5" t="s">
        <v>329</v>
      </c>
      <c r="H45" s="5">
        <v>3</v>
      </c>
    </row>
    <row r="46" spans="1:8" x14ac:dyDescent="0.25">
      <c r="A46" s="12" t="s">
        <v>125</v>
      </c>
      <c r="B46" s="12" t="s">
        <v>208</v>
      </c>
      <c r="C46" s="12"/>
      <c r="D46" s="12" t="s">
        <v>222</v>
      </c>
    </row>
    <row r="47" spans="1:8" ht="15" customHeight="1" x14ac:dyDescent="0.25">
      <c r="A47" s="12" t="s">
        <v>211</v>
      </c>
      <c r="B47" s="12" t="s">
        <v>218</v>
      </c>
      <c r="C47" s="12" t="s">
        <v>212</v>
      </c>
      <c r="D47" s="12" t="s">
        <v>266</v>
      </c>
    </row>
    <row r="48" spans="1:8" ht="15" customHeight="1" x14ac:dyDescent="0.25">
      <c r="A48" s="12" t="s">
        <v>339</v>
      </c>
      <c r="B48" s="12" t="s">
        <v>218</v>
      </c>
      <c r="C48" s="12" t="s">
        <v>212</v>
      </c>
      <c r="D48" s="12" t="s">
        <v>266</v>
      </c>
    </row>
    <row r="49" spans="1:4" ht="15" customHeight="1" x14ac:dyDescent="0.25">
      <c r="A49" s="12" t="s">
        <v>243</v>
      </c>
      <c r="B49" s="12" t="s">
        <v>208</v>
      </c>
      <c r="C49" s="12" t="s">
        <v>278</v>
      </c>
      <c r="D49" s="12" t="s">
        <v>222</v>
      </c>
    </row>
    <row r="50" spans="1:4" ht="15" customHeight="1" x14ac:dyDescent="0.25">
      <c r="A50" s="12" t="s">
        <v>244</v>
      </c>
      <c r="B50" s="12" t="s">
        <v>208</v>
      </c>
      <c r="C50" s="12" t="s">
        <v>277</v>
      </c>
      <c r="D50" s="12" t="s">
        <v>222</v>
      </c>
    </row>
    <row r="51" spans="1:4" ht="30" x14ac:dyDescent="0.25">
      <c r="A51" s="12" t="s">
        <v>230</v>
      </c>
      <c r="B51" s="12" t="s">
        <v>218</v>
      </c>
      <c r="C51" s="12" t="s">
        <v>279</v>
      </c>
      <c r="D51" s="12" t="s">
        <v>259</v>
      </c>
    </row>
    <row r="52" spans="1:4" ht="30" x14ac:dyDescent="0.25">
      <c r="A52" s="12" t="s">
        <v>240</v>
      </c>
      <c r="B52" s="12"/>
      <c r="C52" s="12" t="s">
        <v>227</v>
      </c>
      <c r="D52" s="12" t="s">
        <v>265</v>
      </c>
    </row>
    <row r="53" spans="1:4" ht="30" x14ac:dyDescent="0.25">
      <c r="A53" s="12" t="s">
        <v>241</v>
      </c>
      <c r="B53" s="12"/>
      <c r="C53" s="12" t="s">
        <v>227</v>
      </c>
      <c r="D53" s="12" t="s">
        <v>265</v>
      </c>
    </row>
    <row r="54" spans="1:4" ht="30" x14ac:dyDescent="0.25">
      <c r="A54" s="12" t="s">
        <v>121</v>
      </c>
      <c r="B54" s="12"/>
      <c r="C54" s="12" t="s">
        <v>280</v>
      </c>
      <c r="D54" s="12" t="s">
        <v>222</v>
      </c>
    </row>
    <row r="55" spans="1:4" x14ac:dyDescent="0.25">
      <c r="A55" s="12" t="s">
        <v>123</v>
      </c>
      <c r="B55" s="12"/>
      <c r="C55" s="12"/>
      <c r="D55" s="12" t="s">
        <v>210</v>
      </c>
    </row>
    <row r="56" spans="1:4" x14ac:dyDescent="0.25">
      <c r="A56" s="12" t="s">
        <v>242</v>
      </c>
      <c r="B56" s="12"/>
      <c r="C56" s="12"/>
      <c r="D56" s="12" t="s">
        <v>261</v>
      </c>
    </row>
    <row r="57" spans="1:4" x14ac:dyDescent="0.25">
      <c r="A57" s="12" t="s">
        <v>336</v>
      </c>
      <c r="B57" s="12"/>
      <c r="C57" s="12"/>
      <c r="D57" s="12" t="s">
        <v>338</v>
      </c>
    </row>
    <row r="58" spans="1:4" ht="30" x14ac:dyDescent="0.25">
      <c r="A58" s="12" t="s">
        <v>342</v>
      </c>
      <c r="B58" s="12"/>
      <c r="C58" s="12"/>
      <c r="D58" s="12" t="s">
        <v>260</v>
      </c>
    </row>
    <row r="59" spans="1:4" ht="45" x14ac:dyDescent="0.25">
      <c r="A59" s="12" t="s">
        <v>340</v>
      </c>
      <c r="B59" s="12"/>
      <c r="C59" s="12"/>
      <c r="D59" s="12" t="s">
        <v>256</v>
      </c>
    </row>
    <row r="60" spans="1:4" x14ac:dyDescent="0.25">
      <c r="A60" s="12" t="s">
        <v>401</v>
      </c>
      <c r="B60" s="12"/>
      <c r="C60" s="12"/>
      <c r="D60" s="12" t="s">
        <v>226</v>
      </c>
    </row>
    <row r="61" spans="1:4" x14ac:dyDescent="0.25">
      <c r="A61" s="12" t="s">
        <v>124</v>
      </c>
      <c r="B61" s="12"/>
      <c r="C61" s="12"/>
      <c r="D61" s="12" t="s">
        <v>255</v>
      </c>
    </row>
    <row r="62" spans="1:4" x14ac:dyDescent="0.25">
      <c r="A62" s="12" t="s">
        <v>434</v>
      </c>
      <c r="B62" s="12"/>
      <c r="C62" s="12"/>
      <c r="D62" s="12" t="s">
        <v>203</v>
      </c>
    </row>
    <row r="63" spans="1:4" ht="30" x14ac:dyDescent="0.25">
      <c r="A63" s="12" t="s">
        <v>450</v>
      </c>
      <c r="B63" s="12" t="s">
        <v>215</v>
      </c>
      <c r="C63" s="12"/>
      <c r="D63" s="12" t="s">
        <v>265</v>
      </c>
    </row>
    <row r="64" spans="1:4" ht="45" x14ac:dyDescent="0.25">
      <c r="A64" s="12" t="s">
        <v>464</v>
      </c>
      <c r="B64" s="12"/>
      <c r="C64" s="12" t="s">
        <v>466</v>
      </c>
      <c r="D64" s="12" t="s">
        <v>259</v>
      </c>
    </row>
    <row r="65" spans="1:4" ht="30" x14ac:dyDescent="0.25">
      <c r="A65" s="12" t="s">
        <v>465</v>
      </c>
      <c r="B65" s="12"/>
      <c r="C65" s="12" t="s">
        <v>467</v>
      </c>
      <c r="D65" s="12" t="s">
        <v>259</v>
      </c>
    </row>
    <row r="66" spans="1:4" x14ac:dyDescent="0.25">
      <c r="A66" s="12" t="s">
        <v>460</v>
      </c>
      <c r="B66" s="12"/>
      <c r="C66" s="12"/>
      <c r="D66" s="12" t="s">
        <v>251</v>
      </c>
    </row>
    <row r="67" spans="1:4" x14ac:dyDescent="0.25">
      <c r="A67" s="12" t="s">
        <v>461</v>
      </c>
      <c r="B67" s="12"/>
      <c r="C67" s="12"/>
      <c r="D67" s="12" t="s">
        <v>203</v>
      </c>
    </row>
    <row r="68" spans="1:4" x14ac:dyDescent="0.25">
      <c r="A68" s="12" t="s">
        <v>478</v>
      </c>
      <c r="B68" s="12"/>
      <c r="C68" s="12"/>
      <c r="D68" s="12" t="s">
        <v>261</v>
      </c>
    </row>
    <row r="69" spans="1:4" ht="30" x14ac:dyDescent="0.25">
      <c r="A69" s="12" t="s">
        <v>479</v>
      </c>
      <c r="B69" s="12"/>
      <c r="C69" s="12"/>
      <c r="D69" s="12" t="s">
        <v>259</v>
      </c>
    </row>
    <row r="70" spans="1:4" x14ac:dyDescent="0.25">
      <c r="A70" s="12" t="s">
        <v>576</v>
      </c>
      <c r="B70" s="12"/>
      <c r="C70" s="12"/>
      <c r="D70" s="12" t="s">
        <v>251</v>
      </c>
    </row>
    <row r="71" spans="1:4" ht="30" x14ac:dyDescent="0.25">
      <c r="A71" s="12" t="s">
        <v>571</v>
      </c>
      <c r="B71" s="12"/>
      <c r="C71" s="12"/>
      <c r="D71" s="12" t="s">
        <v>258</v>
      </c>
    </row>
    <row r="73" spans="1:4" x14ac:dyDescent="0.25">
      <c r="A73" s="206" t="s">
        <v>447</v>
      </c>
    </row>
    <row r="74" spans="1:4" ht="45" x14ac:dyDescent="0.25">
      <c r="A74" s="205" t="s">
        <v>245</v>
      </c>
    </row>
    <row r="75" spans="1:4" x14ac:dyDescent="0.25">
      <c r="A75" s="205" t="s">
        <v>246</v>
      </c>
    </row>
    <row r="76" spans="1:4" x14ac:dyDescent="0.25">
      <c r="A76" s="205" t="s">
        <v>247</v>
      </c>
    </row>
    <row r="77" spans="1:4" x14ac:dyDescent="0.25">
      <c r="A77" s="205" t="s">
        <v>248</v>
      </c>
    </row>
    <row r="78" spans="1:4" x14ac:dyDescent="0.25">
      <c r="A78" s="205" t="s">
        <v>249</v>
      </c>
    </row>
    <row r="79" spans="1:4" x14ac:dyDescent="0.25">
      <c r="A79" s="205" t="s">
        <v>250</v>
      </c>
    </row>
    <row r="80" spans="1:4" x14ac:dyDescent="0.25">
      <c r="A80" s="205" t="s">
        <v>251</v>
      </c>
    </row>
    <row r="81" spans="1:1" ht="30" x14ac:dyDescent="0.25">
      <c r="A81" s="205" t="s">
        <v>252</v>
      </c>
    </row>
    <row r="82" spans="1:1" x14ac:dyDescent="0.25">
      <c r="A82" s="205" t="s">
        <v>253</v>
      </c>
    </row>
    <row r="83" spans="1:1" ht="30" x14ac:dyDescent="0.25">
      <c r="A83" s="205" t="s">
        <v>254</v>
      </c>
    </row>
    <row r="84" spans="1:1" x14ac:dyDescent="0.25">
      <c r="A84" s="205" t="s">
        <v>255</v>
      </c>
    </row>
    <row r="85" spans="1:1" x14ac:dyDescent="0.25">
      <c r="A85" s="205" t="s">
        <v>222</v>
      </c>
    </row>
    <row r="86" spans="1:1" ht="45" x14ac:dyDescent="0.25">
      <c r="A86" s="205" t="s">
        <v>256</v>
      </c>
    </row>
    <row r="87" spans="1:1" ht="45" x14ac:dyDescent="0.25">
      <c r="A87" s="205" t="s">
        <v>257</v>
      </c>
    </row>
    <row r="88" spans="1:1" x14ac:dyDescent="0.25">
      <c r="A88" s="205" t="s">
        <v>210</v>
      </c>
    </row>
    <row r="89" spans="1:1" ht="30" x14ac:dyDescent="0.25">
      <c r="A89" s="205" t="s">
        <v>258</v>
      </c>
    </row>
    <row r="90" spans="1:1" ht="30" x14ac:dyDescent="0.25">
      <c r="A90" s="205" t="s">
        <v>259</v>
      </c>
    </row>
    <row r="91" spans="1:1" ht="30" x14ac:dyDescent="0.25">
      <c r="A91" s="205" t="s">
        <v>260</v>
      </c>
    </row>
    <row r="92" spans="1:1" x14ac:dyDescent="0.25">
      <c r="A92" s="205" t="s">
        <v>261</v>
      </c>
    </row>
    <row r="93" spans="1:1" x14ac:dyDescent="0.25">
      <c r="A93" s="205" t="s">
        <v>262</v>
      </c>
    </row>
    <row r="94" spans="1:1" x14ac:dyDescent="0.25">
      <c r="A94" s="205" t="s">
        <v>263</v>
      </c>
    </row>
    <row r="95" spans="1:1" ht="30" x14ac:dyDescent="0.25">
      <c r="A95" s="205" t="s">
        <v>264</v>
      </c>
    </row>
    <row r="96" spans="1:1" ht="30" x14ac:dyDescent="0.25">
      <c r="A96" s="205" t="s">
        <v>265</v>
      </c>
    </row>
    <row r="97" spans="1:1" ht="30" x14ac:dyDescent="0.25">
      <c r="A97" s="205" t="s">
        <v>266</v>
      </c>
    </row>
    <row r="98" spans="1:1" ht="30" x14ac:dyDescent="0.25">
      <c r="A98" s="205" t="s">
        <v>267</v>
      </c>
    </row>
    <row r="99" spans="1:1" ht="30" x14ac:dyDescent="0.25">
      <c r="A99" s="205" t="s">
        <v>268</v>
      </c>
    </row>
    <row r="100" spans="1:1" x14ac:dyDescent="0.25">
      <c r="A100" s="205" t="s">
        <v>269</v>
      </c>
    </row>
    <row r="101" spans="1:1" x14ac:dyDescent="0.25">
      <c r="A101" s="205" t="s">
        <v>270</v>
      </c>
    </row>
    <row r="102" spans="1:1" x14ac:dyDescent="0.25">
      <c r="A102" s="205" t="s">
        <v>226</v>
      </c>
    </row>
    <row r="103" spans="1:1" ht="30" x14ac:dyDescent="0.25">
      <c r="A103" s="205" t="s">
        <v>271</v>
      </c>
    </row>
    <row r="104" spans="1:1" ht="30" x14ac:dyDescent="0.25">
      <c r="A104" s="205" t="s">
        <v>272</v>
      </c>
    </row>
    <row r="105" spans="1:1" ht="30" x14ac:dyDescent="0.25">
      <c r="A105" s="205" t="s">
        <v>273</v>
      </c>
    </row>
    <row r="106" spans="1:1" ht="45" x14ac:dyDescent="0.25">
      <c r="A106" s="205" t="s">
        <v>274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J9" sqref="J9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6"/>
    <col min="8" max="8" width="23.5703125" style="176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2236</v>
      </c>
      <c r="B2" t="s">
        <v>343</v>
      </c>
      <c r="C2" t="s">
        <v>344</v>
      </c>
      <c r="D2" t="s">
        <v>345</v>
      </c>
      <c r="E2" t="s">
        <v>346</v>
      </c>
      <c r="F2" t="s">
        <v>347</v>
      </c>
      <c r="G2" s="176" t="s">
        <v>395</v>
      </c>
      <c r="H2" s="176" t="s">
        <v>304</v>
      </c>
    </row>
    <row r="3" spans="1:8" x14ac:dyDescent="0.25">
      <c r="A3" s="175" t="str">
        <f>'Инвест политика'!A27</f>
        <v>SNGS</v>
      </c>
      <c r="B3" t="s">
        <v>402</v>
      </c>
      <c r="C3" s="179" t="s">
        <v>2234</v>
      </c>
      <c r="D3" t="s">
        <v>403</v>
      </c>
      <c r="E3" t="s">
        <v>404</v>
      </c>
      <c r="F3" t="s">
        <v>405</v>
      </c>
      <c r="G3" s="176">
        <f>VLOOKUP(A3,'Инвест политика'!$A$27:$H$131,8,FALSE)</f>
        <v>0</v>
      </c>
      <c r="H3" s="176" t="str">
        <f>Эшелонирование(F3,G3,C3)</f>
        <v>Ошибка, не численные значения</v>
      </c>
    </row>
    <row r="4" spans="1:8" x14ac:dyDescent="0.25">
      <c r="A4" s="175" t="str">
        <f>'Инвест политика'!A28</f>
        <v>YNDX</v>
      </c>
      <c r="B4" t="s">
        <v>402</v>
      </c>
      <c r="C4" s="179" t="s">
        <v>2234</v>
      </c>
      <c r="D4" t="s">
        <v>403</v>
      </c>
      <c r="E4" t="s">
        <v>404</v>
      </c>
      <c r="F4" t="s">
        <v>405</v>
      </c>
      <c r="G4" s="177">
        <f>VLOOKUP(A4,'Инвест политика'!$A$27:$H$131,8,FALSE)</f>
        <v>0</v>
      </c>
      <c r="H4" s="177" t="str">
        <f t="shared" ref="H4:H67" si="0">Эшелонирование(F4,G4,C4)</f>
        <v>Ошибка, не численные значения</v>
      </c>
    </row>
    <row r="5" spans="1:8" x14ac:dyDescent="0.25">
      <c r="A5" s="175" t="str">
        <f>'Инвест политика'!A29</f>
        <v>GMKN</v>
      </c>
      <c r="B5" t="s">
        <v>402</v>
      </c>
      <c r="C5" t="s">
        <v>2234</v>
      </c>
      <c r="D5" t="s">
        <v>403</v>
      </c>
      <c r="E5" t="s">
        <v>404</v>
      </c>
      <c r="F5" t="s">
        <v>405</v>
      </c>
      <c r="G5" s="177">
        <f>VLOOKUP(A5,'Инвест политика'!$A$27:$H$131,8,FALSE)</f>
        <v>0</v>
      </c>
      <c r="H5" s="177" t="str">
        <f t="shared" si="0"/>
        <v>Ошибка, не численные значения</v>
      </c>
    </row>
    <row r="6" spans="1:8" x14ac:dyDescent="0.25">
      <c r="A6" s="175" t="str">
        <f>'Инвест политика'!A30</f>
        <v>LKOH</v>
      </c>
      <c r="B6" t="s">
        <v>402</v>
      </c>
      <c r="C6" t="s">
        <v>2234</v>
      </c>
      <c r="D6" t="s">
        <v>403</v>
      </c>
      <c r="E6" t="s">
        <v>404</v>
      </c>
      <c r="F6" t="s">
        <v>405</v>
      </c>
      <c r="G6" s="177">
        <f>VLOOKUP(A6,'Инвест политика'!$A$27:$H$131,8,FALSE)</f>
        <v>0</v>
      </c>
      <c r="H6" s="177" t="str">
        <f t="shared" si="0"/>
        <v>Ошибка, не численные значения</v>
      </c>
    </row>
    <row r="7" spans="1:8" x14ac:dyDescent="0.25">
      <c r="A7" s="175" t="str">
        <f>'Инвест политика'!A31</f>
        <v>GAZP</v>
      </c>
      <c r="B7" t="s">
        <v>402</v>
      </c>
      <c r="C7" t="s">
        <v>2234</v>
      </c>
      <c r="D7" t="s">
        <v>403</v>
      </c>
      <c r="E7" t="s">
        <v>404</v>
      </c>
      <c r="F7" t="s">
        <v>405</v>
      </c>
      <c r="G7" s="177">
        <f>VLOOKUP(A7,'Инвест политика'!$A$27:$H$131,8,FALSE)</f>
        <v>0</v>
      </c>
      <c r="H7" s="177" t="str">
        <f t="shared" si="0"/>
        <v>Ошибка, не численные значения</v>
      </c>
    </row>
    <row r="8" spans="1:8" x14ac:dyDescent="0.25">
      <c r="A8" s="175" t="str">
        <f>'Инвест политика'!A32</f>
        <v>XS2159874002</v>
      </c>
      <c r="B8" t="s">
        <v>435</v>
      </c>
      <c r="C8">
        <v>7.3000000000000007</v>
      </c>
      <c r="D8">
        <v>1500000000</v>
      </c>
      <c r="E8" t="s">
        <v>351</v>
      </c>
      <c r="F8">
        <v>10</v>
      </c>
      <c r="G8" s="177" t="str">
        <f>VLOOKUP(A8,'Инвест политика'!$A$27:$H$131,8,FALSE)</f>
        <v>BBB</v>
      </c>
      <c r="H8" s="177">
        <f t="shared" si="0"/>
        <v>1</v>
      </c>
    </row>
    <row r="9" spans="1:8" x14ac:dyDescent="0.25">
      <c r="A9" s="175" t="str">
        <f>'Инвест политика'!A33</f>
        <v>XS2134628069</v>
      </c>
      <c r="B9" t="s">
        <v>350</v>
      </c>
      <c r="C9">
        <v>3.6280000000000001</v>
      </c>
      <c r="D9">
        <v>500000000</v>
      </c>
      <c r="E9" t="s">
        <v>351</v>
      </c>
      <c r="F9">
        <v>10</v>
      </c>
      <c r="G9" s="177" t="str">
        <f>VLOOKUP(A9,'Инвест политика'!$A$27:$H$131,8,FALSE)</f>
        <v>BBB-</v>
      </c>
      <c r="H9" s="177">
        <f t="shared" si="0"/>
        <v>1</v>
      </c>
    </row>
    <row r="10" spans="1:8" x14ac:dyDescent="0.25">
      <c r="A10" s="175" t="str">
        <f>'Инвест политика'!A34</f>
        <v>RU000A102CL3</v>
      </c>
      <c r="B10" t="s">
        <v>397</v>
      </c>
      <c r="C10">
        <v>10.042</v>
      </c>
      <c r="D10">
        <v>1250000000</v>
      </c>
      <c r="E10" t="s">
        <v>349</v>
      </c>
      <c r="F10">
        <v>9</v>
      </c>
      <c r="G10" s="177" t="str">
        <f>VLOOKUP(A10,'Инвест политика'!$A$27:$H$131,8,FALSE)</f>
        <v>BBB-</v>
      </c>
      <c r="H10" s="177">
        <f>Эшелонирование(F10,G10,C10)</f>
        <v>1</v>
      </c>
    </row>
    <row r="11" spans="1:8" x14ac:dyDescent="0.25">
      <c r="A11" s="175" t="str">
        <f>'Инвест политика'!A35</f>
        <v>XS2291819980</v>
      </c>
      <c r="B11" t="s">
        <v>406</v>
      </c>
      <c r="C11">
        <v>6.4459999999999997</v>
      </c>
      <c r="D11">
        <v>2000000000</v>
      </c>
      <c r="E11" t="s">
        <v>351</v>
      </c>
      <c r="F11">
        <v>10</v>
      </c>
      <c r="G11" s="177" t="str">
        <f>VLOOKUP(A11,'Инвест политика'!$A$27:$H$131,8,FALSE)</f>
        <v>BBB</v>
      </c>
      <c r="H11" s="177">
        <f t="shared" si="0"/>
        <v>1</v>
      </c>
    </row>
    <row r="12" spans="1:8" x14ac:dyDescent="0.25">
      <c r="A12" s="175" t="str">
        <f>'Инвест политика'!A36</f>
        <v>XS0810596832</v>
      </c>
      <c r="B12" t="s">
        <v>436</v>
      </c>
      <c r="C12">
        <v>0.97199999999999998</v>
      </c>
      <c r="D12">
        <v>2250000000</v>
      </c>
      <c r="E12" t="s">
        <v>351</v>
      </c>
      <c r="F12">
        <v>10</v>
      </c>
      <c r="G12" s="177" t="str">
        <f>VLOOKUP(A12,'Инвест политика'!$A$27:$H$131,8,FALSE)</f>
        <v>BBB-</v>
      </c>
      <c r="H12" s="177">
        <f t="shared" si="0"/>
        <v>1</v>
      </c>
    </row>
    <row r="13" spans="1:8" x14ac:dyDescent="0.25">
      <c r="A13" s="175" t="str">
        <f>'Инвест политика'!A37</f>
        <v>XS2252958751</v>
      </c>
      <c r="B13" t="s">
        <v>452</v>
      </c>
      <c r="C13">
        <v>5.3929999999999998</v>
      </c>
      <c r="D13">
        <v>1250000000</v>
      </c>
      <c r="E13" t="s">
        <v>351</v>
      </c>
      <c r="F13">
        <v>8</v>
      </c>
      <c r="G13" s="177" t="str">
        <f>VLOOKUP(A13,'Инвест политика'!$A$27:$H$131,8,FALSE)</f>
        <v>BB+</v>
      </c>
      <c r="H13" s="177">
        <f t="shared" si="0"/>
        <v>1</v>
      </c>
    </row>
    <row r="14" spans="1:8" x14ac:dyDescent="0.25">
      <c r="A14" s="175" t="str">
        <f>'Инвест политика'!A38</f>
        <v>XS2384475930</v>
      </c>
      <c r="B14" t="s">
        <v>577</v>
      </c>
      <c r="C14">
        <v>4.415</v>
      </c>
      <c r="D14">
        <v>500000000</v>
      </c>
      <c r="E14" t="s">
        <v>351</v>
      </c>
      <c r="F14">
        <v>9</v>
      </c>
      <c r="G14" s="177" t="str">
        <f>VLOOKUP(A14,'Инвест политика'!$A$27:$H$131,8,FALSE)</f>
        <v>BB</v>
      </c>
      <c r="H14" s="177">
        <f t="shared" si="0"/>
        <v>2</v>
      </c>
    </row>
    <row r="15" spans="1:8" x14ac:dyDescent="0.25">
      <c r="A15" s="175" t="str">
        <f>'Инвест политика'!A39</f>
        <v>XS2401571448</v>
      </c>
      <c r="B15" t="s">
        <v>2230</v>
      </c>
      <c r="C15">
        <v>5.0590000000000002</v>
      </c>
      <c r="D15">
        <v>1150000000</v>
      </c>
      <c r="E15" t="s">
        <v>351</v>
      </c>
      <c r="F15">
        <v>9</v>
      </c>
      <c r="G15" s="177" t="str">
        <f>VLOOKUP(A15,'Инвест политика'!$A$27:$H$131,8,FALSE)</f>
        <v>BBB</v>
      </c>
      <c r="H15" s="177">
        <f t="shared" si="0"/>
        <v>1</v>
      </c>
    </row>
    <row r="16" spans="1:8" x14ac:dyDescent="0.25">
      <c r="A16" s="175" t="str">
        <f>'Инвест политика'!A40</f>
        <v>XS2401571521</v>
      </c>
      <c r="B16" t="s">
        <v>2231</v>
      </c>
      <c r="C16">
        <v>8.3979999999999997</v>
      </c>
      <c r="D16">
        <v>1150000000</v>
      </c>
      <c r="E16" t="s">
        <v>351</v>
      </c>
      <c r="F16">
        <v>8</v>
      </c>
      <c r="G16" s="177" t="str">
        <f>VLOOKUP(A16,'Инвест политика'!$A$27:$H$131,8,FALSE)</f>
        <v>BBB</v>
      </c>
      <c r="H16" s="177">
        <f t="shared" si="0"/>
        <v>1</v>
      </c>
    </row>
    <row r="17" spans="1:8" x14ac:dyDescent="0.25">
      <c r="A17" s="175" t="str">
        <f>'Инвест политика'!A41</f>
        <v>XS2010027451</v>
      </c>
      <c r="B17" t="s">
        <v>2232</v>
      </c>
      <c r="C17">
        <v>6.2880000000000003</v>
      </c>
      <c r="D17">
        <v>600000000</v>
      </c>
      <c r="E17" t="s">
        <v>351</v>
      </c>
      <c r="F17">
        <v>8</v>
      </c>
      <c r="G17" s="177" t="str">
        <f>VLOOKUP(A17,'Инвест политика'!$A$27:$H$131,8,FALSE)</f>
        <v>BB+</v>
      </c>
      <c r="H17" s="177">
        <f t="shared" si="0"/>
        <v>1</v>
      </c>
    </row>
    <row r="18" spans="1:8" x14ac:dyDescent="0.25">
      <c r="A18" s="175" t="str">
        <f>'Инвест политика'!A42</f>
        <v>XS1433454243</v>
      </c>
      <c r="B18" t="s">
        <v>437</v>
      </c>
      <c r="C18">
        <v>1.49</v>
      </c>
      <c r="D18">
        <v>498427000</v>
      </c>
      <c r="E18" t="s">
        <v>351</v>
      </c>
      <c r="F18">
        <v>10</v>
      </c>
      <c r="G18" s="177" t="str">
        <f>VLOOKUP(A18,'Инвест политика'!$A$27:$H$131,8,FALSE)</f>
        <v>BBB-</v>
      </c>
      <c r="H18" s="177">
        <f t="shared" si="0"/>
        <v>1</v>
      </c>
    </row>
    <row r="19" spans="1:8" x14ac:dyDescent="0.25">
      <c r="A19" s="175" t="str">
        <f>'Инвест политика'!A43</f>
        <v>CH0385518086</v>
      </c>
      <c r="B19" t="s">
        <v>352</v>
      </c>
      <c r="C19">
        <v>0.96099999999999997</v>
      </c>
      <c r="D19">
        <v>165000000</v>
      </c>
      <c r="E19" t="s">
        <v>353</v>
      </c>
      <c r="F19">
        <v>9</v>
      </c>
      <c r="G19" s="177" t="str">
        <f>VLOOKUP(A19,'Инвест политика'!$A$27:$H$131,8,FALSE)</f>
        <v>BB+</v>
      </c>
      <c r="H19" s="177">
        <f t="shared" si="0"/>
        <v>1</v>
      </c>
    </row>
    <row r="20" spans="1:8" x14ac:dyDescent="0.25">
      <c r="A20" s="175" t="str">
        <f>'Инвест политика'!A44</f>
        <v>XS1759468967</v>
      </c>
      <c r="B20" t="s">
        <v>355</v>
      </c>
      <c r="C20">
        <v>1.1539999999999999</v>
      </c>
      <c r="D20">
        <v>500000000</v>
      </c>
      <c r="E20" t="s">
        <v>351</v>
      </c>
      <c r="F20">
        <v>8</v>
      </c>
      <c r="G20" s="177" t="str">
        <f>VLOOKUP(A20,'Инвест политика'!$A$27:$H$131,8,FALSE)</f>
        <v>B+</v>
      </c>
      <c r="H20" s="177">
        <f t="shared" si="0"/>
        <v>2</v>
      </c>
    </row>
    <row r="21" spans="1:8" x14ac:dyDescent="0.25">
      <c r="A21" s="175" t="str">
        <f>'Инвест политика'!A45</f>
        <v>XS1400710726</v>
      </c>
      <c r="B21" t="s">
        <v>356</v>
      </c>
      <c r="C21">
        <v>1.141</v>
      </c>
      <c r="D21">
        <v>700000000</v>
      </c>
      <c r="E21" t="s">
        <v>351</v>
      </c>
      <c r="F21">
        <v>10</v>
      </c>
      <c r="G21" s="177" t="str">
        <f>VLOOKUP(A21,'Инвест политика'!$A$27:$H$131,8,FALSE)</f>
        <v>BB</v>
      </c>
      <c r="H21" s="177">
        <f t="shared" si="0"/>
        <v>2</v>
      </c>
    </row>
    <row r="22" spans="1:8" x14ac:dyDescent="0.25">
      <c r="A22" s="175" t="str">
        <f>'Инвест политика'!A46</f>
        <v>XS1772800204</v>
      </c>
      <c r="B22" t="s">
        <v>357</v>
      </c>
      <c r="C22">
        <v>0.95400000000000007</v>
      </c>
      <c r="D22">
        <v>204719000</v>
      </c>
      <c r="E22" t="s">
        <v>351</v>
      </c>
      <c r="F22">
        <v>10</v>
      </c>
      <c r="G22" s="177" t="str">
        <f>VLOOKUP(A22,'Инвест политика'!$A$27:$H$131,8,FALSE)</f>
        <v>BB</v>
      </c>
      <c r="H22" s="177">
        <f t="shared" si="0"/>
        <v>2</v>
      </c>
    </row>
    <row r="23" spans="1:8" x14ac:dyDescent="0.25">
      <c r="A23" s="175" t="str">
        <f>'Инвест политика'!A47</f>
        <v>XS2010044548</v>
      </c>
      <c r="B23" t="s">
        <v>358</v>
      </c>
      <c r="C23">
        <v>2.4409999999999998</v>
      </c>
      <c r="D23">
        <v>300000000</v>
      </c>
      <c r="E23" t="s">
        <v>351</v>
      </c>
      <c r="F23">
        <v>8</v>
      </c>
      <c r="G23" s="177" t="str">
        <f>VLOOKUP(A23,'Инвест политика'!$A$27:$H$131,8,FALSE)</f>
        <v>BB-</v>
      </c>
      <c r="H23" s="177">
        <f t="shared" si="0"/>
        <v>2</v>
      </c>
    </row>
    <row r="24" spans="1:8" x14ac:dyDescent="0.25">
      <c r="A24" s="175" t="str">
        <f>'Инвест политика'!A48</f>
        <v>XS2010044381</v>
      </c>
      <c r="B24" t="s">
        <v>359</v>
      </c>
      <c r="C24">
        <v>3.8380000000000001</v>
      </c>
      <c r="D24">
        <v>550000000</v>
      </c>
      <c r="E24" t="s">
        <v>351</v>
      </c>
      <c r="F24">
        <v>10</v>
      </c>
      <c r="G24" s="177" t="str">
        <f>VLOOKUP(A24,'Инвест политика'!$A$27:$H$131,8,FALSE)</f>
        <v>BB</v>
      </c>
      <c r="H24" s="177">
        <f t="shared" si="0"/>
        <v>2</v>
      </c>
    </row>
    <row r="25" spans="1:8" x14ac:dyDescent="0.25">
      <c r="A25" s="175" t="str">
        <f>'Инвест политика'!A49</f>
        <v>XS2063279959</v>
      </c>
      <c r="B25" t="s">
        <v>360</v>
      </c>
      <c r="C25">
        <v>3.1110000000000002</v>
      </c>
      <c r="D25">
        <v>850000000</v>
      </c>
      <c r="E25" t="s">
        <v>351</v>
      </c>
      <c r="F25">
        <v>9</v>
      </c>
      <c r="G25" s="177" t="str">
        <f>VLOOKUP(A25,'Инвест политика'!$A$27:$H$131,8,FALSE)</f>
        <v>BB</v>
      </c>
      <c r="H25" s="177">
        <f t="shared" si="0"/>
        <v>2</v>
      </c>
    </row>
    <row r="26" spans="1:8" x14ac:dyDescent="0.25">
      <c r="A26" s="175" t="str">
        <f>'Инвест политика'!A50</f>
        <v>XS2124187571</v>
      </c>
      <c r="B26" t="s">
        <v>362</v>
      </c>
      <c r="C26">
        <v>7.2389999999999999</v>
      </c>
      <c r="D26">
        <v>2000000000</v>
      </c>
      <c r="E26" t="s">
        <v>351</v>
      </c>
      <c r="F26">
        <v>10</v>
      </c>
      <c r="G26" s="177" t="str">
        <f>VLOOKUP(A26,'Инвест политика'!$A$27:$H$131,8,FALSE)</f>
        <v>BBB</v>
      </c>
      <c r="H26" s="177">
        <f t="shared" si="0"/>
        <v>1</v>
      </c>
    </row>
    <row r="27" spans="1:8" x14ac:dyDescent="0.25">
      <c r="A27" s="175" t="str">
        <f>'Инвест политика'!A51</f>
        <v>XS1946883342</v>
      </c>
      <c r="B27" t="s">
        <v>390</v>
      </c>
      <c r="C27">
        <v>0.68</v>
      </c>
      <c r="D27">
        <v>10000000000</v>
      </c>
      <c r="E27" t="s">
        <v>370</v>
      </c>
      <c r="F27">
        <v>9</v>
      </c>
      <c r="G27" s="177" t="str">
        <f>VLOOKUP(A27,'Инвест политика'!$A$27:$H$131,8,FALSE)</f>
        <v>BBB-</v>
      </c>
      <c r="H27" s="177">
        <f t="shared" si="0"/>
        <v>1</v>
      </c>
    </row>
    <row r="28" spans="1:8" x14ac:dyDescent="0.25">
      <c r="A28" s="175" t="str">
        <f>'Инвест политика'!A52</f>
        <v>XS0841671000</v>
      </c>
      <c r="B28" t="s">
        <v>363</v>
      </c>
      <c r="C28">
        <v>0.88600000000000001</v>
      </c>
      <c r="D28">
        <v>634051000</v>
      </c>
      <c r="E28" t="s">
        <v>351</v>
      </c>
      <c r="F28">
        <v>10</v>
      </c>
      <c r="G28" s="177" t="str">
        <f>VLOOKUP(A28,'Инвест политика'!$A$27:$H$131,8,FALSE)</f>
        <v>BBB</v>
      </c>
      <c r="H28" s="177">
        <f t="shared" si="0"/>
        <v>1</v>
      </c>
    </row>
    <row r="29" spans="1:8" x14ac:dyDescent="0.25">
      <c r="A29" s="175" t="str">
        <f>'Инвест политика'!A53</f>
        <v>XS0800817073</v>
      </c>
      <c r="B29" t="s">
        <v>364</v>
      </c>
      <c r="C29">
        <v>0.60199999999999998</v>
      </c>
      <c r="D29">
        <v>1000000000</v>
      </c>
      <c r="E29" t="s">
        <v>351</v>
      </c>
      <c r="F29">
        <v>10</v>
      </c>
      <c r="G29" s="177" t="str">
        <f>VLOOKUP(A29,'Инвест политика'!$A$27:$H$131,8,FALSE)</f>
        <v>BBB-</v>
      </c>
      <c r="H29" s="177">
        <f t="shared" si="0"/>
        <v>1</v>
      </c>
    </row>
    <row r="30" spans="1:8" x14ac:dyDescent="0.25">
      <c r="A30" s="175" t="str">
        <f>'Инвест политика'!A54</f>
        <v>XS0830192711</v>
      </c>
      <c r="B30" t="s">
        <v>365</v>
      </c>
      <c r="C30">
        <v>0.81200000000000006</v>
      </c>
      <c r="D30">
        <v>1500000000</v>
      </c>
      <c r="E30" t="s">
        <v>351</v>
      </c>
      <c r="F30">
        <v>10</v>
      </c>
      <c r="G30" s="177" t="str">
        <f>VLOOKUP(A30,'Инвест политика'!$A$27:$H$131,8,FALSE)</f>
        <v>BBB</v>
      </c>
      <c r="H30" s="177">
        <f t="shared" si="0"/>
        <v>1</v>
      </c>
    </row>
    <row r="31" spans="1:8" x14ac:dyDescent="0.25">
      <c r="A31" s="175" t="str">
        <f>'Инвест политика'!A55</f>
        <v>XS2183144810</v>
      </c>
      <c r="B31" t="s">
        <v>366</v>
      </c>
      <c r="C31">
        <v>1.522</v>
      </c>
      <c r="D31">
        <v>350000000</v>
      </c>
      <c r="E31" t="s">
        <v>349</v>
      </c>
      <c r="F31">
        <v>10</v>
      </c>
      <c r="G31" s="177" t="str">
        <f>VLOOKUP(A31,'Инвест политика'!$A$27:$H$131,8,FALSE)</f>
        <v>BB+</v>
      </c>
      <c r="H31" s="177">
        <f t="shared" si="0"/>
        <v>1</v>
      </c>
    </row>
    <row r="32" spans="1:8" x14ac:dyDescent="0.25">
      <c r="A32" s="175" t="str">
        <f>'Инвест политика'!A56</f>
        <v>XS0861981180</v>
      </c>
      <c r="B32" t="s">
        <v>367</v>
      </c>
      <c r="C32">
        <v>0.28600000000000003</v>
      </c>
      <c r="D32">
        <v>2000000000</v>
      </c>
      <c r="E32" t="s">
        <v>351</v>
      </c>
      <c r="F32">
        <v>10</v>
      </c>
      <c r="G32" s="177" t="str">
        <f>VLOOKUP(A32,'Инвест политика'!$A$27:$H$131,8,FALSE)</f>
        <v>BBB-</v>
      </c>
      <c r="H32" s="177">
        <f t="shared" si="0"/>
        <v>1</v>
      </c>
    </row>
    <row r="33" spans="1:8" x14ac:dyDescent="0.25">
      <c r="A33" s="175" t="str">
        <f>'Инвест политика'!A57</f>
        <v>XS1622146758</v>
      </c>
      <c r="B33" t="s">
        <v>453</v>
      </c>
      <c r="C33">
        <v>0.375</v>
      </c>
      <c r="D33">
        <v>500000000</v>
      </c>
      <c r="E33" t="s">
        <v>351</v>
      </c>
      <c r="F33">
        <v>10</v>
      </c>
      <c r="G33" s="177" t="str">
        <f>VLOOKUP(A33,'Инвест политика'!$A$27:$H$131,8,FALSE)</f>
        <v>BBB-</v>
      </c>
      <c r="H33" s="177">
        <f t="shared" si="0"/>
        <v>1</v>
      </c>
    </row>
    <row r="34" spans="1:8" x14ac:dyDescent="0.25">
      <c r="A34" s="175" t="str">
        <f>'Инвест политика'!A58</f>
        <v>XS1691350455</v>
      </c>
      <c r="B34" t="s">
        <v>392</v>
      </c>
      <c r="C34">
        <v>0.82800000000000007</v>
      </c>
      <c r="D34">
        <v>20000000000</v>
      </c>
      <c r="E34" t="s">
        <v>370</v>
      </c>
      <c r="F34">
        <v>10</v>
      </c>
      <c r="G34" s="177" t="str">
        <f>VLOOKUP(A34,'Инвест политика'!$A$27:$H$131,8,FALSE)</f>
        <v>BBB-</v>
      </c>
      <c r="H34" s="177">
        <f t="shared" si="0"/>
        <v>1</v>
      </c>
    </row>
    <row r="35" spans="1:8" x14ac:dyDescent="0.25">
      <c r="A35" s="175" t="str">
        <f>'Инвест политика'!A59</f>
        <v>XS0743596040</v>
      </c>
      <c r="B35" t="s">
        <v>368</v>
      </c>
      <c r="C35">
        <v>0.20600000000000002</v>
      </c>
      <c r="D35">
        <v>1500000000</v>
      </c>
      <c r="E35" t="s">
        <v>351</v>
      </c>
      <c r="F35">
        <v>10</v>
      </c>
      <c r="G35" s="177" t="str">
        <f>VLOOKUP(A35,'Инвест политика'!$A$27:$H$131,8,FALSE)</f>
        <v>BBB-</v>
      </c>
      <c r="H35" s="177">
        <f t="shared" si="0"/>
        <v>1</v>
      </c>
    </row>
    <row r="36" spans="1:8" x14ac:dyDescent="0.25">
      <c r="A36" s="175" t="str">
        <f>'Инвест политика'!A60</f>
        <v>RU000A102CL3</v>
      </c>
      <c r="B36" t="s">
        <v>397</v>
      </c>
      <c r="C36">
        <v>10.042</v>
      </c>
      <c r="D36">
        <v>1250000000</v>
      </c>
      <c r="E36" t="s">
        <v>349</v>
      </c>
      <c r="F36">
        <v>9</v>
      </c>
      <c r="G36" s="177" t="str">
        <f>VLOOKUP(A36,'Инвест политика'!$A$27:$H$131,8,FALSE)</f>
        <v>BBB-</v>
      </c>
      <c r="H36" s="177">
        <f t="shared" si="0"/>
        <v>1</v>
      </c>
    </row>
    <row r="37" spans="1:8" x14ac:dyDescent="0.25">
      <c r="A37" s="175" t="str">
        <f>'Инвест политика'!A61</f>
        <v>XS1634369067</v>
      </c>
      <c r="B37" t="s">
        <v>369</v>
      </c>
      <c r="C37">
        <v>1.214</v>
      </c>
      <c r="D37">
        <v>800000000</v>
      </c>
      <c r="E37" t="s">
        <v>351</v>
      </c>
      <c r="F37">
        <v>10</v>
      </c>
      <c r="G37" s="177" t="str">
        <f>VLOOKUP(A37,'Инвест политика'!$A$27:$H$131,8,FALSE)</f>
        <v>B</v>
      </c>
      <c r="H37" s="177">
        <f t="shared" si="0"/>
        <v>2</v>
      </c>
    </row>
    <row r="38" spans="1:8" x14ac:dyDescent="0.25">
      <c r="A38" s="175" t="str">
        <f>'Инвест политика'!A62</f>
        <v>XS2243631095</v>
      </c>
      <c r="B38" t="s">
        <v>454</v>
      </c>
      <c r="C38">
        <v>3.5920000000000001</v>
      </c>
      <c r="D38">
        <v>1400000000</v>
      </c>
      <c r="E38" t="s">
        <v>351</v>
      </c>
      <c r="F38">
        <v>9</v>
      </c>
      <c r="G38" s="177" t="str">
        <f>VLOOKUP(A38,'Инвест политика'!$A$27:$H$131,8,FALSE)</f>
        <v>BB+</v>
      </c>
      <c r="H38" s="177">
        <f t="shared" si="0"/>
        <v>1</v>
      </c>
    </row>
    <row r="39" spans="1:8" x14ac:dyDescent="0.25">
      <c r="A39" s="175" t="str">
        <f>'Инвест политика'!A63</f>
        <v>XS1951067039</v>
      </c>
      <c r="B39" t="s">
        <v>354</v>
      </c>
      <c r="C39">
        <v>2.105</v>
      </c>
      <c r="D39">
        <v>327228000</v>
      </c>
      <c r="E39" t="s">
        <v>349</v>
      </c>
      <c r="F39">
        <v>10</v>
      </c>
      <c r="G39" s="177" t="str">
        <f>VLOOKUP(A39,'Инвест политика'!$A$27:$H$131,8,FALSE)</f>
        <v>BB</v>
      </c>
      <c r="H39" s="177">
        <f t="shared" si="0"/>
        <v>2</v>
      </c>
    </row>
    <row r="40" spans="1:8" x14ac:dyDescent="0.25">
      <c r="A40" s="175" t="str">
        <f>'Инвест политика'!A64</f>
        <v>XS2099763075</v>
      </c>
      <c r="B40" t="s">
        <v>361</v>
      </c>
      <c r="C40">
        <v>2.956</v>
      </c>
      <c r="D40">
        <v>541000000</v>
      </c>
      <c r="E40" t="s">
        <v>351</v>
      </c>
      <c r="F40">
        <v>9</v>
      </c>
      <c r="G40" s="177" t="str">
        <f>VLOOKUP(A40,'Инвест политика'!$A$27:$H$131,8,FALSE)</f>
        <v>BB</v>
      </c>
      <c r="H40" s="177">
        <f t="shared" si="0"/>
        <v>2</v>
      </c>
    </row>
    <row r="41" spans="1:8" x14ac:dyDescent="0.25">
      <c r="A41" s="175" t="str">
        <f>'Инвест политика'!A65</f>
        <v>XS1533915721</v>
      </c>
      <c r="B41" t="s">
        <v>475</v>
      </c>
      <c r="C41">
        <v>1.2869999999999999</v>
      </c>
      <c r="D41">
        <v>750000000</v>
      </c>
      <c r="E41" t="s">
        <v>351</v>
      </c>
      <c r="F41">
        <v>10</v>
      </c>
      <c r="G41" s="177" t="str">
        <f>VLOOKUP(A41,'Инвест политика'!$A$27:$H$131,8,FALSE)</f>
        <v>BB+</v>
      </c>
      <c r="H41" s="177">
        <f>Эшелонирование(F41,G41,C41)</f>
        <v>1</v>
      </c>
    </row>
    <row r="42" spans="1:8" x14ac:dyDescent="0.25">
      <c r="A42" s="175" t="str">
        <f>'Инвест политика'!A66</f>
        <v>XS2120091991</v>
      </c>
      <c r="B42" t="s">
        <v>474</v>
      </c>
      <c r="C42">
        <v>3.738</v>
      </c>
      <c r="D42">
        <v>500000000</v>
      </c>
      <c r="E42" t="s">
        <v>351</v>
      </c>
      <c r="F42">
        <v>10</v>
      </c>
      <c r="G42" s="177" t="str">
        <f>VLOOKUP(A42,'Инвест политика'!$A$27:$H$131,8,FALSE)</f>
        <v>B</v>
      </c>
      <c r="H42" s="177">
        <f t="shared" si="0"/>
        <v>2</v>
      </c>
    </row>
    <row r="43" spans="1:8" x14ac:dyDescent="0.25">
      <c r="A43" s="175" t="str">
        <f>'Инвест политика'!A67</f>
        <v>XS2239639433</v>
      </c>
      <c r="B43" t="s">
        <v>480</v>
      </c>
      <c r="C43">
        <v>0</v>
      </c>
      <c r="D43">
        <v>400000000</v>
      </c>
      <c r="E43" t="s">
        <v>351</v>
      </c>
      <c r="F43">
        <v>7</v>
      </c>
      <c r="G43" s="177" t="str">
        <f>VLOOKUP(A43,'Инвест политика'!$A$27:$H$131,8,FALSE)</f>
        <v>BB+</v>
      </c>
      <c r="H43" s="177">
        <f t="shared" si="0"/>
        <v>2</v>
      </c>
    </row>
    <row r="44" spans="1:8" x14ac:dyDescent="0.25">
      <c r="A44" s="175" t="str">
        <f>'Инвест политика'!A68</f>
        <v>XS2343532508</v>
      </c>
      <c r="B44" t="s">
        <v>578</v>
      </c>
      <c r="C44">
        <v>3.9940000000000002</v>
      </c>
      <c r="D44">
        <v>20000000000</v>
      </c>
      <c r="E44" t="s">
        <v>370</v>
      </c>
      <c r="F44">
        <v>9</v>
      </c>
      <c r="G44" s="177" t="str">
        <f>VLOOKUP(A44,'Инвест политика'!$A$27:$H$131,8,FALSE)</f>
        <v>BB+</v>
      </c>
      <c r="H44" s="177">
        <f t="shared" si="0"/>
        <v>1</v>
      </c>
    </row>
    <row r="45" spans="1:8" x14ac:dyDescent="0.25">
      <c r="A45" s="175" t="str">
        <f>'Инвест политика'!A69</f>
        <v>XS2401571521</v>
      </c>
      <c r="B45" t="s">
        <v>2231</v>
      </c>
      <c r="C45">
        <v>8.3979999999999997</v>
      </c>
      <c r="D45">
        <v>1150000000</v>
      </c>
      <c r="E45" t="s">
        <v>351</v>
      </c>
      <c r="F45">
        <v>8</v>
      </c>
      <c r="G45" s="177" t="str">
        <f>VLOOKUP(A45,'Инвест политика'!$A$27:$H$131,8,FALSE)</f>
        <v>BBB</v>
      </c>
      <c r="H45" s="177">
        <f t="shared" si="0"/>
        <v>1</v>
      </c>
    </row>
    <row r="46" spans="1:8" x14ac:dyDescent="0.25">
      <c r="A46" s="175" t="str">
        <f>'Инвест политика'!A70</f>
        <v>RU000A0JV508</v>
      </c>
      <c r="B46" t="s">
        <v>371</v>
      </c>
      <c r="C46">
        <v>8.6950000000000003</v>
      </c>
      <c r="D46">
        <v>62501657.130000003</v>
      </c>
      <c r="E46" t="s">
        <v>370</v>
      </c>
      <c r="F46" t="s">
        <v>407</v>
      </c>
      <c r="G46" s="177" t="str">
        <f>VLOOKUP(A46,'Инвест политика'!$A$27:$H$131,8,FALSE)</f>
        <v>BBB-</v>
      </c>
      <c r="H46" s="177" t="str">
        <f t="shared" si="0"/>
        <v>Ошибка, не численные значения</v>
      </c>
    </row>
    <row r="47" spans="1:8" x14ac:dyDescent="0.25">
      <c r="A47" s="175" t="str">
        <f>'Инвест политика'!A71</f>
        <v>RU000A0JTX09</v>
      </c>
      <c r="B47" t="s">
        <v>408</v>
      </c>
      <c r="C47">
        <v>0</v>
      </c>
      <c r="D47">
        <v>5000000000</v>
      </c>
      <c r="E47" t="s">
        <v>370</v>
      </c>
      <c r="F47" t="s">
        <v>407</v>
      </c>
      <c r="G47" s="177" t="str">
        <f>VLOOKUP(A47,'Инвест политика'!$A$27:$H$131,8,FALSE)</f>
        <v>D</v>
      </c>
      <c r="H47" s="177" t="str">
        <f t="shared" si="0"/>
        <v>Ошибка, не численные значения</v>
      </c>
    </row>
    <row r="48" spans="1:8" x14ac:dyDescent="0.25">
      <c r="A48" s="175" t="str">
        <f>'Инвест политика'!A72</f>
        <v>RU000A0JWV63</v>
      </c>
      <c r="B48" t="s">
        <v>372</v>
      </c>
      <c r="C48">
        <v>3.6859999999999999</v>
      </c>
      <c r="D48">
        <v>5000000000</v>
      </c>
      <c r="E48" t="s">
        <v>370</v>
      </c>
      <c r="F48">
        <v>6</v>
      </c>
      <c r="G48" s="177" t="str">
        <f>VLOOKUP(A48,'Инвест политика'!$A$27:$H$131,8,FALSE)</f>
        <v>BB+</v>
      </c>
      <c r="H48" s="177">
        <f t="shared" si="0"/>
        <v>2</v>
      </c>
    </row>
    <row r="49" spans="1:8" x14ac:dyDescent="0.25">
      <c r="A49" s="175" t="str">
        <f>'Инвест политика'!A73</f>
        <v>RU000A0JVUK8</v>
      </c>
      <c r="B49" t="s">
        <v>373</v>
      </c>
      <c r="C49">
        <v>0.375</v>
      </c>
      <c r="D49">
        <v>5000000000</v>
      </c>
      <c r="E49" t="s">
        <v>370</v>
      </c>
      <c r="F49">
        <v>9</v>
      </c>
      <c r="G49" s="177" t="str">
        <f>VLOOKUP(A49,'Инвест политика'!$A$27:$H$131,8,FALSE)</f>
        <v>BB</v>
      </c>
      <c r="H49" s="177">
        <f t="shared" si="0"/>
        <v>2</v>
      </c>
    </row>
    <row r="50" spans="1:8" x14ac:dyDescent="0.25">
      <c r="A50" s="175" t="str">
        <f>'Инвест политика'!A74</f>
        <v>RU000A0JWYQ5</v>
      </c>
      <c r="B50" t="s">
        <v>374</v>
      </c>
      <c r="C50">
        <v>4.2860000000000005</v>
      </c>
      <c r="D50">
        <v>6500000000</v>
      </c>
      <c r="E50" t="s">
        <v>370</v>
      </c>
      <c r="F50">
        <v>9</v>
      </c>
      <c r="G50" s="177" t="str">
        <f>VLOOKUP(A50,'Инвест политика'!$A$27:$H$131,8,FALSE)</f>
        <v>BB</v>
      </c>
      <c r="H50" s="177">
        <f t="shared" si="0"/>
        <v>2</v>
      </c>
    </row>
    <row r="51" spans="1:8" x14ac:dyDescent="0.25">
      <c r="A51" s="175" t="str">
        <f>'Инвест политика'!A75</f>
        <v>RU000A100V79</v>
      </c>
      <c r="B51" t="s">
        <v>375</v>
      </c>
      <c r="C51">
        <v>5.8170000000000002</v>
      </c>
      <c r="D51">
        <v>10000000000</v>
      </c>
      <c r="E51" t="s">
        <v>370</v>
      </c>
      <c r="F51">
        <v>9</v>
      </c>
      <c r="G51" s="177" t="str">
        <f>VLOOKUP(A51,'Инвест политика'!$A$27:$H$131,8,FALSE)</f>
        <v>BB</v>
      </c>
      <c r="H51" s="177">
        <f t="shared" si="0"/>
        <v>2</v>
      </c>
    </row>
    <row r="52" spans="1:8" x14ac:dyDescent="0.25">
      <c r="A52" s="175" t="str">
        <f>'Инвест политика'!A76</f>
        <v>RU000A0JXVE5</v>
      </c>
      <c r="B52" t="s">
        <v>376</v>
      </c>
      <c r="C52">
        <v>0.59499999999999997</v>
      </c>
      <c r="D52">
        <v>20000000000</v>
      </c>
      <c r="E52" t="s">
        <v>370</v>
      </c>
      <c r="F52">
        <v>9</v>
      </c>
      <c r="G52" s="177" t="str">
        <f>VLOOKUP(A52,'Инвест политика'!$A$27:$H$131,8,FALSE)</f>
        <v>BB+</v>
      </c>
      <c r="H52" s="177">
        <f t="shared" si="0"/>
        <v>1</v>
      </c>
    </row>
    <row r="53" spans="1:8" x14ac:dyDescent="0.25">
      <c r="A53" s="175" t="str">
        <f>'Инвест политика'!A77</f>
        <v>RU000A101616</v>
      </c>
      <c r="B53" t="s">
        <v>348</v>
      </c>
      <c r="C53">
        <v>18.707000000000001</v>
      </c>
      <c r="D53">
        <v>150000000</v>
      </c>
      <c r="E53" t="s">
        <v>349</v>
      </c>
      <c r="F53">
        <v>8</v>
      </c>
      <c r="G53" s="177" t="str">
        <f>VLOOKUP(A53,'Инвест политика'!$A$27:$H$131,8,FALSE)</f>
        <v>BB+</v>
      </c>
      <c r="H53" s="177">
        <f t="shared" si="0"/>
        <v>1</v>
      </c>
    </row>
    <row r="54" spans="1:8" x14ac:dyDescent="0.25">
      <c r="A54" s="175" t="str">
        <f>'Инвест политика'!A78</f>
        <v>RU000A0JX2F6</v>
      </c>
      <c r="B54" t="s">
        <v>377</v>
      </c>
      <c r="C54">
        <v>1.036</v>
      </c>
      <c r="D54">
        <v>5000000000</v>
      </c>
      <c r="E54" t="s">
        <v>370</v>
      </c>
      <c r="F54">
        <v>8</v>
      </c>
      <c r="G54" s="177" t="str">
        <f>VLOOKUP(A54,'Инвест политика'!$A$27:$H$131,8,FALSE)</f>
        <v>BBB-</v>
      </c>
      <c r="H54" s="177">
        <f t="shared" si="0"/>
        <v>1</v>
      </c>
    </row>
    <row r="55" spans="1:8" x14ac:dyDescent="0.25">
      <c r="A55" s="175" t="str">
        <f>'Инвест политика'!A79</f>
        <v>RU000A0JTM36</v>
      </c>
      <c r="B55" t="s">
        <v>409</v>
      </c>
      <c r="C55">
        <v>1.151</v>
      </c>
      <c r="D55">
        <v>10000000000</v>
      </c>
      <c r="E55" t="s">
        <v>370</v>
      </c>
      <c r="F55">
        <v>9</v>
      </c>
      <c r="G55" s="177" t="str">
        <f>VLOOKUP(A55,'Инвест политика'!$A$27:$H$131,8,FALSE)</f>
        <v>BBB-</v>
      </c>
      <c r="H55" s="177">
        <f t="shared" si="0"/>
        <v>1</v>
      </c>
    </row>
    <row r="56" spans="1:8" x14ac:dyDescent="0.25">
      <c r="A56" s="175" t="str">
        <f>'Инвест политика'!A80</f>
        <v>RU000A0JTM51</v>
      </c>
      <c r="B56" t="s">
        <v>409</v>
      </c>
      <c r="C56">
        <v>1.151</v>
      </c>
      <c r="D56">
        <v>5000000000</v>
      </c>
      <c r="E56" t="s">
        <v>370</v>
      </c>
      <c r="F56">
        <v>9</v>
      </c>
      <c r="G56" s="177" t="str">
        <f>VLOOKUP(A56,'Инвест политика'!$A$27:$H$131,8,FALSE)</f>
        <v>BBB-</v>
      </c>
      <c r="H56" s="177">
        <f t="shared" si="0"/>
        <v>1</v>
      </c>
    </row>
    <row r="57" spans="1:8" x14ac:dyDescent="0.25">
      <c r="A57" s="175" t="str">
        <f>'Инвест политика'!A81</f>
        <v>RU000A101MZ4</v>
      </c>
      <c r="B57" t="s">
        <v>378</v>
      </c>
      <c r="C57">
        <v>1.417</v>
      </c>
      <c r="D57">
        <v>7000000000</v>
      </c>
      <c r="E57" t="s">
        <v>370</v>
      </c>
      <c r="F57">
        <v>6</v>
      </c>
      <c r="G57" s="177" t="str">
        <f>VLOOKUP(A57,'Инвест политика'!$A$27:$H$131,8,FALSE)</f>
        <v>A-</v>
      </c>
      <c r="H57" s="177">
        <f t="shared" si="0"/>
        <v>3</v>
      </c>
    </row>
    <row r="58" spans="1:8" x14ac:dyDescent="0.25">
      <c r="A58" s="175" t="str">
        <f>'Инвест политика'!A82</f>
        <v>RU000A0ZZZN8</v>
      </c>
      <c r="B58" t="s">
        <v>379</v>
      </c>
      <c r="C58">
        <v>7.9000000000000001E-2</v>
      </c>
      <c r="D58">
        <v>750000000</v>
      </c>
      <c r="E58" t="s">
        <v>370</v>
      </c>
      <c r="F58">
        <v>8</v>
      </c>
      <c r="G58" s="177" t="str">
        <f>VLOOKUP(A58,'Инвест политика'!$A$27:$H$131,8,FALSE)</f>
        <v>BB+</v>
      </c>
      <c r="H58" s="177">
        <f t="shared" si="0"/>
        <v>1</v>
      </c>
    </row>
    <row r="59" spans="1:8" x14ac:dyDescent="0.25">
      <c r="A59" s="175" t="str">
        <f>'Инвест политика'!A83</f>
        <v>RU000A1023K1</v>
      </c>
      <c r="B59" t="s">
        <v>380</v>
      </c>
      <c r="C59">
        <v>6.58</v>
      </c>
      <c r="D59">
        <v>10000000000</v>
      </c>
      <c r="E59" t="s">
        <v>370</v>
      </c>
      <c r="F59">
        <v>9</v>
      </c>
      <c r="G59" s="177" t="str">
        <f>VLOOKUP(A59,'Инвест политика'!$A$27:$H$131,8,FALSE)</f>
        <v>BB</v>
      </c>
      <c r="H59" s="177">
        <f t="shared" si="0"/>
        <v>2</v>
      </c>
    </row>
    <row r="60" spans="1:8" x14ac:dyDescent="0.25">
      <c r="A60" s="175" t="str">
        <f>'Инвест политика'!A84</f>
        <v>RU000A1023H7</v>
      </c>
      <c r="B60" t="s">
        <v>381</v>
      </c>
      <c r="C60">
        <v>1.905</v>
      </c>
      <c r="D60">
        <v>7000000000</v>
      </c>
      <c r="E60" t="s">
        <v>370</v>
      </c>
      <c r="F60" t="s">
        <v>407</v>
      </c>
      <c r="G60" s="177" t="str">
        <f>VLOOKUP(A60,'Инвест политика'!$A$27:$H$131,8,FALSE)</f>
        <v>A-</v>
      </c>
      <c r="H60" s="177" t="str">
        <f t="shared" si="0"/>
        <v>Ошибка, не численные значения</v>
      </c>
    </row>
    <row r="61" spans="1:8" x14ac:dyDescent="0.25">
      <c r="A61" s="175" t="str">
        <f>'Инвест политика'!A85</f>
        <v>RU000A102GY7</v>
      </c>
      <c r="B61" t="s">
        <v>382</v>
      </c>
      <c r="C61">
        <v>1.911</v>
      </c>
      <c r="D61">
        <v>4000000000</v>
      </c>
      <c r="E61" t="s">
        <v>370</v>
      </c>
      <c r="F61">
        <v>8</v>
      </c>
      <c r="G61" s="177" t="str">
        <f>VLOOKUP(A61,'Инвест политика'!$A$27:$H$131,8,FALSE)</f>
        <v>BB+</v>
      </c>
      <c r="H61" s="177">
        <f t="shared" si="0"/>
        <v>1</v>
      </c>
    </row>
    <row r="62" spans="1:8" x14ac:dyDescent="0.25">
      <c r="A62" s="175" t="str">
        <f>'Инвест политика'!A86</f>
        <v>RU000A102RF3</v>
      </c>
      <c r="B62" t="s">
        <v>438</v>
      </c>
      <c r="C62">
        <v>2.0739999999999998</v>
      </c>
      <c r="D62">
        <v>5000000000</v>
      </c>
      <c r="E62" t="s">
        <v>370</v>
      </c>
      <c r="F62">
        <v>8</v>
      </c>
      <c r="G62" s="177" t="str">
        <f>VLOOKUP(A62,'Инвест политика'!$A$27:$H$131,8,FALSE)</f>
        <v>BB</v>
      </c>
      <c r="H62" s="177">
        <f t="shared" si="0"/>
        <v>2</v>
      </c>
    </row>
    <row r="63" spans="1:8" x14ac:dyDescent="0.25">
      <c r="A63" s="175" t="str">
        <f>'Инвест политика'!A87</f>
        <v>RU000A103QH9</v>
      </c>
      <c r="B63" t="s">
        <v>579</v>
      </c>
      <c r="C63">
        <v>3.1930000000000001</v>
      </c>
      <c r="D63">
        <v>10000000000</v>
      </c>
      <c r="E63" t="s">
        <v>370</v>
      </c>
      <c r="F63">
        <v>7</v>
      </c>
      <c r="G63" s="177" t="str">
        <f>VLOOKUP(A63,'Инвест политика'!$A$27:$H$131,8,FALSE)</f>
        <v>B-</v>
      </c>
      <c r="H63" s="177">
        <f t="shared" si="0"/>
        <v>3</v>
      </c>
    </row>
    <row r="64" spans="1:8" x14ac:dyDescent="0.25">
      <c r="A64" s="175" t="str">
        <f>'Инвест политика'!A88</f>
        <v>RU000A103RD6</v>
      </c>
      <c r="B64" t="s">
        <v>580</v>
      </c>
      <c r="C64">
        <v>2.6989999999999998</v>
      </c>
      <c r="D64">
        <v>10000000000</v>
      </c>
      <c r="E64" t="s">
        <v>370</v>
      </c>
      <c r="F64">
        <v>7</v>
      </c>
      <c r="G64" s="177" t="str">
        <f>VLOOKUP(A64,'Инвест политика'!$A$27:$H$131,8,FALSE)</f>
        <v>BBB-</v>
      </c>
      <c r="H64" s="177">
        <f t="shared" si="0"/>
        <v>2</v>
      </c>
    </row>
    <row r="65" spans="1:8" x14ac:dyDescent="0.25">
      <c r="A65" s="175" t="str">
        <f>'Инвест политика'!A89</f>
        <v>RU000A0JW1P8</v>
      </c>
      <c r="B65" t="s">
        <v>565</v>
      </c>
      <c r="C65">
        <v>1.042</v>
      </c>
      <c r="D65">
        <v>4000000000</v>
      </c>
      <c r="E65" t="s">
        <v>370</v>
      </c>
      <c r="F65">
        <v>8</v>
      </c>
      <c r="G65" s="177" t="str">
        <f>VLOOKUP(A65,'Инвест политика'!$A$27:$H$131,8,FALSE)</f>
        <v>BB+</v>
      </c>
      <c r="H65" s="177">
        <f t="shared" si="0"/>
        <v>1</v>
      </c>
    </row>
    <row r="66" spans="1:8" x14ac:dyDescent="0.25">
      <c r="A66" s="175" t="str">
        <f>'Инвест политика'!A90</f>
        <v>RU000A0JV508</v>
      </c>
      <c r="B66" t="s">
        <v>371</v>
      </c>
      <c r="C66">
        <v>8.6950000000000003</v>
      </c>
      <c r="D66">
        <v>62501657.130000003</v>
      </c>
      <c r="E66" t="s">
        <v>370</v>
      </c>
      <c r="F66" t="s">
        <v>407</v>
      </c>
      <c r="G66" s="177" t="str">
        <f>VLOOKUP(A66,'Инвест политика'!$A$27:$H$131,8,FALSE)</f>
        <v>BBB-</v>
      </c>
      <c r="H66" s="177" t="str">
        <f t="shared" si="0"/>
        <v>Ошибка, не численные значения</v>
      </c>
    </row>
    <row r="67" spans="1:8" x14ac:dyDescent="0.25">
      <c r="A67" s="175" t="str">
        <f>'Инвест политика'!A91</f>
        <v>RU000A0JWV63</v>
      </c>
      <c r="B67" t="s">
        <v>372</v>
      </c>
      <c r="C67">
        <v>3.6859999999999999</v>
      </c>
      <c r="D67">
        <v>5000000000</v>
      </c>
      <c r="E67" t="s">
        <v>370</v>
      </c>
      <c r="F67">
        <v>6</v>
      </c>
      <c r="G67" s="177" t="str">
        <f>VLOOKUP(A67,'Инвест политика'!$A$27:$H$131,8,FALSE)</f>
        <v>BB+</v>
      </c>
      <c r="H67" s="177">
        <f t="shared" si="0"/>
        <v>2</v>
      </c>
    </row>
    <row r="68" spans="1:8" x14ac:dyDescent="0.25">
      <c r="A68" s="175" t="str">
        <f>'Инвест политика'!A92</f>
        <v>RU000A0ZYNY4</v>
      </c>
      <c r="B68" t="s">
        <v>566</v>
      </c>
      <c r="C68">
        <v>7.2549999999999999</v>
      </c>
      <c r="D68">
        <v>10000000000</v>
      </c>
      <c r="E68" t="s">
        <v>370</v>
      </c>
      <c r="F68">
        <v>8</v>
      </c>
      <c r="G68" s="177" t="str">
        <f>VLOOKUP(A68,'Инвест политика'!$A$27:$H$131,8,FALSE)</f>
        <v>BB+</v>
      </c>
      <c r="H68" s="177">
        <f t="shared" ref="H68:H131" si="1">Эшелонирование(F68,G68,C68)</f>
        <v>1</v>
      </c>
    </row>
    <row r="69" spans="1:8" x14ac:dyDescent="0.25">
      <c r="A69" s="175" t="str">
        <f>'Инвест политика'!A93</f>
        <v>RU000A0ZYR91</v>
      </c>
      <c r="B69" t="s">
        <v>2233</v>
      </c>
      <c r="C69">
        <v>7.101</v>
      </c>
      <c r="D69">
        <v>10000000000</v>
      </c>
      <c r="E69" t="s">
        <v>370</v>
      </c>
      <c r="F69">
        <v>9</v>
      </c>
      <c r="G69" s="177" t="str">
        <f>VLOOKUP(A69,'Инвест политика'!$A$27:$H$131,8,FALSE)</f>
        <v>BB+</v>
      </c>
      <c r="H69" s="177">
        <f t="shared" si="1"/>
        <v>1</v>
      </c>
    </row>
    <row r="70" spans="1:8" x14ac:dyDescent="0.25">
      <c r="A70" s="175" t="str">
        <f>'Инвест политика'!A94</f>
        <v>RU000A0JVUK8</v>
      </c>
      <c r="B70" t="s">
        <v>373</v>
      </c>
      <c r="C70">
        <v>0.375</v>
      </c>
      <c r="D70">
        <v>5000000000</v>
      </c>
      <c r="E70" t="s">
        <v>370</v>
      </c>
      <c r="F70">
        <v>9</v>
      </c>
      <c r="G70" s="177" t="str">
        <f>VLOOKUP(A70,'Инвест политика'!$A$27:$H$131,8,FALSE)</f>
        <v>BB</v>
      </c>
      <c r="H70" s="177">
        <f t="shared" si="1"/>
        <v>2</v>
      </c>
    </row>
    <row r="71" spans="1:8" x14ac:dyDescent="0.25">
      <c r="A71" s="175" t="str">
        <f>'Инвест политика'!A95</f>
        <v>RU000A0ZZ1J8</v>
      </c>
      <c r="B71" t="s">
        <v>567</v>
      </c>
      <c r="C71">
        <v>7.5949999999999998</v>
      </c>
      <c r="D71">
        <v>10000000000</v>
      </c>
      <c r="E71" t="s">
        <v>370</v>
      </c>
      <c r="F71">
        <v>9</v>
      </c>
      <c r="G71" s="177" t="str">
        <f>VLOOKUP(A71,'Инвест политика'!$A$27:$H$131,8,FALSE)</f>
        <v>BB+</v>
      </c>
      <c r="H71" s="177">
        <f t="shared" si="1"/>
        <v>1</v>
      </c>
    </row>
    <row r="72" spans="1:8" x14ac:dyDescent="0.25">
      <c r="A72" s="175" t="str">
        <f>'Инвест политика'!A96</f>
        <v>RU000A0JWYQ5</v>
      </c>
      <c r="B72" t="s">
        <v>374</v>
      </c>
      <c r="C72">
        <v>4.2860000000000005</v>
      </c>
      <c r="D72">
        <v>6500000000</v>
      </c>
      <c r="E72" t="s">
        <v>370</v>
      </c>
      <c r="F72">
        <v>9</v>
      </c>
      <c r="G72" s="177" t="str">
        <f>VLOOKUP(A72,'Инвест политика'!$A$27:$H$131,8,FALSE)</f>
        <v>BB</v>
      </c>
      <c r="H72" s="177">
        <f t="shared" si="1"/>
        <v>2</v>
      </c>
    </row>
    <row r="73" spans="1:8" x14ac:dyDescent="0.25">
      <c r="A73" s="175" t="str">
        <f>'Инвест политика'!A97</f>
        <v>RU000A0JVA10</v>
      </c>
      <c r="B73" t="s">
        <v>568</v>
      </c>
      <c r="C73">
        <v>1.6679999999999999</v>
      </c>
      <c r="D73">
        <v>5000000000</v>
      </c>
      <c r="E73" t="s">
        <v>370</v>
      </c>
      <c r="F73">
        <v>8</v>
      </c>
      <c r="G73" s="177" t="str">
        <f>VLOOKUP(A73,'Инвест политика'!$A$27:$H$131,8,FALSE)</f>
        <v>BB+</v>
      </c>
      <c r="H73" s="177">
        <f t="shared" si="1"/>
        <v>1</v>
      </c>
    </row>
    <row r="74" spans="1:8" x14ac:dyDescent="0.25">
      <c r="A74" s="175" t="str">
        <f>'Инвест политика'!A98</f>
        <v>RU000A0JVVA7</v>
      </c>
      <c r="B74" t="s">
        <v>383</v>
      </c>
      <c r="C74">
        <v>0.85899999999999999</v>
      </c>
      <c r="D74">
        <v>9000000000</v>
      </c>
      <c r="E74" t="s">
        <v>370</v>
      </c>
      <c r="F74">
        <v>8</v>
      </c>
      <c r="G74" s="177" t="str">
        <f>VLOOKUP(A74,'Инвест политика'!$A$27:$H$131,8,FALSE)</f>
        <v>BBB</v>
      </c>
      <c r="H74" s="177">
        <f t="shared" si="1"/>
        <v>1</v>
      </c>
    </row>
    <row r="75" spans="1:8" x14ac:dyDescent="0.25">
      <c r="A75" s="175" t="str">
        <f>'Инвест политика'!A99</f>
        <v>RU000A0JTVJ2</v>
      </c>
      <c r="B75" t="s">
        <v>384</v>
      </c>
      <c r="C75">
        <v>0.39200000000000002</v>
      </c>
      <c r="D75">
        <v>10000000000</v>
      </c>
      <c r="E75" t="s">
        <v>370</v>
      </c>
      <c r="F75">
        <v>7</v>
      </c>
      <c r="G75" s="177" t="str">
        <f>VLOOKUP(A75,'Инвест политика'!$A$27:$H$131,8,FALSE)</f>
        <v>BB+</v>
      </c>
      <c r="H75" s="177">
        <f t="shared" si="1"/>
        <v>2</v>
      </c>
    </row>
    <row r="76" spans="1:8" x14ac:dyDescent="0.25">
      <c r="A76" s="175" t="str">
        <f>'Инвест политика'!A100</f>
        <v>RU000A100VX2</v>
      </c>
      <c r="B76" t="s">
        <v>385</v>
      </c>
      <c r="C76">
        <v>5.9050000000000002</v>
      </c>
      <c r="D76">
        <v>7000000000</v>
      </c>
      <c r="E76" t="s">
        <v>370</v>
      </c>
      <c r="F76">
        <v>7</v>
      </c>
      <c r="G76" s="177" t="str">
        <f>VLOOKUP(A76,'Инвест политика'!$A$27:$H$131,8,FALSE)</f>
        <v>BBB-</v>
      </c>
      <c r="H76" s="177">
        <f t="shared" si="1"/>
        <v>2</v>
      </c>
    </row>
    <row r="77" spans="1:8" x14ac:dyDescent="0.25">
      <c r="A77" s="175" t="str">
        <f>'Инвест политика'!A101</f>
        <v>RU000A1008V9</v>
      </c>
      <c r="B77" t="s">
        <v>386</v>
      </c>
      <c r="C77">
        <v>0</v>
      </c>
      <c r="D77">
        <v>13400000000</v>
      </c>
      <c r="E77" t="s">
        <v>370</v>
      </c>
      <c r="F77">
        <v>8</v>
      </c>
      <c r="G77" s="177" t="str">
        <f>VLOOKUP(A77,'Инвест политика'!$A$27:$H$131,8,FALSE)</f>
        <v>BBB</v>
      </c>
      <c r="H77" s="177">
        <f t="shared" si="1"/>
        <v>2</v>
      </c>
    </row>
    <row r="78" spans="1:8" x14ac:dyDescent="0.25">
      <c r="A78" s="175" t="str">
        <f>'Инвест политика'!A102</f>
        <v>RU000A0JXVE5</v>
      </c>
      <c r="B78" t="s">
        <v>376</v>
      </c>
      <c r="C78">
        <v>0.59499999999999997</v>
      </c>
      <c r="D78">
        <v>20000000000</v>
      </c>
      <c r="E78" t="s">
        <v>370</v>
      </c>
      <c r="F78">
        <v>9</v>
      </c>
      <c r="G78" s="177" t="str">
        <f>VLOOKUP(A78,'Инвест политика'!$A$27:$H$131,8,FALSE)</f>
        <v>BB+</v>
      </c>
      <c r="H78" s="177">
        <f t="shared" si="1"/>
        <v>1</v>
      </c>
    </row>
    <row r="79" spans="1:8" x14ac:dyDescent="0.25">
      <c r="A79" s="175" t="str">
        <f>'Инвест политика'!A103</f>
        <v>RU000A101616</v>
      </c>
      <c r="B79" t="s">
        <v>348</v>
      </c>
      <c r="C79">
        <v>18.707000000000001</v>
      </c>
      <c r="D79">
        <v>150000000</v>
      </c>
      <c r="E79" t="s">
        <v>349</v>
      </c>
      <c r="F79">
        <v>8</v>
      </c>
      <c r="G79" s="177" t="str">
        <f>VLOOKUP(A79,'Инвест политика'!$A$27:$H$131,8,FALSE)</f>
        <v>BB+</v>
      </c>
      <c r="H79" s="177">
        <f t="shared" si="1"/>
        <v>1</v>
      </c>
    </row>
    <row r="80" spans="1:8" x14ac:dyDescent="0.25">
      <c r="A80" s="175" t="str">
        <f>'Инвест политика'!A104</f>
        <v>RU000A101D13</v>
      </c>
      <c r="B80" t="s">
        <v>387</v>
      </c>
      <c r="C80">
        <v>1.127</v>
      </c>
      <c r="D80">
        <v>10000000000</v>
      </c>
      <c r="E80" t="s">
        <v>370</v>
      </c>
      <c r="F80">
        <v>8</v>
      </c>
      <c r="G80" s="177" t="str">
        <f>VLOOKUP(A80,'Инвест политика'!$A$27:$H$131,8,FALSE)</f>
        <v>BB</v>
      </c>
      <c r="H80" s="177">
        <f t="shared" si="1"/>
        <v>2</v>
      </c>
    </row>
    <row r="81" spans="1:8" x14ac:dyDescent="0.25">
      <c r="A81" s="175" t="str">
        <f>'Инвест политика'!A105</f>
        <v>RU000A0JX1S1</v>
      </c>
      <c r="B81" t="s">
        <v>388</v>
      </c>
      <c r="C81">
        <v>1.0050000000000001</v>
      </c>
      <c r="D81">
        <v>15000000000</v>
      </c>
      <c r="E81" t="s">
        <v>370</v>
      </c>
      <c r="F81">
        <v>9</v>
      </c>
      <c r="G81" s="177" t="str">
        <f>VLOOKUP(A81,'Инвест политика'!$A$27:$H$131,8,FALSE)</f>
        <v>BBB</v>
      </c>
      <c r="H81" s="177">
        <f t="shared" si="1"/>
        <v>1</v>
      </c>
    </row>
    <row r="82" spans="1:8" x14ac:dyDescent="0.25">
      <c r="A82" s="175" t="str">
        <f>'Инвест политика'!A106</f>
        <v>RU000A101KK0</v>
      </c>
      <c r="B82" t="s">
        <v>389</v>
      </c>
      <c r="C82">
        <v>2.1539999999999999</v>
      </c>
      <c r="D82">
        <v>6500000000</v>
      </c>
      <c r="E82" t="s">
        <v>370</v>
      </c>
      <c r="F82">
        <v>7</v>
      </c>
      <c r="G82" s="177" t="str">
        <f>VLOOKUP(A82,'Инвест политика'!$A$27:$H$131,8,FALSE)</f>
        <v>BBB</v>
      </c>
      <c r="H82" s="177">
        <f t="shared" si="1"/>
        <v>3</v>
      </c>
    </row>
    <row r="83" spans="1:8" x14ac:dyDescent="0.25">
      <c r="A83" s="175" t="str">
        <f>'Инвест политика'!A107</f>
        <v>RU000A101MZ4</v>
      </c>
      <c r="B83" t="s">
        <v>378</v>
      </c>
      <c r="C83">
        <v>1.417</v>
      </c>
      <c r="D83">
        <v>7000000000</v>
      </c>
      <c r="E83" t="s">
        <v>370</v>
      </c>
      <c r="F83">
        <v>6</v>
      </c>
      <c r="G83" s="177" t="str">
        <f>VLOOKUP(A83,'Инвест политика'!$A$27:$H$131,8,FALSE)</f>
        <v>A-</v>
      </c>
      <c r="H83" s="177">
        <f t="shared" si="1"/>
        <v>3</v>
      </c>
    </row>
    <row r="84" spans="1:8" x14ac:dyDescent="0.25">
      <c r="A84" s="175" t="str">
        <f>'Инвест политика'!A108</f>
        <v>RU000A101S81</v>
      </c>
      <c r="B84" t="s">
        <v>391</v>
      </c>
      <c r="C84">
        <v>6.4619999999999997</v>
      </c>
      <c r="D84">
        <v>10000000000</v>
      </c>
      <c r="E84" t="s">
        <v>370</v>
      </c>
      <c r="F84">
        <v>7</v>
      </c>
      <c r="G84" s="177" t="str">
        <f>VLOOKUP(A84,'Инвест политика'!$A$27:$H$131,8,FALSE)</f>
        <v>BB-</v>
      </c>
      <c r="H84" s="177">
        <f t="shared" si="1"/>
        <v>2</v>
      </c>
    </row>
    <row r="85" spans="1:8" x14ac:dyDescent="0.25">
      <c r="A85" s="175" t="str">
        <f>'Инвест политика'!A109</f>
        <v>RU000A0ZZZN8</v>
      </c>
      <c r="B85" t="s">
        <v>379</v>
      </c>
      <c r="C85">
        <v>7.9000000000000001E-2</v>
      </c>
      <c r="D85">
        <v>750000000</v>
      </c>
      <c r="E85" t="s">
        <v>370</v>
      </c>
      <c r="F85">
        <v>8</v>
      </c>
      <c r="G85" s="177" t="str">
        <f>VLOOKUP(A85,'Инвест политика'!$A$27:$H$131,8,FALSE)</f>
        <v>BB+</v>
      </c>
      <c r="H85" s="177">
        <f t="shared" si="1"/>
        <v>1</v>
      </c>
    </row>
    <row r="86" spans="1:8" x14ac:dyDescent="0.25">
      <c r="A86" s="175" t="str">
        <f>'Инвест политика'!A110</f>
        <v>RU000A0JTLJ3</v>
      </c>
      <c r="B86" t="s">
        <v>393</v>
      </c>
      <c r="C86">
        <v>1.123</v>
      </c>
      <c r="D86">
        <v>5000000000</v>
      </c>
      <c r="E86" t="s">
        <v>370</v>
      </c>
      <c r="F86">
        <v>9</v>
      </c>
      <c r="G86" s="177" t="str">
        <f>VLOOKUP(A86,'Инвест политика'!$A$27:$H$131,8,FALSE)</f>
        <v>BBB-</v>
      </c>
      <c r="H86" s="177">
        <f t="shared" si="1"/>
        <v>1</v>
      </c>
    </row>
    <row r="87" spans="1:8" x14ac:dyDescent="0.25">
      <c r="A87" s="175" t="str">
        <f>'Инвест политика'!A111</f>
        <v>RU000A0JTLL9</v>
      </c>
      <c r="B87" t="s">
        <v>393</v>
      </c>
      <c r="C87">
        <v>1.123</v>
      </c>
      <c r="D87">
        <v>5000000000</v>
      </c>
      <c r="E87" t="s">
        <v>370</v>
      </c>
      <c r="F87">
        <v>8</v>
      </c>
      <c r="G87" s="177" t="str">
        <f>VLOOKUP(A87,'Инвест политика'!$A$27:$H$131,8,FALSE)</f>
        <v>BBB-</v>
      </c>
      <c r="H87" s="177">
        <f t="shared" si="1"/>
        <v>1</v>
      </c>
    </row>
    <row r="88" spans="1:8" x14ac:dyDescent="0.25">
      <c r="A88" s="175" t="str">
        <f>'Инвест политика'!A112</f>
        <v>RU000A102Y58</v>
      </c>
      <c r="B88" t="s">
        <v>468</v>
      </c>
      <c r="C88">
        <v>2.11</v>
      </c>
      <c r="D88">
        <v>6000000000</v>
      </c>
      <c r="E88" t="s">
        <v>370</v>
      </c>
      <c r="F88">
        <v>8</v>
      </c>
      <c r="G88" s="177" t="str">
        <f>VLOOKUP(A88,'Инвест политика'!$A$27:$H$131,8,FALSE)</f>
        <v>B+</v>
      </c>
      <c r="H88" s="177">
        <f t="shared" si="1"/>
        <v>2</v>
      </c>
    </row>
    <row r="89" spans="1:8" x14ac:dyDescent="0.25">
      <c r="A89" s="175" t="str">
        <f>'Инвест политика'!A113</f>
        <v>RU000A0JS5R1</v>
      </c>
      <c r="B89" t="s">
        <v>469</v>
      </c>
      <c r="C89">
        <v>0.315</v>
      </c>
      <c r="D89">
        <v>5000000000</v>
      </c>
      <c r="E89" t="s">
        <v>370</v>
      </c>
      <c r="F89">
        <v>6</v>
      </c>
      <c r="G89" s="177" t="str">
        <f>VLOOKUP(A89,'Инвест политика'!$A$27:$H$131,8,FALSE)</f>
        <v>B+</v>
      </c>
      <c r="H89" s="177">
        <f t="shared" si="1"/>
        <v>3</v>
      </c>
    </row>
    <row r="90" spans="1:8" x14ac:dyDescent="0.25">
      <c r="A90" s="175" t="str">
        <f>'Инвест политика'!A114</f>
        <v>RU000A0JS603</v>
      </c>
      <c r="B90" t="s">
        <v>470</v>
      </c>
      <c r="C90">
        <v>0.70200000000000007</v>
      </c>
      <c r="D90">
        <v>5000000000</v>
      </c>
      <c r="E90" t="s">
        <v>370</v>
      </c>
      <c r="F90">
        <v>8</v>
      </c>
      <c r="G90" s="177" t="str">
        <f>VLOOKUP(A90,'Инвест политика'!$A$27:$H$131,8,FALSE)</f>
        <v>B+</v>
      </c>
      <c r="H90" s="177">
        <f t="shared" si="1"/>
        <v>2</v>
      </c>
    </row>
    <row r="91" spans="1:8" x14ac:dyDescent="0.25">
      <c r="A91" s="175" t="str">
        <f>'Инвест политика'!A115</f>
        <v>RU000A0JXSF8</v>
      </c>
      <c r="B91" t="s">
        <v>481</v>
      </c>
      <c r="C91">
        <v>4.4089999999999998</v>
      </c>
      <c r="D91">
        <v>10000000000</v>
      </c>
      <c r="E91" t="s">
        <v>370</v>
      </c>
      <c r="F91">
        <v>7</v>
      </c>
      <c r="G91" s="177" t="str">
        <f>VLOOKUP(A91,'Инвест политика'!$A$27:$H$131,8,FALSE)</f>
        <v>B+</v>
      </c>
      <c r="H91" s="177">
        <f t="shared" si="1"/>
        <v>3</v>
      </c>
    </row>
    <row r="92" spans="1:8" x14ac:dyDescent="0.25">
      <c r="A92" s="175" t="str">
        <f>'Инвест политика'!A116</f>
        <v>RU000A0ZYZ26</v>
      </c>
      <c r="B92" t="s">
        <v>394</v>
      </c>
      <c r="C92">
        <v>5.7309999999999999</v>
      </c>
      <c r="D92">
        <v>276950000000</v>
      </c>
      <c r="E92" t="s">
        <v>370</v>
      </c>
      <c r="F92">
        <v>8</v>
      </c>
      <c r="G92" s="177" t="str">
        <f>VLOOKUP(A92,'Инвест политика'!$A$27:$H$131,8,FALSE)</f>
        <v>BBB-</v>
      </c>
      <c r="H92" s="177">
        <f t="shared" si="1"/>
        <v>1</v>
      </c>
    </row>
    <row r="93" spans="1:8" x14ac:dyDescent="0.25">
      <c r="A93" s="175" t="str">
        <f>'Инвест политика'!A117</f>
        <v>RU000A1014N4</v>
      </c>
      <c r="B93" t="s">
        <v>396</v>
      </c>
      <c r="C93">
        <v>4.9480000000000004</v>
      </c>
      <c r="D93">
        <v>450000000000</v>
      </c>
      <c r="E93" t="s">
        <v>370</v>
      </c>
      <c r="F93">
        <v>9</v>
      </c>
      <c r="G93" s="177" t="str">
        <f>VLOOKUP(A93,'Инвест политика'!$A$27:$H$131,8,FALSE)</f>
        <v>BBB-</v>
      </c>
      <c r="H93" s="177">
        <f t="shared" si="1"/>
        <v>1</v>
      </c>
    </row>
    <row r="94" spans="1:8" x14ac:dyDescent="0.25">
      <c r="A94" s="175" t="str">
        <f>'Инвест политика'!A118</f>
        <v>RU000A0JV4M0</v>
      </c>
      <c r="B94" t="s">
        <v>569</v>
      </c>
      <c r="C94">
        <v>4.4249999999999998</v>
      </c>
      <c r="D94">
        <v>190287001000</v>
      </c>
      <c r="E94" t="s">
        <v>370</v>
      </c>
      <c r="F94">
        <v>9</v>
      </c>
      <c r="G94" s="177" t="str">
        <f>VLOOKUP(A94,'Инвест политика'!$A$27:$H$131,8,FALSE)</f>
        <v>BBB-</v>
      </c>
      <c r="H94" s="177">
        <f t="shared" si="1"/>
        <v>1</v>
      </c>
    </row>
    <row r="95" spans="1:8" x14ac:dyDescent="0.25">
      <c r="A95" s="175">
        <f>'Инвест политика'!A119</f>
        <v>0</v>
      </c>
      <c r="B95" t="s">
        <v>410</v>
      </c>
      <c r="C95" t="s">
        <v>2235</v>
      </c>
      <c r="D95">
        <v>0</v>
      </c>
      <c r="E95" t="s">
        <v>370</v>
      </c>
      <c r="F95" t="s">
        <v>407</v>
      </c>
      <c r="G95" s="177" t="e">
        <f>VLOOKUP(A95,'Инвест политика'!$A$27:$H$131,8,FALSE)</f>
        <v>#N/A</v>
      </c>
      <c r="H95" s="177" t="str">
        <f t="shared" si="1"/>
        <v>Ошибка, не численные значения</v>
      </c>
    </row>
    <row r="96" spans="1:8" x14ac:dyDescent="0.25">
      <c r="A96" s="175">
        <f>'Инвест политика'!A120</f>
        <v>0</v>
      </c>
      <c r="B96" t="s">
        <v>410</v>
      </c>
      <c r="C96" t="s">
        <v>2235</v>
      </c>
      <c r="D96">
        <v>0</v>
      </c>
      <c r="E96" t="s">
        <v>370</v>
      </c>
      <c r="F96" t="s">
        <v>407</v>
      </c>
      <c r="G96" s="177" t="e">
        <f>VLOOKUP(A96,'Инвест политика'!$A$27:$H$131,8,FALSE)</f>
        <v>#N/A</v>
      </c>
      <c r="H96" s="177" t="str">
        <f t="shared" si="1"/>
        <v>Ошибка, не численные значения</v>
      </c>
    </row>
    <row r="97" spans="1:8" x14ac:dyDescent="0.25">
      <c r="A97" s="175">
        <f>'Инвест политика'!A121</f>
        <v>0</v>
      </c>
      <c r="B97" t="s">
        <v>410</v>
      </c>
      <c r="C97" t="s">
        <v>2235</v>
      </c>
      <c r="D97">
        <v>0</v>
      </c>
      <c r="E97" t="s">
        <v>370</v>
      </c>
      <c r="F97" t="s">
        <v>407</v>
      </c>
      <c r="G97" s="177" t="e">
        <f>VLOOKUP(A97,'Инвест политика'!$A$27:$H$131,8,FALSE)</f>
        <v>#N/A</v>
      </c>
      <c r="H97" s="177" t="str">
        <f t="shared" si="1"/>
        <v>Ошибка, не численные значения</v>
      </c>
    </row>
    <row r="98" spans="1:8" x14ac:dyDescent="0.25">
      <c r="A98" s="175">
        <f>'Инвест политика'!A122</f>
        <v>0</v>
      </c>
      <c r="B98" t="s">
        <v>410</v>
      </c>
      <c r="C98" t="s">
        <v>2235</v>
      </c>
      <c r="D98">
        <v>0</v>
      </c>
      <c r="E98" t="s">
        <v>370</v>
      </c>
      <c r="F98" t="s">
        <v>407</v>
      </c>
      <c r="G98" s="177" t="e">
        <f>VLOOKUP(A98,'Инвест политика'!$A$27:$H$131,8,FALSE)</f>
        <v>#N/A</v>
      </c>
      <c r="H98" s="177" t="str">
        <f t="shared" si="1"/>
        <v>Ошибка, не численные значения</v>
      </c>
    </row>
    <row r="99" spans="1:8" x14ac:dyDescent="0.25">
      <c r="A99" s="175">
        <f>'Инвест политика'!A123</f>
        <v>0</v>
      </c>
      <c r="B99" t="s">
        <v>410</v>
      </c>
      <c r="C99" t="s">
        <v>2235</v>
      </c>
      <c r="D99">
        <v>0</v>
      </c>
      <c r="E99" t="s">
        <v>370</v>
      </c>
      <c r="F99" t="s">
        <v>407</v>
      </c>
      <c r="G99" s="177" t="e">
        <f>VLOOKUP(A99,'Инвест политика'!$A$27:$H$131,8,FALSE)</f>
        <v>#N/A</v>
      </c>
      <c r="H99" s="177" t="str">
        <f t="shared" si="1"/>
        <v>Ошибка, не численные значения</v>
      </c>
    </row>
    <row r="100" spans="1:8" x14ac:dyDescent="0.25">
      <c r="A100" s="175">
        <f>'Инвест политика'!A124</f>
        <v>0</v>
      </c>
      <c r="B100" t="s">
        <v>410</v>
      </c>
      <c r="C100" t="s">
        <v>2235</v>
      </c>
      <c r="D100">
        <v>0</v>
      </c>
      <c r="E100" t="s">
        <v>370</v>
      </c>
      <c r="F100" t="s">
        <v>407</v>
      </c>
      <c r="G100" s="177" t="e">
        <f>VLOOKUP(A100,'Инвест политика'!$A$27:$H$131,8,FALSE)</f>
        <v>#N/A</v>
      </c>
      <c r="H100" s="177" t="str">
        <f t="shared" si="1"/>
        <v>Ошибка, не численные значения</v>
      </c>
    </row>
    <row r="101" spans="1:8" x14ac:dyDescent="0.25">
      <c r="A101" s="175">
        <f>'Инвест политика'!A125</f>
        <v>0</v>
      </c>
      <c r="B101" t="s">
        <v>410</v>
      </c>
      <c r="C101" t="s">
        <v>2235</v>
      </c>
      <c r="D101">
        <v>0</v>
      </c>
      <c r="E101" t="s">
        <v>370</v>
      </c>
      <c r="F101" t="s">
        <v>407</v>
      </c>
      <c r="G101" s="177" t="e">
        <f>VLOOKUP(A101,'Инвест политика'!$A$27:$H$131,8,FALSE)</f>
        <v>#N/A</v>
      </c>
      <c r="H101" s="177" t="str">
        <f t="shared" si="1"/>
        <v>Ошибка, не численные значения</v>
      </c>
    </row>
    <row r="102" spans="1:8" x14ac:dyDescent="0.25">
      <c r="A102" s="175">
        <f>'Инвест политика'!A126</f>
        <v>0</v>
      </c>
      <c r="B102" t="s">
        <v>410</v>
      </c>
      <c r="C102" t="s">
        <v>2235</v>
      </c>
      <c r="D102">
        <v>0</v>
      </c>
      <c r="E102" t="s">
        <v>370</v>
      </c>
      <c r="F102" t="s">
        <v>407</v>
      </c>
      <c r="G102" s="177" t="e">
        <f>VLOOKUP(A102,'Инвест политика'!$A$27:$H$131,8,FALSE)</f>
        <v>#N/A</v>
      </c>
      <c r="H102" s="177" t="str">
        <f t="shared" si="1"/>
        <v>Ошибка, не численные значения</v>
      </c>
    </row>
    <row r="103" spans="1:8" x14ac:dyDescent="0.25">
      <c r="A103" s="175">
        <f>'Инвест политика'!A127</f>
        <v>0</v>
      </c>
      <c r="B103" t="s">
        <v>410</v>
      </c>
      <c r="C103" t="s">
        <v>2235</v>
      </c>
      <c r="D103">
        <v>0</v>
      </c>
      <c r="E103" t="s">
        <v>370</v>
      </c>
      <c r="F103" t="s">
        <v>407</v>
      </c>
      <c r="G103" s="177" t="e">
        <f>VLOOKUP(A103,'Инвест политика'!$A$27:$H$131,8,FALSE)</f>
        <v>#N/A</v>
      </c>
      <c r="H103" s="177" t="str">
        <f t="shared" si="1"/>
        <v>Ошибка, не численные значения</v>
      </c>
    </row>
    <row r="104" spans="1:8" x14ac:dyDescent="0.25">
      <c r="A104" s="175">
        <f>'Инвест политика'!A128</f>
        <v>0</v>
      </c>
      <c r="B104" t="s">
        <v>410</v>
      </c>
      <c r="C104" t="s">
        <v>2235</v>
      </c>
      <c r="D104">
        <v>0</v>
      </c>
      <c r="E104" t="s">
        <v>370</v>
      </c>
      <c r="F104" t="s">
        <v>407</v>
      </c>
      <c r="G104" s="177" t="e">
        <f>VLOOKUP(A104,'Инвест политика'!$A$27:$H$131,8,FALSE)</f>
        <v>#N/A</v>
      </c>
      <c r="H104" s="177" t="str">
        <f t="shared" si="1"/>
        <v>Ошибка, не численные значения</v>
      </c>
    </row>
    <row r="105" spans="1:8" x14ac:dyDescent="0.25">
      <c r="A105" s="175">
        <f>'Инвест политика'!A129</f>
        <v>0</v>
      </c>
      <c r="B105" t="s">
        <v>410</v>
      </c>
      <c r="C105" t="s">
        <v>2235</v>
      </c>
      <c r="D105">
        <v>0</v>
      </c>
      <c r="E105" t="s">
        <v>370</v>
      </c>
      <c r="F105" t="s">
        <v>407</v>
      </c>
      <c r="G105" s="177" t="e">
        <f>VLOOKUP(A105,'Инвест политика'!$A$27:$H$131,8,FALSE)</f>
        <v>#N/A</v>
      </c>
      <c r="H105" s="177" t="str">
        <f t="shared" si="1"/>
        <v>Ошибка, не численные значения</v>
      </c>
    </row>
    <row r="106" spans="1:8" x14ac:dyDescent="0.25">
      <c r="A106" s="175">
        <f>'Инвест политика'!A130</f>
        <v>0</v>
      </c>
      <c r="B106" t="s">
        <v>410</v>
      </c>
      <c r="C106" t="s">
        <v>2235</v>
      </c>
      <c r="D106">
        <v>0</v>
      </c>
      <c r="E106" t="s">
        <v>370</v>
      </c>
      <c r="F106" t="s">
        <v>407</v>
      </c>
      <c r="G106" s="177" t="e">
        <f>VLOOKUP(A106,'Инвест политика'!$A$27:$H$131,8,FALSE)</f>
        <v>#N/A</v>
      </c>
      <c r="H106" s="177" t="str">
        <f t="shared" si="1"/>
        <v>Ошибка, не численные значения</v>
      </c>
    </row>
    <row r="107" spans="1:8" x14ac:dyDescent="0.25">
      <c r="A107" s="175">
        <f>'Инвест политика'!A131</f>
        <v>0</v>
      </c>
      <c r="B107" t="s">
        <v>410</v>
      </c>
      <c r="C107" t="s">
        <v>2235</v>
      </c>
      <c r="D107">
        <v>0</v>
      </c>
      <c r="E107" t="s">
        <v>370</v>
      </c>
      <c r="F107" t="s">
        <v>407</v>
      </c>
      <c r="G107" s="177" t="e">
        <f>VLOOKUP(A107,'Инвест политика'!$A$27:$H$131,8,FALSE)</f>
        <v>#N/A</v>
      </c>
      <c r="H107" s="177" t="str">
        <f t="shared" si="1"/>
        <v>Ошибка, не численные значения</v>
      </c>
    </row>
    <row r="108" spans="1:8" x14ac:dyDescent="0.25">
      <c r="A108" s="175">
        <f>'Инвест политика'!A132</f>
        <v>0</v>
      </c>
      <c r="B108" t="s">
        <v>410</v>
      </c>
      <c r="C108" t="s">
        <v>2235</v>
      </c>
      <c r="D108">
        <v>0</v>
      </c>
      <c r="E108" t="s">
        <v>370</v>
      </c>
      <c r="F108" t="s">
        <v>407</v>
      </c>
      <c r="G108" s="177" t="e">
        <f>VLOOKUP(A108,'Инвест политика'!$A$27:$H$131,8,FALSE)</f>
        <v>#N/A</v>
      </c>
      <c r="H108" s="177" t="str">
        <f t="shared" si="1"/>
        <v>Ошибка, не численные значения</v>
      </c>
    </row>
    <row r="109" spans="1:8" x14ac:dyDescent="0.25">
      <c r="A109" s="175">
        <f>'Инвест политика'!A133</f>
        <v>0</v>
      </c>
      <c r="B109" t="s">
        <v>410</v>
      </c>
      <c r="C109" t="s">
        <v>2235</v>
      </c>
      <c r="D109">
        <v>0</v>
      </c>
      <c r="E109" t="s">
        <v>370</v>
      </c>
      <c r="F109" t="s">
        <v>407</v>
      </c>
      <c r="G109" s="177" t="e">
        <f>VLOOKUP(A109,'Инвест политика'!$A$27:$H$131,8,FALSE)</f>
        <v>#N/A</v>
      </c>
      <c r="H109" s="177" t="str">
        <f t="shared" si="1"/>
        <v>Ошибка, не численные значения</v>
      </c>
    </row>
    <row r="110" spans="1:8" x14ac:dyDescent="0.25">
      <c r="A110" s="175">
        <f>'Инвест политика'!A134</f>
        <v>0</v>
      </c>
      <c r="B110" t="s">
        <v>410</v>
      </c>
      <c r="C110" t="s">
        <v>2235</v>
      </c>
      <c r="D110">
        <v>0</v>
      </c>
      <c r="E110" t="s">
        <v>370</v>
      </c>
      <c r="F110" t="s">
        <v>407</v>
      </c>
      <c r="G110" s="177" t="e">
        <f>VLOOKUP(A110,'Инвест политика'!$A$27:$H$131,8,FALSE)</f>
        <v>#N/A</v>
      </c>
      <c r="H110" s="177" t="str">
        <f t="shared" si="1"/>
        <v>Ошибка, не численные значения</v>
      </c>
    </row>
    <row r="111" spans="1:8" x14ac:dyDescent="0.25">
      <c r="A111" s="175">
        <f>'Инвест политика'!A135</f>
        <v>0</v>
      </c>
      <c r="B111" t="s">
        <v>410</v>
      </c>
      <c r="C111" t="s">
        <v>2235</v>
      </c>
      <c r="D111">
        <v>0</v>
      </c>
      <c r="E111" t="s">
        <v>370</v>
      </c>
      <c r="F111" t="s">
        <v>407</v>
      </c>
      <c r="G111" s="177" t="e">
        <f>VLOOKUP(A111,'Инвест политика'!$A$27:$H$131,8,FALSE)</f>
        <v>#N/A</v>
      </c>
      <c r="H111" s="177" t="str">
        <f t="shared" si="1"/>
        <v>Ошибка, не численные значения</v>
      </c>
    </row>
    <row r="112" spans="1:8" x14ac:dyDescent="0.25">
      <c r="A112" s="175">
        <f>'Инвест политика'!A136</f>
        <v>0</v>
      </c>
      <c r="B112" t="s">
        <v>410</v>
      </c>
      <c r="C112" t="s">
        <v>2235</v>
      </c>
      <c r="D112">
        <v>0</v>
      </c>
      <c r="E112" t="s">
        <v>370</v>
      </c>
      <c r="F112" t="s">
        <v>407</v>
      </c>
      <c r="G112" s="177" t="e">
        <f>VLOOKUP(A112,'Инвест политика'!$A$27:$H$131,8,FALSE)</f>
        <v>#N/A</v>
      </c>
      <c r="H112" s="177" t="str">
        <f t="shared" si="1"/>
        <v>Ошибка, не численные значения</v>
      </c>
    </row>
    <row r="113" spans="1:8" x14ac:dyDescent="0.25">
      <c r="A113" s="175">
        <f>'Инвест политика'!A137</f>
        <v>0</v>
      </c>
      <c r="B113" t="s">
        <v>410</v>
      </c>
      <c r="C113" t="s">
        <v>2235</v>
      </c>
      <c r="D113">
        <v>0</v>
      </c>
      <c r="E113" t="s">
        <v>370</v>
      </c>
      <c r="F113" t="s">
        <v>407</v>
      </c>
      <c r="G113" s="177" t="e">
        <f>VLOOKUP(A113,'Инвест политика'!$A$27:$H$131,8,FALSE)</f>
        <v>#N/A</v>
      </c>
      <c r="H113" s="177" t="str">
        <f t="shared" si="1"/>
        <v>Ошибка, не численные значения</v>
      </c>
    </row>
    <row r="114" spans="1:8" x14ac:dyDescent="0.25">
      <c r="A114" s="175">
        <f>'Инвест политика'!A138</f>
        <v>0</v>
      </c>
      <c r="B114" t="s">
        <v>410</v>
      </c>
      <c r="C114" t="s">
        <v>2235</v>
      </c>
      <c r="D114">
        <v>0</v>
      </c>
      <c r="E114" t="s">
        <v>370</v>
      </c>
      <c r="F114" t="s">
        <v>407</v>
      </c>
      <c r="G114" s="177" t="e">
        <f>VLOOKUP(A114,'Инвест политика'!$A$27:$H$131,8,FALSE)</f>
        <v>#N/A</v>
      </c>
      <c r="H114" s="177" t="str">
        <f t="shared" si="1"/>
        <v>Ошибка, не численные значения</v>
      </c>
    </row>
    <row r="115" spans="1:8" x14ac:dyDescent="0.25">
      <c r="A115" s="175">
        <f>'Инвест политика'!A139</f>
        <v>0</v>
      </c>
      <c r="B115" t="s">
        <v>410</v>
      </c>
      <c r="C115" t="s">
        <v>2235</v>
      </c>
      <c r="D115">
        <v>0</v>
      </c>
      <c r="E115" t="s">
        <v>370</v>
      </c>
      <c r="F115" t="s">
        <v>407</v>
      </c>
      <c r="G115" s="177" t="e">
        <f>VLOOKUP(A115,'Инвест политика'!$A$27:$H$131,8,FALSE)</f>
        <v>#N/A</v>
      </c>
      <c r="H115" s="177" t="str">
        <f t="shared" si="1"/>
        <v>Ошибка, не численные значения</v>
      </c>
    </row>
    <row r="116" spans="1:8" x14ac:dyDescent="0.25">
      <c r="A116" s="175">
        <f>'Инвест политика'!A140</f>
        <v>0</v>
      </c>
      <c r="B116" t="s">
        <v>410</v>
      </c>
      <c r="C116" t="s">
        <v>2235</v>
      </c>
      <c r="D116">
        <v>0</v>
      </c>
      <c r="E116" t="s">
        <v>370</v>
      </c>
      <c r="F116" t="s">
        <v>407</v>
      </c>
      <c r="G116" s="177" t="e">
        <f>VLOOKUP(A116,'Инвест политика'!$A$27:$H$131,8,FALSE)</f>
        <v>#N/A</v>
      </c>
      <c r="H116" s="177" t="str">
        <f t="shared" si="1"/>
        <v>Ошибка, не численные значения</v>
      </c>
    </row>
    <row r="117" spans="1:8" x14ac:dyDescent="0.25">
      <c r="A117" s="175">
        <f>'Инвест политика'!A141</f>
        <v>0</v>
      </c>
      <c r="B117" t="s">
        <v>410</v>
      </c>
      <c r="C117" t="s">
        <v>2235</v>
      </c>
      <c r="D117">
        <v>0</v>
      </c>
      <c r="E117" t="s">
        <v>370</v>
      </c>
      <c r="F117" t="s">
        <v>407</v>
      </c>
      <c r="G117" s="177" t="e">
        <f>VLOOKUP(A117,'Инвест политика'!$A$27:$H$131,8,FALSE)</f>
        <v>#N/A</v>
      </c>
      <c r="H117" s="177" t="str">
        <f t="shared" si="1"/>
        <v>Ошибка, не численные значения</v>
      </c>
    </row>
    <row r="118" spans="1:8" x14ac:dyDescent="0.25">
      <c r="A118" s="175">
        <f>'Инвест политика'!A142</f>
        <v>0</v>
      </c>
      <c r="B118" t="s">
        <v>410</v>
      </c>
      <c r="C118" t="s">
        <v>2235</v>
      </c>
      <c r="D118">
        <v>0</v>
      </c>
      <c r="E118" t="s">
        <v>370</v>
      </c>
      <c r="F118" t="s">
        <v>407</v>
      </c>
      <c r="G118" s="177" t="e">
        <f>VLOOKUP(A118,'Инвест политика'!$A$27:$H$131,8,FALSE)</f>
        <v>#N/A</v>
      </c>
      <c r="H118" s="177" t="str">
        <f t="shared" si="1"/>
        <v>Ошибка, не численные значения</v>
      </c>
    </row>
    <row r="119" spans="1:8" x14ac:dyDescent="0.25">
      <c r="A119" s="175">
        <f>'Инвест политика'!A143</f>
        <v>0</v>
      </c>
      <c r="B119" t="s">
        <v>410</v>
      </c>
      <c r="C119" t="s">
        <v>2235</v>
      </c>
      <c r="D119">
        <v>0</v>
      </c>
      <c r="E119" t="s">
        <v>370</v>
      </c>
      <c r="F119" t="s">
        <v>407</v>
      </c>
      <c r="G119" s="177" t="e">
        <f>VLOOKUP(A119,'Инвест политика'!$A$27:$H$131,8,FALSE)</f>
        <v>#N/A</v>
      </c>
      <c r="H119" s="177" t="str">
        <f t="shared" si="1"/>
        <v>Ошибка, не численные значения</v>
      </c>
    </row>
    <row r="120" spans="1:8" x14ac:dyDescent="0.25">
      <c r="A120" s="175">
        <f>'Инвест политика'!A144</f>
        <v>0</v>
      </c>
      <c r="B120" t="s">
        <v>410</v>
      </c>
      <c r="C120" t="s">
        <v>2235</v>
      </c>
      <c r="D120">
        <v>0</v>
      </c>
      <c r="E120" t="s">
        <v>370</v>
      </c>
      <c r="F120" t="s">
        <v>407</v>
      </c>
      <c r="G120" s="177" t="e">
        <f>VLOOKUP(A120,'Инвест политика'!$A$27:$H$131,8,FALSE)</f>
        <v>#N/A</v>
      </c>
      <c r="H120" s="177" t="str">
        <f t="shared" si="1"/>
        <v>Ошибка, не численные значения</v>
      </c>
    </row>
    <row r="121" spans="1:8" x14ac:dyDescent="0.25">
      <c r="A121" s="175">
        <f>'Инвест политика'!A145</f>
        <v>0</v>
      </c>
      <c r="B121" t="s">
        <v>410</v>
      </c>
      <c r="C121" t="s">
        <v>2235</v>
      </c>
      <c r="D121">
        <v>0</v>
      </c>
      <c r="E121" t="s">
        <v>370</v>
      </c>
      <c r="F121" t="s">
        <v>407</v>
      </c>
      <c r="G121" s="177" t="e">
        <f>VLOOKUP(A121,'Инвест политика'!$A$27:$H$131,8,FALSE)</f>
        <v>#N/A</v>
      </c>
      <c r="H121" s="177" t="str">
        <f t="shared" si="1"/>
        <v>Ошибка, не численные значения</v>
      </c>
    </row>
    <row r="122" spans="1:8" x14ac:dyDescent="0.25">
      <c r="A122" s="175">
        <f>'Инвест политика'!A146</f>
        <v>0</v>
      </c>
      <c r="B122" t="s">
        <v>410</v>
      </c>
      <c r="C122" t="s">
        <v>2235</v>
      </c>
      <c r="D122">
        <v>0</v>
      </c>
      <c r="E122" t="s">
        <v>370</v>
      </c>
      <c r="F122" t="s">
        <v>407</v>
      </c>
      <c r="G122" s="177" t="e">
        <f>VLOOKUP(A122,'Инвест политика'!$A$27:$H$131,8,FALSE)</f>
        <v>#N/A</v>
      </c>
      <c r="H122" s="177" t="str">
        <f t="shared" si="1"/>
        <v>Ошибка, не численные значения</v>
      </c>
    </row>
    <row r="123" spans="1:8" x14ac:dyDescent="0.25">
      <c r="A123" s="175">
        <f>'Инвест политика'!A147</f>
        <v>0</v>
      </c>
      <c r="B123" t="s">
        <v>410</v>
      </c>
      <c r="C123" t="s">
        <v>2235</v>
      </c>
      <c r="D123">
        <v>0</v>
      </c>
      <c r="E123" t="s">
        <v>370</v>
      </c>
      <c r="F123" t="s">
        <v>407</v>
      </c>
      <c r="G123" s="177" t="e">
        <f>VLOOKUP(A123,'Инвест политика'!$A$27:$H$131,8,FALSE)</f>
        <v>#N/A</v>
      </c>
      <c r="H123" s="177" t="str">
        <f t="shared" si="1"/>
        <v>Ошибка, не численные значения</v>
      </c>
    </row>
    <row r="124" spans="1:8" x14ac:dyDescent="0.25">
      <c r="A124" s="175">
        <f>'Инвест политика'!A148</f>
        <v>0</v>
      </c>
      <c r="B124" t="s">
        <v>410</v>
      </c>
      <c r="C124" t="s">
        <v>2235</v>
      </c>
      <c r="D124">
        <v>0</v>
      </c>
      <c r="E124" t="s">
        <v>370</v>
      </c>
      <c r="F124" t="s">
        <v>407</v>
      </c>
      <c r="G124" s="177" t="e">
        <f>VLOOKUP(A124,'Инвест политика'!$A$27:$H$131,8,FALSE)</f>
        <v>#N/A</v>
      </c>
      <c r="H124" s="177" t="str">
        <f t="shared" si="1"/>
        <v>Ошибка, не численные значения</v>
      </c>
    </row>
    <row r="125" spans="1:8" x14ac:dyDescent="0.25">
      <c r="A125" s="175">
        <f>'Инвест политика'!A149</f>
        <v>0</v>
      </c>
      <c r="B125" t="s">
        <v>410</v>
      </c>
      <c r="C125" t="s">
        <v>2235</v>
      </c>
      <c r="D125">
        <v>0</v>
      </c>
      <c r="E125" t="s">
        <v>370</v>
      </c>
      <c r="F125" t="s">
        <v>407</v>
      </c>
      <c r="G125" s="177" t="e">
        <f>VLOOKUP(A125,'Инвест политика'!$A$27:$H$131,8,FALSE)</f>
        <v>#N/A</v>
      </c>
      <c r="H125" s="177" t="str">
        <f t="shared" si="1"/>
        <v>Ошибка, не численные значения</v>
      </c>
    </row>
    <row r="126" spans="1:8" x14ac:dyDescent="0.25">
      <c r="A126" s="175">
        <f>'Инвест политика'!A150</f>
        <v>0</v>
      </c>
      <c r="B126" t="s">
        <v>410</v>
      </c>
      <c r="C126" t="s">
        <v>2235</v>
      </c>
      <c r="D126">
        <v>0</v>
      </c>
      <c r="E126" t="s">
        <v>370</v>
      </c>
      <c r="F126" t="s">
        <v>407</v>
      </c>
      <c r="G126" s="177" t="e">
        <f>VLOOKUP(A126,'Инвест политика'!$A$27:$H$131,8,FALSE)</f>
        <v>#N/A</v>
      </c>
      <c r="H126" s="177" t="str">
        <f t="shared" si="1"/>
        <v>Ошибка, не численные значения</v>
      </c>
    </row>
    <row r="127" spans="1:8" x14ac:dyDescent="0.25">
      <c r="A127" s="175">
        <f>'Инвест политика'!A151</f>
        <v>0</v>
      </c>
      <c r="B127" t="s">
        <v>410</v>
      </c>
      <c r="C127" t="s">
        <v>2235</v>
      </c>
      <c r="D127">
        <v>0</v>
      </c>
      <c r="E127" t="s">
        <v>370</v>
      </c>
      <c r="F127" t="s">
        <v>407</v>
      </c>
      <c r="G127" s="177" t="e">
        <f>VLOOKUP(A127,'Инвест политика'!$A$27:$H$131,8,FALSE)</f>
        <v>#N/A</v>
      </c>
      <c r="H127" s="177" t="str">
        <f t="shared" si="1"/>
        <v>Ошибка, не численные значения</v>
      </c>
    </row>
    <row r="128" spans="1:8" x14ac:dyDescent="0.25">
      <c r="A128" s="175">
        <f>'Инвест политика'!A152</f>
        <v>0</v>
      </c>
      <c r="B128" t="s">
        <v>410</v>
      </c>
      <c r="C128" t="s">
        <v>2235</v>
      </c>
      <c r="D128">
        <v>0</v>
      </c>
      <c r="E128" t="s">
        <v>370</v>
      </c>
      <c r="F128" t="s">
        <v>407</v>
      </c>
      <c r="G128" s="177" t="e">
        <f>VLOOKUP(A128,'Инвест политика'!$A$27:$H$131,8,FALSE)</f>
        <v>#N/A</v>
      </c>
      <c r="H128" s="177" t="str">
        <f t="shared" si="1"/>
        <v>Ошибка, не численные значения</v>
      </c>
    </row>
    <row r="129" spans="1:8" x14ac:dyDescent="0.25">
      <c r="A129" s="175">
        <f>'Инвест политика'!A153</f>
        <v>0</v>
      </c>
      <c r="B129" t="s">
        <v>410</v>
      </c>
      <c r="C129" t="s">
        <v>2235</v>
      </c>
      <c r="D129">
        <v>0</v>
      </c>
      <c r="E129" t="s">
        <v>370</v>
      </c>
      <c r="F129" t="s">
        <v>407</v>
      </c>
      <c r="G129" s="177" t="e">
        <f>VLOOKUP(A129,'Инвест политика'!$A$27:$H$131,8,FALSE)</f>
        <v>#N/A</v>
      </c>
      <c r="H129" s="177" t="str">
        <f t="shared" si="1"/>
        <v>Ошибка, не численные значения</v>
      </c>
    </row>
    <row r="130" spans="1:8" x14ac:dyDescent="0.25">
      <c r="A130" s="175">
        <f>'Инвест политика'!A154</f>
        <v>0</v>
      </c>
      <c r="B130" t="s">
        <v>410</v>
      </c>
      <c r="C130" t="s">
        <v>2235</v>
      </c>
      <c r="D130">
        <v>0</v>
      </c>
      <c r="E130" t="s">
        <v>370</v>
      </c>
      <c r="F130" t="s">
        <v>407</v>
      </c>
      <c r="G130" s="177" t="e">
        <f>VLOOKUP(A130,'Инвест политика'!$A$27:$H$131,8,FALSE)</f>
        <v>#N/A</v>
      </c>
      <c r="H130" s="177" t="str">
        <f t="shared" si="1"/>
        <v>Ошибка, не численные значения</v>
      </c>
    </row>
    <row r="131" spans="1:8" x14ac:dyDescent="0.25">
      <c r="A131" s="175">
        <f>'Инвест политика'!A155</f>
        <v>0</v>
      </c>
      <c r="B131" t="s">
        <v>410</v>
      </c>
      <c r="C131" t="s">
        <v>2235</v>
      </c>
      <c r="D131">
        <v>0</v>
      </c>
      <c r="E131" t="s">
        <v>370</v>
      </c>
      <c r="F131" t="s">
        <v>407</v>
      </c>
      <c r="G131" s="177" t="e">
        <f>VLOOKUP(A131,'Инвест политика'!$A$27:$H$131,8,FALSE)</f>
        <v>#N/A</v>
      </c>
      <c r="H131" s="177" t="str">
        <f t="shared" si="1"/>
        <v>Ошибка, не численные значения</v>
      </c>
    </row>
    <row r="132" spans="1:8" x14ac:dyDescent="0.25">
      <c r="A132" s="175">
        <f>'Инвест политика'!A156</f>
        <v>0</v>
      </c>
      <c r="B132" t="s">
        <v>410</v>
      </c>
      <c r="C132" t="s">
        <v>2235</v>
      </c>
      <c r="D132">
        <v>0</v>
      </c>
      <c r="E132" t="s">
        <v>370</v>
      </c>
      <c r="F132" t="s">
        <v>407</v>
      </c>
      <c r="G132" s="177" t="e">
        <f>VLOOKUP(A132,'Инвест политика'!$A$27:$H$131,8,FALSE)</f>
        <v>#N/A</v>
      </c>
      <c r="H132" s="177" t="str">
        <f t="shared" ref="H132:H161" si="2">Эшелонирование(F132,G132,C132)</f>
        <v>Ошибка, не численные значения</v>
      </c>
    </row>
    <row r="133" spans="1:8" x14ac:dyDescent="0.25">
      <c r="A133" s="175">
        <f>'Инвест политика'!A157</f>
        <v>0</v>
      </c>
      <c r="B133" t="s">
        <v>410</v>
      </c>
      <c r="C133" t="s">
        <v>2235</v>
      </c>
      <c r="D133">
        <v>0</v>
      </c>
      <c r="E133" t="s">
        <v>370</v>
      </c>
      <c r="F133" t="s">
        <v>407</v>
      </c>
      <c r="G133" s="177" t="e">
        <f>VLOOKUP(A133,'Инвест политика'!$A$27:$H$131,8,FALSE)</f>
        <v>#N/A</v>
      </c>
      <c r="H133" s="177" t="str">
        <f t="shared" si="2"/>
        <v>Ошибка, не численные значения</v>
      </c>
    </row>
    <row r="134" spans="1:8" x14ac:dyDescent="0.25">
      <c r="A134" s="175">
        <f>'Инвест политика'!A158</f>
        <v>0</v>
      </c>
      <c r="B134" t="s">
        <v>410</v>
      </c>
      <c r="C134" t="s">
        <v>2235</v>
      </c>
      <c r="D134">
        <v>0</v>
      </c>
      <c r="E134" t="s">
        <v>370</v>
      </c>
      <c r="F134" t="s">
        <v>407</v>
      </c>
      <c r="G134" s="177" t="e">
        <f>VLOOKUP(A134,'Инвест политика'!$A$27:$H$131,8,FALSE)</f>
        <v>#N/A</v>
      </c>
      <c r="H134" s="177" t="str">
        <f t="shared" si="2"/>
        <v>Ошибка, не численные значения</v>
      </c>
    </row>
    <row r="135" spans="1:8" x14ac:dyDescent="0.25">
      <c r="A135" s="175">
        <f>'Инвест политика'!A159</f>
        <v>0</v>
      </c>
      <c r="B135" t="s">
        <v>410</v>
      </c>
      <c r="C135" t="s">
        <v>2235</v>
      </c>
      <c r="D135">
        <v>0</v>
      </c>
      <c r="E135" t="s">
        <v>370</v>
      </c>
      <c r="F135" t="s">
        <v>407</v>
      </c>
      <c r="G135" s="177" t="e">
        <f>VLOOKUP(A135,'Инвест политика'!$A$27:$H$131,8,FALSE)</f>
        <v>#N/A</v>
      </c>
      <c r="H135" s="177" t="str">
        <f t="shared" si="2"/>
        <v>Ошибка, не численные значения</v>
      </c>
    </row>
    <row r="136" spans="1:8" x14ac:dyDescent="0.25">
      <c r="A136" s="175">
        <f>'Инвест политика'!A160</f>
        <v>0</v>
      </c>
      <c r="B136" t="s">
        <v>410</v>
      </c>
      <c r="C136" t="s">
        <v>2235</v>
      </c>
      <c r="D136">
        <v>0</v>
      </c>
      <c r="E136" t="s">
        <v>370</v>
      </c>
      <c r="F136" t="s">
        <v>407</v>
      </c>
      <c r="G136" s="177" t="e">
        <f>VLOOKUP(A136,'Инвест политика'!$A$27:$H$131,8,FALSE)</f>
        <v>#N/A</v>
      </c>
      <c r="H136" s="177" t="str">
        <f t="shared" si="2"/>
        <v>Ошибка, не численные значения</v>
      </c>
    </row>
    <row r="137" spans="1:8" x14ac:dyDescent="0.25">
      <c r="A137" s="175">
        <f>'Инвест политика'!A161</f>
        <v>0</v>
      </c>
      <c r="B137" t="s">
        <v>410</v>
      </c>
      <c r="C137" t="s">
        <v>2235</v>
      </c>
      <c r="D137">
        <v>0</v>
      </c>
      <c r="E137" t="s">
        <v>370</v>
      </c>
      <c r="F137" t="s">
        <v>407</v>
      </c>
      <c r="G137" s="177" t="e">
        <f>VLOOKUP(A137,'Инвест политика'!$A$27:$H$131,8,FALSE)</f>
        <v>#N/A</v>
      </c>
      <c r="H137" s="177" t="str">
        <f t="shared" si="2"/>
        <v>Ошибка, не численные значения</v>
      </c>
    </row>
    <row r="138" spans="1:8" x14ac:dyDescent="0.25">
      <c r="A138" s="175">
        <f>'Инвест политика'!A162</f>
        <v>0</v>
      </c>
      <c r="B138" t="s">
        <v>410</v>
      </c>
      <c r="C138" t="s">
        <v>2235</v>
      </c>
      <c r="D138">
        <v>0</v>
      </c>
      <c r="E138" t="s">
        <v>370</v>
      </c>
      <c r="F138" t="s">
        <v>407</v>
      </c>
      <c r="G138" s="177" t="e">
        <f>VLOOKUP(A138,'Инвест политика'!$A$27:$H$131,8,FALSE)</f>
        <v>#N/A</v>
      </c>
      <c r="H138" s="177" t="str">
        <f t="shared" si="2"/>
        <v>Ошибка, не численные значения</v>
      </c>
    </row>
    <row r="139" spans="1:8" x14ac:dyDescent="0.25">
      <c r="A139" s="175">
        <f>'Инвест политика'!A163</f>
        <v>0</v>
      </c>
      <c r="B139" t="s">
        <v>410</v>
      </c>
      <c r="C139" t="s">
        <v>2235</v>
      </c>
      <c r="D139">
        <v>0</v>
      </c>
      <c r="E139" t="s">
        <v>370</v>
      </c>
      <c r="F139" t="s">
        <v>407</v>
      </c>
      <c r="G139" s="177" t="e">
        <f>VLOOKUP(A139,'Инвест политика'!$A$27:$H$131,8,FALSE)</f>
        <v>#N/A</v>
      </c>
      <c r="H139" s="177" t="str">
        <f t="shared" si="2"/>
        <v>Ошибка, не численные значения</v>
      </c>
    </row>
    <row r="140" spans="1:8" x14ac:dyDescent="0.25">
      <c r="A140" s="175">
        <f>'Инвест политика'!A164</f>
        <v>0</v>
      </c>
      <c r="B140" t="s">
        <v>410</v>
      </c>
      <c r="C140" t="s">
        <v>2235</v>
      </c>
      <c r="D140">
        <v>0</v>
      </c>
      <c r="E140" t="s">
        <v>370</v>
      </c>
      <c r="F140" t="s">
        <v>407</v>
      </c>
      <c r="G140" s="177" t="e">
        <f>VLOOKUP(A140,'Инвест политика'!$A$27:$H$131,8,FALSE)</f>
        <v>#N/A</v>
      </c>
      <c r="H140" s="177" t="str">
        <f t="shared" si="2"/>
        <v>Ошибка, не численные значения</v>
      </c>
    </row>
    <row r="141" spans="1:8" x14ac:dyDescent="0.25">
      <c r="A141" s="175">
        <f>'Инвест политика'!A165</f>
        <v>0</v>
      </c>
      <c r="B141" t="s">
        <v>410</v>
      </c>
      <c r="C141" t="s">
        <v>2235</v>
      </c>
      <c r="D141">
        <v>0</v>
      </c>
      <c r="E141" t="s">
        <v>370</v>
      </c>
      <c r="F141" t="s">
        <v>407</v>
      </c>
      <c r="G141" s="177" t="e">
        <f>VLOOKUP(A141,'Инвест политика'!$A$27:$H$131,8,FALSE)</f>
        <v>#N/A</v>
      </c>
      <c r="H141" s="177" t="str">
        <f t="shared" si="2"/>
        <v>Ошибка, не численные значения</v>
      </c>
    </row>
    <row r="142" spans="1:8" x14ac:dyDescent="0.25">
      <c r="A142" s="175">
        <f>'Инвест политика'!A166</f>
        <v>0</v>
      </c>
      <c r="B142" t="s">
        <v>410</v>
      </c>
      <c r="C142" t="s">
        <v>2235</v>
      </c>
      <c r="D142">
        <v>0</v>
      </c>
      <c r="E142" t="s">
        <v>370</v>
      </c>
      <c r="F142" t="s">
        <v>407</v>
      </c>
      <c r="G142" s="177" t="e">
        <f>VLOOKUP(A142,'Инвест политика'!$A$27:$H$131,8,FALSE)</f>
        <v>#N/A</v>
      </c>
      <c r="H142" s="177" t="str">
        <f t="shared" si="2"/>
        <v>Ошибка, не численные значения</v>
      </c>
    </row>
    <row r="143" spans="1:8" x14ac:dyDescent="0.25">
      <c r="A143" s="175">
        <f>'Инвест политика'!A167</f>
        <v>0</v>
      </c>
      <c r="B143" t="s">
        <v>410</v>
      </c>
      <c r="C143" t="s">
        <v>2235</v>
      </c>
      <c r="D143">
        <v>0</v>
      </c>
      <c r="E143" t="s">
        <v>370</v>
      </c>
      <c r="F143" t="s">
        <v>407</v>
      </c>
      <c r="G143" s="177" t="e">
        <f>VLOOKUP(A143,'Инвест политика'!$A$27:$H$131,8,FALSE)</f>
        <v>#N/A</v>
      </c>
      <c r="H143" s="177" t="str">
        <f t="shared" si="2"/>
        <v>Ошибка, не численные значения</v>
      </c>
    </row>
    <row r="144" spans="1:8" x14ac:dyDescent="0.25">
      <c r="A144" s="175">
        <f>'Инвест политика'!A168</f>
        <v>0</v>
      </c>
      <c r="B144" t="s">
        <v>410</v>
      </c>
      <c r="C144" t="s">
        <v>2235</v>
      </c>
      <c r="D144">
        <v>0</v>
      </c>
      <c r="E144" t="s">
        <v>370</v>
      </c>
      <c r="F144" t="s">
        <v>407</v>
      </c>
      <c r="G144" s="177" t="e">
        <f>VLOOKUP(A144,'Инвест политика'!$A$27:$H$131,8,FALSE)</f>
        <v>#N/A</v>
      </c>
      <c r="H144" s="177" t="str">
        <f t="shared" si="2"/>
        <v>Ошибка, не численные значения</v>
      </c>
    </row>
    <row r="145" spans="1:8" x14ac:dyDescent="0.25">
      <c r="A145" s="175">
        <f>'Инвест политика'!A169</f>
        <v>0</v>
      </c>
      <c r="B145" t="s">
        <v>410</v>
      </c>
      <c r="C145" t="s">
        <v>2235</v>
      </c>
      <c r="D145">
        <v>0</v>
      </c>
      <c r="E145" t="s">
        <v>370</v>
      </c>
      <c r="F145" t="s">
        <v>407</v>
      </c>
      <c r="G145" s="177" t="e">
        <f>VLOOKUP(A145,'Инвест политика'!$A$27:$H$131,8,FALSE)</f>
        <v>#N/A</v>
      </c>
      <c r="H145" s="177" t="str">
        <f t="shared" si="2"/>
        <v>Ошибка, не численные значения</v>
      </c>
    </row>
    <row r="146" spans="1:8" x14ac:dyDescent="0.25">
      <c r="A146" s="175">
        <f>'Инвест политика'!A170</f>
        <v>0</v>
      </c>
      <c r="B146" t="s">
        <v>410</v>
      </c>
      <c r="C146" t="s">
        <v>2235</v>
      </c>
      <c r="D146">
        <v>0</v>
      </c>
      <c r="E146" t="s">
        <v>370</v>
      </c>
      <c r="F146" t="s">
        <v>407</v>
      </c>
      <c r="G146" s="177" t="e">
        <f>VLOOKUP(A146,'Инвест политика'!$A$27:$H$131,8,FALSE)</f>
        <v>#N/A</v>
      </c>
      <c r="H146" s="177" t="str">
        <f t="shared" si="2"/>
        <v>Ошибка, не численные значения</v>
      </c>
    </row>
    <row r="147" spans="1:8" x14ac:dyDescent="0.25">
      <c r="A147" s="175">
        <f>'Инвест политика'!A171</f>
        <v>0</v>
      </c>
      <c r="B147" t="s">
        <v>410</v>
      </c>
      <c r="C147" t="s">
        <v>2235</v>
      </c>
      <c r="D147">
        <v>0</v>
      </c>
      <c r="E147" t="s">
        <v>370</v>
      </c>
      <c r="F147" t="s">
        <v>407</v>
      </c>
      <c r="G147" s="177" t="e">
        <f>VLOOKUP(A147,'Инвест политика'!$A$27:$H$131,8,FALSE)</f>
        <v>#N/A</v>
      </c>
      <c r="H147" s="177" t="str">
        <f t="shared" si="2"/>
        <v>Ошибка, не численные значения</v>
      </c>
    </row>
    <row r="148" spans="1:8" x14ac:dyDescent="0.25">
      <c r="A148" s="175">
        <f>'Инвест политика'!A172</f>
        <v>0</v>
      </c>
      <c r="B148" t="s">
        <v>410</v>
      </c>
      <c r="C148" t="s">
        <v>2235</v>
      </c>
      <c r="D148">
        <v>0</v>
      </c>
      <c r="E148" t="s">
        <v>370</v>
      </c>
      <c r="F148" t="s">
        <v>407</v>
      </c>
      <c r="G148" s="177" t="e">
        <f>VLOOKUP(A148,'Инвест политика'!$A$27:$H$131,8,FALSE)</f>
        <v>#N/A</v>
      </c>
      <c r="H148" s="177" t="str">
        <f t="shared" si="2"/>
        <v>Ошибка, не численные значения</v>
      </c>
    </row>
    <row r="149" spans="1:8" x14ac:dyDescent="0.25">
      <c r="A149" s="175">
        <f>'Инвест политика'!A173</f>
        <v>0</v>
      </c>
      <c r="B149" t="s">
        <v>410</v>
      </c>
      <c r="C149" t="s">
        <v>2235</v>
      </c>
      <c r="D149">
        <v>0</v>
      </c>
      <c r="E149" t="s">
        <v>370</v>
      </c>
      <c r="F149" t="s">
        <v>407</v>
      </c>
      <c r="G149" s="177" t="e">
        <f>VLOOKUP(A149,'Инвест политика'!$A$27:$H$131,8,FALSE)</f>
        <v>#N/A</v>
      </c>
      <c r="H149" s="177" t="str">
        <f t="shared" si="2"/>
        <v>Ошибка, не численные значения</v>
      </c>
    </row>
    <row r="150" spans="1:8" x14ac:dyDescent="0.25">
      <c r="A150" s="175">
        <f>'Инвест политика'!A174</f>
        <v>0</v>
      </c>
      <c r="B150" t="s">
        <v>410</v>
      </c>
      <c r="C150" t="s">
        <v>2235</v>
      </c>
      <c r="D150">
        <v>0</v>
      </c>
      <c r="E150" t="s">
        <v>370</v>
      </c>
      <c r="F150" t="s">
        <v>407</v>
      </c>
      <c r="G150" s="177" t="e">
        <f>VLOOKUP(A150,'Инвест политика'!$A$27:$H$131,8,FALSE)</f>
        <v>#N/A</v>
      </c>
      <c r="H150" s="177" t="str">
        <f t="shared" si="2"/>
        <v>Ошибка, не численные значения</v>
      </c>
    </row>
    <row r="151" spans="1:8" x14ac:dyDescent="0.25">
      <c r="A151" s="175">
        <f>'Инвест политика'!A175</f>
        <v>0</v>
      </c>
      <c r="B151" t="s">
        <v>410</v>
      </c>
      <c r="C151" t="s">
        <v>2235</v>
      </c>
      <c r="D151">
        <v>0</v>
      </c>
      <c r="E151" t="s">
        <v>370</v>
      </c>
      <c r="F151" t="s">
        <v>407</v>
      </c>
      <c r="G151" s="177" t="e">
        <f>VLOOKUP(A151,'Инвест политика'!$A$27:$H$131,8,FALSE)</f>
        <v>#N/A</v>
      </c>
      <c r="H151" s="177" t="str">
        <f t="shared" si="2"/>
        <v>Ошибка, не численные значения</v>
      </c>
    </row>
    <row r="152" spans="1:8" x14ac:dyDescent="0.25">
      <c r="A152" s="175">
        <f>'Инвест политика'!A176</f>
        <v>0</v>
      </c>
      <c r="B152" t="s">
        <v>410</v>
      </c>
      <c r="C152" t="s">
        <v>2235</v>
      </c>
      <c r="D152">
        <v>0</v>
      </c>
      <c r="E152" t="s">
        <v>370</v>
      </c>
      <c r="F152" t="s">
        <v>407</v>
      </c>
      <c r="G152" s="177" t="e">
        <f>VLOOKUP(A152,'Инвест политика'!$A$27:$H$131,8,FALSE)</f>
        <v>#N/A</v>
      </c>
      <c r="H152" s="177" t="str">
        <f t="shared" si="2"/>
        <v>Ошибка, не численные значения</v>
      </c>
    </row>
    <row r="153" spans="1:8" x14ac:dyDescent="0.25">
      <c r="A153" s="175">
        <f>'Инвест политика'!A177</f>
        <v>0</v>
      </c>
      <c r="B153" t="s">
        <v>410</v>
      </c>
      <c r="C153" t="s">
        <v>2235</v>
      </c>
      <c r="D153">
        <v>0</v>
      </c>
      <c r="E153" t="s">
        <v>370</v>
      </c>
      <c r="F153" t="s">
        <v>407</v>
      </c>
      <c r="G153" s="177" t="e">
        <f>VLOOKUP(A153,'Инвест политика'!$A$27:$H$131,8,FALSE)</f>
        <v>#N/A</v>
      </c>
      <c r="H153" s="177" t="str">
        <f t="shared" si="2"/>
        <v>Ошибка, не численные значения</v>
      </c>
    </row>
    <row r="154" spans="1:8" x14ac:dyDescent="0.25">
      <c r="A154" s="175">
        <f>'Инвест политика'!A178</f>
        <v>0</v>
      </c>
      <c r="B154" t="s">
        <v>410</v>
      </c>
      <c r="C154" t="s">
        <v>2235</v>
      </c>
      <c r="D154">
        <v>0</v>
      </c>
      <c r="E154" t="s">
        <v>370</v>
      </c>
      <c r="F154" t="s">
        <v>407</v>
      </c>
      <c r="G154" s="177" t="e">
        <f>VLOOKUP(A154,'Инвест политика'!$A$27:$H$131,8,FALSE)</f>
        <v>#N/A</v>
      </c>
      <c r="H154" s="177" t="str">
        <f t="shared" si="2"/>
        <v>Ошибка, не численные значения</v>
      </c>
    </row>
    <row r="155" spans="1:8" x14ac:dyDescent="0.25">
      <c r="A155" s="175">
        <f>'Инвест политика'!A179</f>
        <v>0</v>
      </c>
      <c r="B155" t="s">
        <v>410</v>
      </c>
      <c r="C155" t="s">
        <v>2235</v>
      </c>
      <c r="D155">
        <v>0</v>
      </c>
      <c r="E155" t="s">
        <v>370</v>
      </c>
      <c r="F155" t="s">
        <v>407</v>
      </c>
      <c r="G155" s="177" t="e">
        <f>VLOOKUP(A155,'Инвест политика'!$A$27:$H$131,8,FALSE)</f>
        <v>#N/A</v>
      </c>
      <c r="H155" s="177" t="str">
        <f t="shared" si="2"/>
        <v>Ошибка, не численные значения</v>
      </c>
    </row>
    <row r="156" spans="1:8" x14ac:dyDescent="0.25">
      <c r="A156" s="175">
        <f>'Инвест политика'!A180</f>
        <v>0</v>
      </c>
      <c r="B156" t="s">
        <v>410</v>
      </c>
      <c r="C156" t="s">
        <v>2235</v>
      </c>
      <c r="D156">
        <v>0</v>
      </c>
      <c r="E156" t="s">
        <v>370</v>
      </c>
      <c r="F156" t="s">
        <v>407</v>
      </c>
      <c r="G156" s="177" t="e">
        <f>VLOOKUP(A156,'Инвест политика'!$A$27:$H$131,8,FALSE)</f>
        <v>#N/A</v>
      </c>
      <c r="H156" s="177" t="str">
        <f t="shared" si="2"/>
        <v>Ошибка, не численные значения</v>
      </c>
    </row>
    <row r="157" spans="1:8" x14ac:dyDescent="0.25">
      <c r="A157" s="175">
        <f>'Инвест политика'!A181</f>
        <v>0</v>
      </c>
      <c r="B157" t="s">
        <v>410</v>
      </c>
      <c r="C157" t="s">
        <v>2235</v>
      </c>
      <c r="D157">
        <v>0</v>
      </c>
      <c r="E157" t="s">
        <v>370</v>
      </c>
      <c r="F157" t="s">
        <v>407</v>
      </c>
      <c r="G157" s="177" t="e">
        <f>VLOOKUP(A157,'Инвест политика'!$A$27:$H$131,8,FALSE)</f>
        <v>#N/A</v>
      </c>
      <c r="H157" s="177" t="str">
        <f t="shared" si="2"/>
        <v>Ошибка, не численные значения</v>
      </c>
    </row>
    <row r="158" spans="1:8" x14ac:dyDescent="0.25">
      <c r="A158" s="175">
        <f>'Инвест политика'!A182</f>
        <v>0</v>
      </c>
      <c r="B158" t="s">
        <v>410</v>
      </c>
      <c r="C158" t="s">
        <v>2235</v>
      </c>
      <c r="D158">
        <v>0</v>
      </c>
      <c r="E158" t="s">
        <v>370</v>
      </c>
      <c r="F158" t="s">
        <v>407</v>
      </c>
      <c r="G158" s="177" t="e">
        <f>VLOOKUP(A158,'Инвест политика'!$A$27:$H$131,8,FALSE)</f>
        <v>#N/A</v>
      </c>
      <c r="H158" s="177" t="str">
        <f t="shared" si="2"/>
        <v>Ошибка, не численные значения</v>
      </c>
    </row>
    <row r="159" spans="1:8" x14ac:dyDescent="0.25">
      <c r="A159" s="175">
        <f>'Инвест политика'!A183</f>
        <v>0</v>
      </c>
      <c r="B159" t="s">
        <v>410</v>
      </c>
      <c r="C159" t="s">
        <v>2235</v>
      </c>
      <c r="D159">
        <v>0</v>
      </c>
      <c r="E159" t="s">
        <v>370</v>
      </c>
      <c r="F159" t="s">
        <v>407</v>
      </c>
      <c r="G159" s="177" t="e">
        <f>VLOOKUP(A159,'Инвест политика'!$A$27:$H$131,8,FALSE)</f>
        <v>#N/A</v>
      </c>
      <c r="H159" s="177" t="str">
        <f t="shared" si="2"/>
        <v>Ошибка, не численные значения</v>
      </c>
    </row>
    <row r="160" spans="1:8" x14ac:dyDescent="0.25">
      <c r="A160" s="175">
        <f>'Инвест политика'!A184</f>
        <v>0</v>
      </c>
      <c r="B160" t="s">
        <v>410</v>
      </c>
      <c r="C160" t="s">
        <v>2235</v>
      </c>
      <c r="D160">
        <v>0</v>
      </c>
      <c r="E160" t="s">
        <v>370</v>
      </c>
      <c r="F160" t="s">
        <v>407</v>
      </c>
      <c r="G160" s="177" t="e">
        <f>VLOOKUP(A160,'Инвест политика'!$A$27:$H$131,8,FALSE)</f>
        <v>#N/A</v>
      </c>
      <c r="H160" s="177" t="str">
        <f t="shared" si="2"/>
        <v>Ошибка, не численные значения</v>
      </c>
    </row>
    <row r="161" spans="1:8" x14ac:dyDescent="0.25">
      <c r="A161" s="175">
        <f>'Инвест политика'!A185</f>
        <v>0</v>
      </c>
      <c r="B161" t="s">
        <v>410</v>
      </c>
      <c r="C161" t="s">
        <v>2235</v>
      </c>
      <c r="D161">
        <v>0</v>
      </c>
      <c r="E161" t="s">
        <v>370</v>
      </c>
      <c r="F161" t="s">
        <v>407</v>
      </c>
      <c r="G161" s="177" t="e">
        <f>VLOOKUP(A161,'Инвест политика'!$A$27:$H$131,8,FALSE)</f>
        <v>#N/A</v>
      </c>
      <c r="H161" s="17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00"/>
  <sheetViews>
    <sheetView workbookViewId="0">
      <selection activeCell="O57" sqref="O57"/>
    </sheetView>
  </sheetViews>
  <sheetFormatPr defaultRowHeight="15" x14ac:dyDescent="0.25"/>
  <cols>
    <col min="1" max="1" width="20.140625" customWidth="1"/>
    <col min="2" max="2" width="22.85546875" customWidth="1"/>
    <col min="3" max="3" width="9" style="259" customWidth="1"/>
    <col min="5" max="5" width="20.5703125" customWidth="1"/>
    <col min="6" max="6" width="15" style="2" customWidth="1"/>
    <col min="8" max="8" width="20.5703125" customWidth="1"/>
    <col min="9" max="11" width="21" customWidth="1"/>
  </cols>
  <sheetData>
    <row r="1" spans="1:11" x14ac:dyDescent="0.25">
      <c r="I1" s="2"/>
    </row>
    <row r="2" spans="1:11" x14ac:dyDescent="0.25">
      <c r="I2" s="2"/>
    </row>
    <row r="3" spans="1:11" ht="30" x14ac:dyDescent="0.25">
      <c r="A3" s="283" t="s">
        <v>2037</v>
      </c>
      <c r="B3" s="283"/>
      <c r="E3" s="284" t="s">
        <v>2122</v>
      </c>
      <c r="F3" s="284"/>
      <c r="H3" s="255" t="s">
        <v>2035</v>
      </c>
      <c r="I3" s="257" t="s">
        <v>2034</v>
      </c>
      <c r="J3" s="256" t="s">
        <v>2036</v>
      </c>
      <c r="K3" s="256" t="s">
        <v>194</v>
      </c>
    </row>
    <row r="4" spans="1:11" x14ac:dyDescent="0.25">
      <c r="A4" t="s">
        <v>105</v>
      </c>
      <c r="E4" s="253" t="s">
        <v>574</v>
      </c>
      <c r="F4" s="254">
        <v>633381000</v>
      </c>
      <c r="H4" s="253" t="s">
        <v>574</v>
      </c>
      <c r="I4" s="2">
        <f>SUMIF($E$4:$E$213,H4,$F$4:$F$213)</f>
        <v>633381000</v>
      </c>
      <c r="J4" s="2">
        <f>VLOOKUP(H4,'доля  в выпуске'!$A:$B,2,0)</f>
        <v>10000000000</v>
      </c>
      <c r="K4" s="252">
        <f>I4/J4</f>
        <v>6.3338099999999994E-2</v>
      </c>
    </row>
    <row r="5" spans="1:11" x14ac:dyDescent="0.25">
      <c r="A5" t="s">
        <v>581</v>
      </c>
      <c r="B5" s="227">
        <v>15000000000</v>
      </c>
      <c r="E5" s="253" t="s">
        <v>495</v>
      </c>
      <c r="F5" s="254">
        <v>2000000</v>
      </c>
      <c r="H5" s="253" t="s">
        <v>495</v>
      </c>
      <c r="I5" s="2">
        <f t="shared" ref="I5:I68" si="0">SUMIF($E$4:$E$213,H5,$F$4:$F$213)</f>
        <v>2000000</v>
      </c>
      <c r="J5" s="2">
        <f>VLOOKUP(H5,'доля  в выпуске'!$A:$B,2,0)</f>
        <v>350000000</v>
      </c>
      <c r="K5" s="252">
        <f t="shared" ref="K5:K68" si="1">I5/J5</f>
        <v>5.7142857142857143E-3</v>
      </c>
    </row>
    <row r="6" spans="1:11" x14ac:dyDescent="0.25">
      <c r="A6" t="s">
        <v>582</v>
      </c>
      <c r="B6" s="227">
        <v>15000000000</v>
      </c>
      <c r="E6" s="253" t="s">
        <v>483</v>
      </c>
      <c r="F6" s="254">
        <v>23300000</v>
      </c>
      <c r="H6" s="253" t="s">
        <v>483</v>
      </c>
      <c r="I6" s="2">
        <f t="shared" si="0"/>
        <v>23300000</v>
      </c>
      <c r="J6" s="2">
        <f>VLOOKUP(H6,'доля  в выпуске'!$A:$B,2,0)</f>
        <v>165000000</v>
      </c>
      <c r="K6" s="252">
        <f t="shared" si="1"/>
        <v>0.14121212121212121</v>
      </c>
    </row>
    <row r="7" spans="1:11" x14ac:dyDescent="0.25">
      <c r="A7" t="s">
        <v>583</v>
      </c>
      <c r="B7" s="227">
        <v>15000000000</v>
      </c>
      <c r="E7" s="253" t="s">
        <v>490</v>
      </c>
      <c r="F7" s="254">
        <v>12000000</v>
      </c>
      <c r="H7" s="253" t="s">
        <v>490</v>
      </c>
      <c r="I7" s="2">
        <f t="shared" si="0"/>
        <v>12000000</v>
      </c>
      <c r="J7" s="2">
        <f>VLOOKUP(H7,'доля  в выпуске'!$A:$B,2,0)</f>
        <v>850000000</v>
      </c>
      <c r="K7" s="252">
        <f t="shared" si="1"/>
        <v>1.411764705882353E-2</v>
      </c>
    </row>
    <row r="8" spans="1:11" x14ac:dyDescent="0.25">
      <c r="A8" t="s">
        <v>584</v>
      </c>
      <c r="B8" s="227">
        <v>25000000000</v>
      </c>
      <c r="E8" s="253" t="s">
        <v>523</v>
      </c>
      <c r="F8" s="254">
        <v>300000000</v>
      </c>
      <c r="H8" s="253" t="s">
        <v>523</v>
      </c>
      <c r="I8" s="2">
        <f t="shared" si="0"/>
        <v>300000000</v>
      </c>
      <c r="J8" s="2">
        <f>VLOOKUP(H8,'доля  в выпуске'!$A:$B,2,0)</f>
        <v>10000000000</v>
      </c>
      <c r="K8" s="252">
        <f t="shared" si="1"/>
        <v>0.03</v>
      </c>
    </row>
    <row r="9" spans="1:11" x14ac:dyDescent="0.25">
      <c r="A9" t="s">
        <v>585</v>
      </c>
      <c r="B9" s="227">
        <v>10000000000</v>
      </c>
      <c r="E9" s="253" t="s">
        <v>504</v>
      </c>
      <c r="F9" s="254">
        <v>10000000</v>
      </c>
      <c r="H9" s="253" t="s">
        <v>504</v>
      </c>
      <c r="I9" s="2">
        <f t="shared" si="0"/>
        <v>10000000</v>
      </c>
      <c r="J9" s="2">
        <f>VLOOKUP(H9,'доля  в выпуске'!$A:$B,2,0)</f>
        <v>500000000</v>
      </c>
      <c r="K9" s="252">
        <f t="shared" si="1"/>
        <v>0.02</v>
      </c>
    </row>
    <row r="10" spans="1:11" x14ac:dyDescent="0.25">
      <c r="A10" t="s">
        <v>586</v>
      </c>
      <c r="B10" s="227">
        <v>25000000000</v>
      </c>
      <c r="E10" s="253" t="s">
        <v>499</v>
      </c>
      <c r="F10" s="254">
        <v>5500000</v>
      </c>
      <c r="H10" s="253" t="s">
        <v>499</v>
      </c>
      <c r="I10" s="2">
        <f t="shared" si="0"/>
        <v>5500000</v>
      </c>
      <c r="J10" s="2">
        <f>VLOOKUP(H10,'доля  в выпуске'!$A:$B,2,0)</f>
        <v>800000000</v>
      </c>
      <c r="K10" s="252">
        <f t="shared" si="1"/>
        <v>6.875E-3</v>
      </c>
    </row>
    <row r="11" spans="1:11" x14ac:dyDescent="0.25">
      <c r="A11" t="s">
        <v>587</v>
      </c>
      <c r="B11" s="227">
        <v>20000000000</v>
      </c>
      <c r="E11" s="253" t="s">
        <v>487</v>
      </c>
      <c r="F11" s="254">
        <v>4000000</v>
      </c>
      <c r="H11" s="253" t="s">
        <v>487</v>
      </c>
      <c r="I11" s="2">
        <f t="shared" si="0"/>
        <v>4000000</v>
      </c>
      <c r="J11" s="2">
        <f>VLOOKUP(H11,'доля  в выпуске'!$A:$B,2,0)</f>
        <v>300000000</v>
      </c>
      <c r="K11" s="252">
        <f t="shared" si="1"/>
        <v>1.3333333333333334E-2</v>
      </c>
    </row>
    <row r="12" spans="1:11" x14ac:dyDescent="0.25">
      <c r="A12" t="s">
        <v>588</v>
      </c>
      <c r="B12" s="227">
        <v>15000000000</v>
      </c>
      <c r="E12" s="253" t="s">
        <v>492</v>
      </c>
      <c r="F12" s="254">
        <v>3000000</v>
      </c>
      <c r="H12" s="253" t="s">
        <v>492</v>
      </c>
      <c r="I12" s="2">
        <f t="shared" si="0"/>
        <v>3000000</v>
      </c>
      <c r="J12" s="2">
        <f>VLOOKUP(H12,'доля  в выпуске'!$A:$B,2,0)</f>
        <v>750000000</v>
      </c>
      <c r="K12" s="252">
        <f t="shared" si="1"/>
        <v>4.0000000000000001E-3</v>
      </c>
    </row>
    <row r="13" spans="1:11" x14ac:dyDescent="0.25">
      <c r="A13" t="s">
        <v>589</v>
      </c>
      <c r="B13" s="227">
        <v>7000000000</v>
      </c>
      <c r="E13" s="253" t="s">
        <v>502</v>
      </c>
      <c r="F13" s="254">
        <v>15000000</v>
      </c>
      <c r="H13" s="253" t="s">
        <v>502</v>
      </c>
      <c r="I13" s="2">
        <f t="shared" si="0"/>
        <v>15000000</v>
      </c>
      <c r="J13" s="2">
        <f>VLOOKUP(H13,'доля  в выпуске'!$A:$B,2,0)</f>
        <v>600000000</v>
      </c>
      <c r="K13" s="252">
        <f t="shared" si="1"/>
        <v>2.5000000000000001E-2</v>
      </c>
    </row>
    <row r="14" spans="1:11" x14ac:dyDescent="0.25">
      <c r="A14" t="s">
        <v>590</v>
      </c>
      <c r="B14" s="227">
        <v>7000000000</v>
      </c>
      <c r="E14" s="253" t="s">
        <v>501</v>
      </c>
      <c r="F14" s="254">
        <v>22254000</v>
      </c>
      <c r="H14" s="253" t="s">
        <v>501</v>
      </c>
      <c r="I14" s="2">
        <f t="shared" si="0"/>
        <v>22254000</v>
      </c>
      <c r="J14" s="2">
        <f>VLOOKUP(H14,'доля  в выпуске'!$A:$B,2,0)</f>
        <v>500000000</v>
      </c>
      <c r="K14" s="252">
        <f t="shared" si="1"/>
        <v>4.4507999999999999E-2</v>
      </c>
    </row>
    <row r="15" spans="1:11" x14ac:dyDescent="0.25">
      <c r="A15" t="s">
        <v>591</v>
      </c>
      <c r="B15" s="227">
        <v>8000000000</v>
      </c>
      <c r="E15" s="253" t="s">
        <v>503</v>
      </c>
      <c r="F15" s="254">
        <v>12500000</v>
      </c>
      <c r="H15" s="253" t="s">
        <v>503</v>
      </c>
      <c r="I15" s="2">
        <f t="shared" si="0"/>
        <v>12500000</v>
      </c>
      <c r="J15" s="2">
        <f>VLOOKUP(H15,'доля  в выпуске'!$A:$B,2,0)</f>
        <v>750000000</v>
      </c>
      <c r="K15" s="252">
        <f t="shared" si="1"/>
        <v>1.6666666666666666E-2</v>
      </c>
    </row>
    <row r="16" spans="1:11" x14ac:dyDescent="0.25">
      <c r="A16" t="s">
        <v>592</v>
      </c>
      <c r="B16" s="227">
        <v>7000000000</v>
      </c>
      <c r="E16" s="253" t="s">
        <v>491</v>
      </c>
      <c r="F16" s="254">
        <v>2000000</v>
      </c>
      <c r="H16" s="253" t="s">
        <v>491</v>
      </c>
      <c r="I16" s="2">
        <f t="shared" si="0"/>
        <v>2000000</v>
      </c>
      <c r="J16" s="2">
        <f>VLOOKUP(H16,'доля  в выпуске'!$A:$B,2,0)</f>
        <v>2000000000</v>
      </c>
      <c r="K16" s="252">
        <f t="shared" si="1"/>
        <v>1E-3</v>
      </c>
    </row>
    <row r="17" spans="1:11" x14ac:dyDescent="0.25">
      <c r="A17" t="s">
        <v>593</v>
      </c>
      <c r="B17" s="227">
        <v>6000000000</v>
      </c>
      <c r="E17" s="253" t="s">
        <v>500</v>
      </c>
      <c r="F17" s="254">
        <v>8500000</v>
      </c>
      <c r="H17" s="253" t="s">
        <v>500</v>
      </c>
      <c r="I17" s="2">
        <f t="shared" si="0"/>
        <v>8500000</v>
      </c>
      <c r="J17" s="2">
        <f>VLOOKUP(H17,'доля  в выпуске'!$A:$B,2,0)</f>
        <v>1400000000</v>
      </c>
      <c r="K17" s="252">
        <f t="shared" si="1"/>
        <v>6.0714285714285714E-3</v>
      </c>
    </row>
    <row r="18" spans="1:11" x14ac:dyDescent="0.25">
      <c r="A18" t="s">
        <v>594</v>
      </c>
      <c r="B18" s="227">
        <v>6000000000</v>
      </c>
      <c r="E18" s="253" t="s">
        <v>497</v>
      </c>
      <c r="F18" s="254">
        <v>9000000</v>
      </c>
      <c r="H18" s="253" t="s">
        <v>497</v>
      </c>
      <c r="I18" s="2">
        <f t="shared" si="0"/>
        <v>9000000</v>
      </c>
      <c r="J18" s="2">
        <f>VLOOKUP(H18,'доля  в выпуске'!$A:$B,2,0)</f>
        <v>500000000</v>
      </c>
      <c r="K18" s="252">
        <f t="shared" si="1"/>
        <v>1.7999999999999999E-2</v>
      </c>
    </row>
    <row r="19" spans="1:11" x14ac:dyDescent="0.25">
      <c r="A19" t="s">
        <v>595</v>
      </c>
      <c r="B19" s="227">
        <v>6000000000</v>
      </c>
      <c r="E19" s="253" t="s">
        <v>488</v>
      </c>
      <c r="F19" s="254">
        <v>10000000</v>
      </c>
      <c r="H19" s="253" t="s">
        <v>488</v>
      </c>
      <c r="I19" s="2">
        <f t="shared" si="0"/>
        <v>10000000</v>
      </c>
      <c r="J19" s="2">
        <f>VLOOKUP(H19,'доля  в выпуске'!$A:$B,2,0)</f>
        <v>550000000</v>
      </c>
      <c r="K19" s="252">
        <f t="shared" si="1"/>
        <v>1.8181818181818181E-2</v>
      </c>
    </row>
    <row r="20" spans="1:11" x14ac:dyDescent="0.25">
      <c r="A20" t="s">
        <v>596</v>
      </c>
      <c r="B20" s="227">
        <v>6000000000</v>
      </c>
      <c r="E20" s="253" t="s">
        <v>486</v>
      </c>
      <c r="F20" s="254">
        <v>7500000</v>
      </c>
      <c r="H20" s="253" t="s">
        <v>486</v>
      </c>
      <c r="I20" s="2">
        <f t="shared" si="0"/>
        <v>7500000</v>
      </c>
      <c r="J20" s="2">
        <f>VLOOKUP(H20,'доля  в выпуске'!$A:$B,2,0)</f>
        <v>300000000</v>
      </c>
      <c r="K20" s="252">
        <f t="shared" si="1"/>
        <v>2.5000000000000001E-2</v>
      </c>
    </row>
    <row r="21" spans="1:11" x14ac:dyDescent="0.25">
      <c r="A21" t="s">
        <v>597</v>
      </c>
      <c r="B21" s="227">
        <v>7000000000</v>
      </c>
      <c r="E21" s="253" t="s">
        <v>527</v>
      </c>
      <c r="F21" s="254">
        <v>1000000000</v>
      </c>
      <c r="H21" s="253" t="s">
        <v>527</v>
      </c>
      <c r="I21" s="2">
        <f t="shared" si="0"/>
        <v>1000000000</v>
      </c>
      <c r="J21" s="2">
        <f>VLOOKUP(H21,'доля  в выпуске'!$A:$B,2,0)</f>
        <v>20000000000</v>
      </c>
      <c r="K21" s="252">
        <f t="shared" si="1"/>
        <v>0.05</v>
      </c>
    </row>
    <row r="22" spans="1:11" x14ac:dyDescent="0.25">
      <c r="A22" t="s">
        <v>598</v>
      </c>
      <c r="B22" s="227">
        <v>5000000000</v>
      </c>
      <c r="E22" s="253" t="s">
        <v>1105</v>
      </c>
      <c r="F22" s="254">
        <v>15000000</v>
      </c>
      <c r="H22" s="253" t="s">
        <v>1105</v>
      </c>
      <c r="I22" s="2">
        <f t="shared" si="0"/>
        <v>25000000</v>
      </c>
      <c r="J22" s="2">
        <f>VLOOKUP(H22,'доля  в выпуске'!$A:$B,2,0)</f>
        <v>1150000000</v>
      </c>
      <c r="K22" s="252">
        <f t="shared" si="1"/>
        <v>2.1739130434782608E-2</v>
      </c>
    </row>
    <row r="23" spans="1:11" x14ac:dyDescent="0.25">
      <c r="A23" t="s">
        <v>599</v>
      </c>
      <c r="B23" s="227">
        <v>5000000000</v>
      </c>
      <c r="E23" s="253" t="s">
        <v>505</v>
      </c>
      <c r="F23" s="254">
        <v>10000000</v>
      </c>
      <c r="H23" s="253" t="s">
        <v>505</v>
      </c>
      <c r="I23" s="2">
        <f t="shared" si="0"/>
        <v>10000000</v>
      </c>
      <c r="J23" s="2">
        <f>VLOOKUP(H23,'доля  в выпуске'!$A:$B,2,0)</f>
        <v>400000000</v>
      </c>
      <c r="K23" s="252">
        <f t="shared" si="1"/>
        <v>2.5000000000000001E-2</v>
      </c>
    </row>
    <row r="24" spans="1:11" x14ac:dyDescent="0.25">
      <c r="A24" t="s">
        <v>600</v>
      </c>
      <c r="B24" s="227">
        <v>5000000000</v>
      </c>
      <c r="E24" s="253" t="s">
        <v>496</v>
      </c>
      <c r="F24" s="254">
        <v>106400000</v>
      </c>
      <c r="H24" s="253" t="s">
        <v>496</v>
      </c>
      <c r="I24" s="2">
        <f t="shared" si="0"/>
        <v>106400000</v>
      </c>
      <c r="J24" s="2">
        <f>VLOOKUP(H24,'доля  в выпуске'!$A:$B,2,0)</f>
        <v>2000000000</v>
      </c>
      <c r="K24" s="252">
        <f t="shared" si="1"/>
        <v>5.3199999999999997E-2</v>
      </c>
    </row>
    <row r="25" spans="1:11" x14ac:dyDescent="0.25">
      <c r="A25" t="s">
        <v>601</v>
      </c>
      <c r="B25" s="227">
        <v>5000000000</v>
      </c>
      <c r="E25" s="253" t="s">
        <v>484</v>
      </c>
      <c r="F25" s="254">
        <v>900000</v>
      </c>
      <c r="H25" s="253" t="s">
        <v>484</v>
      </c>
      <c r="I25" s="2">
        <f t="shared" si="0"/>
        <v>900000</v>
      </c>
      <c r="J25" s="2">
        <f>VLOOKUP(H25,'доля  в выпуске'!$A:$B,2,0)</f>
        <v>500000000</v>
      </c>
      <c r="K25" s="252">
        <f t="shared" si="1"/>
        <v>1.8E-3</v>
      </c>
    </row>
    <row r="26" spans="1:11" x14ac:dyDescent="0.25">
      <c r="A26" t="s">
        <v>602</v>
      </c>
      <c r="B26" s="227">
        <v>10000000000</v>
      </c>
      <c r="E26" s="253" t="s">
        <v>498</v>
      </c>
      <c r="F26" s="254">
        <v>10225000</v>
      </c>
      <c r="H26" s="253" t="s">
        <v>498</v>
      </c>
      <c r="I26" s="2">
        <f t="shared" si="0"/>
        <v>10225000</v>
      </c>
      <c r="J26" s="2">
        <f>VLOOKUP(H26,'доля  в выпуске'!$A:$B,2,0)</f>
        <v>1500000000</v>
      </c>
      <c r="K26" s="252">
        <f t="shared" si="1"/>
        <v>6.8166666666666671E-3</v>
      </c>
    </row>
    <row r="27" spans="1:11" x14ac:dyDescent="0.25">
      <c r="A27" t="s">
        <v>603</v>
      </c>
      <c r="B27" s="227">
        <v>49999827000</v>
      </c>
      <c r="E27" s="253" t="s">
        <v>482</v>
      </c>
      <c r="F27" s="254">
        <v>4500000</v>
      </c>
      <c r="H27" s="253" t="s">
        <v>482</v>
      </c>
      <c r="I27" s="2">
        <f t="shared" si="0"/>
        <v>4500000</v>
      </c>
      <c r="J27" s="2">
        <f>VLOOKUP(H27,'доля  в выпуске'!$A:$B,2,0)</f>
        <v>900000000</v>
      </c>
      <c r="K27" s="252">
        <f t="shared" si="1"/>
        <v>5.0000000000000001E-3</v>
      </c>
    </row>
    <row r="28" spans="1:11" x14ac:dyDescent="0.25">
      <c r="A28" t="s">
        <v>541</v>
      </c>
      <c r="B28" s="227">
        <v>48197806000</v>
      </c>
      <c r="E28" s="253" t="s">
        <v>494</v>
      </c>
      <c r="F28" s="254">
        <v>62825000</v>
      </c>
      <c r="H28" s="253" t="s">
        <v>494</v>
      </c>
      <c r="I28" s="2">
        <f t="shared" si="0"/>
        <v>62825000</v>
      </c>
      <c r="J28" s="2">
        <f>VLOOKUP(H28,'доля  в выпуске'!$A:$B,2,0)</f>
        <v>1500000000</v>
      </c>
      <c r="K28" s="252">
        <f t="shared" si="1"/>
        <v>4.1883333333333335E-2</v>
      </c>
    </row>
    <row r="29" spans="1:11" x14ac:dyDescent="0.25">
      <c r="A29" t="s">
        <v>604</v>
      </c>
      <c r="B29" s="227">
        <v>7557011000</v>
      </c>
      <c r="E29" s="253" t="s">
        <v>493</v>
      </c>
      <c r="F29" s="254">
        <v>76268000</v>
      </c>
      <c r="H29" s="253" t="s">
        <v>493</v>
      </c>
      <c r="I29" s="2">
        <f t="shared" si="0"/>
        <v>76268000</v>
      </c>
      <c r="J29" s="2">
        <f>VLOOKUP(H29,'доля  в выпуске'!$A:$B,2,0)</f>
        <v>1000000000</v>
      </c>
      <c r="K29" s="252">
        <f t="shared" si="1"/>
        <v>7.6268000000000002E-2</v>
      </c>
    </row>
    <row r="30" spans="1:11" x14ac:dyDescent="0.25">
      <c r="A30" t="s">
        <v>605</v>
      </c>
      <c r="B30" s="227">
        <v>4751314000</v>
      </c>
      <c r="E30" s="253" t="s">
        <v>485</v>
      </c>
      <c r="F30" s="254">
        <v>3000000</v>
      </c>
      <c r="H30" s="253" t="s">
        <v>485</v>
      </c>
      <c r="I30" s="2">
        <f t="shared" si="0"/>
        <v>3000000</v>
      </c>
      <c r="J30" s="2">
        <f>VLOOKUP(H30,'доля  в выпуске'!$A:$B,2,0)</f>
        <v>700000000</v>
      </c>
      <c r="K30" s="252">
        <f t="shared" si="1"/>
        <v>4.2857142857142859E-3</v>
      </c>
    </row>
    <row r="31" spans="1:11" x14ac:dyDescent="0.25">
      <c r="A31" t="s">
        <v>606</v>
      </c>
      <c r="B31" s="227">
        <v>6187764000</v>
      </c>
      <c r="E31" s="253" t="s">
        <v>570</v>
      </c>
      <c r="F31" s="254">
        <v>400000000</v>
      </c>
      <c r="H31" s="253" t="s">
        <v>570</v>
      </c>
      <c r="I31" s="2">
        <f t="shared" si="0"/>
        <v>400000000</v>
      </c>
      <c r="J31" s="2">
        <f>VLOOKUP(H31,'доля  в выпуске'!$A:$B,2,0)</f>
        <v>20000000000</v>
      </c>
      <c r="K31" s="252">
        <f t="shared" si="1"/>
        <v>0.02</v>
      </c>
    </row>
    <row r="32" spans="1:11" x14ac:dyDescent="0.25">
      <c r="A32" t="s">
        <v>542</v>
      </c>
      <c r="B32" s="227">
        <v>74263788000</v>
      </c>
      <c r="E32" s="253" t="s">
        <v>530</v>
      </c>
      <c r="F32" s="254">
        <v>499000000</v>
      </c>
      <c r="H32" s="253" t="s">
        <v>530</v>
      </c>
      <c r="I32" s="2">
        <f>SUMIF($E$4:$E$213,H32,$F$4:$F$213)</f>
        <v>499000000</v>
      </c>
      <c r="J32" s="2">
        <f>VLOOKUP(H32,'доля  в выпуске'!$A:$B,2,0)</f>
        <v>6000000000</v>
      </c>
      <c r="K32" s="252">
        <f t="shared" si="1"/>
        <v>8.3166666666666667E-2</v>
      </c>
    </row>
    <row r="33" spans="1:13" x14ac:dyDescent="0.25">
      <c r="A33" t="s">
        <v>607</v>
      </c>
      <c r="B33" s="227">
        <v>46088517000</v>
      </c>
      <c r="E33" s="253" t="s">
        <v>510</v>
      </c>
      <c r="F33" s="254">
        <v>594298000</v>
      </c>
      <c r="H33" s="253" t="s">
        <v>510</v>
      </c>
      <c r="I33" s="2">
        <f t="shared" si="0"/>
        <v>594298000</v>
      </c>
      <c r="J33" s="2">
        <f>VLOOKUP(H33,'доля  в выпуске'!$A:$B,2,0)</f>
        <v>10000000000</v>
      </c>
      <c r="K33" s="252">
        <f t="shared" si="1"/>
        <v>5.9429799999999998E-2</v>
      </c>
    </row>
    <row r="34" spans="1:13" x14ac:dyDescent="0.25">
      <c r="A34" t="s">
        <v>547</v>
      </c>
      <c r="B34" s="227">
        <v>1961303530</v>
      </c>
      <c r="E34" s="253" t="s">
        <v>509</v>
      </c>
      <c r="F34" s="254">
        <v>485018000</v>
      </c>
      <c r="H34" s="253" t="s">
        <v>509</v>
      </c>
      <c r="I34" s="2">
        <f t="shared" si="0"/>
        <v>485018000</v>
      </c>
      <c r="J34" s="2">
        <f>VLOOKUP(H34,'доля  в выпуске'!$A:$B,2,0)</f>
        <v>10000000000</v>
      </c>
      <c r="K34" s="252">
        <f t="shared" si="1"/>
        <v>4.8501799999999998E-2</v>
      </c>
    </row>
    <row r="35" spans="1:13" x14ac:dyDescent="0.25">
      <c r="A35" t="s">
        <v>543</v>
      </c>
      <c r="B35" s="227">
        <v>72973525000</v>
      </c>
      <c r="E35" s="253" t="s">
        <v>512</v>
      </c>
      <c r="F35" s="254">
        <v>611598000</v>
      </c>
      <c r="H35" s="253" t="s">
        <v>512</v>
      </c>
      <c r="I35" s="2">
        <f t="shared" si="0"/>
        <v>611598000</v>
      </c>
      <c r="J35" s="2">
        <f>VLOOKUP(H35,'доля  в выпуске'!$A:$B,2,0)</f>
        <v>10000000000</v>
      </c>
      <c r="K35" s="252">
        <f t="shared" si="1"/>
        <v>6.11598E-2</v>
      </c>
    </row>
    <row r="36" spans="1:13" x14ac:dyDescent="0.25">
      <c r="A36" t="s">
        <v>608</v>
      </c>
      <c r="B36" s="227">
        <v>2108581000</v>
      </c>
      <c r="E36" s="253" t="s">
        <v>514</v>
      </c>
      <c r="F36" s="254">
        <v>365535000</v>
      </c>
      <c r="H36" s="253" t="s">
        <v>514</v>
      </c>
      <c r="I36" s="2">
        <f t="shared" si="0"/>
        <v>365535000</v>
      </c>
      <c r="J36" s="2">
        <f>VLOOKUP(H36,'доля  в выпуске'!$A:$B,2,0)</f>
        <v>5000000000</v>
      </c>
      <c r="K36" s="252">
        <f t="shared" si="1"/>
        <v>7.3107000000000005E-2</v>
      </c>
    </row>
    <row r="37" spans="1:13" x14ac:dyDescent="0.25">
      <c r="A37" t="s">
        <v>544</v>
      </c>
      <c r="B37" s="227">
        <v>95652798000</v>
      </c>
      <c r="E37" s="253" t="s">
        <v>506</v>
      </c>
      <c r="F37" s="254">
        <v>217807000</v>
      </c>
      <c r="H37" s="253" t="s">
        <v>506</v>
      </c>
      <c r="I37" s="2">
        <f t="shared" si="0"/>
        <v>217807000</v>
      </c>
      <c r="J37" s="2">
        <f>VLOOKUP(H37,'доля  в выпуске'!$A:$B,2,0)</f>
        <v>4000000000</v>
      </c>
      <c r="K37" s="252">
        <f t="shared" si="1"/>
        <v>5.445175E-2</v>
      </c>
    </row>
    <row r="38" spans="1:13" x14ac:dyDescent="0.25">
      <c r="A38" t="s">
        <v>609</v>
      </c>
      <c r="B38" s="227">
        <v>4923727000</v>
      </c>
      <c r="E38" s="253" t="s">
        <v>1966</v>
      </c>
      <c r="F38" s="254">
        <v>296601145</v>
      </c>
      <c r="H38" s="253" t="s">
        <v>1966</v>
      </c>
      <c r="I38" s="2">
        <f t="shared" si="0"/>
        <v>296601145</v>
      </c>
      <c r="J38" s="2">
        <f>VLOOKUP(H38,'доля  в выпуске'!$A:$B,2,0)</f>
        <v>10308852000</v>
      </c>
      <c r="K38" s="252">
        <f t="shared" si="1"/>
        <v>2.877150093919284E-2</v>
      </c>
    </row>
    <row r="39" spans="1:13" x14ac:dyDescent="0.25">
      <c r="A39" t="s">
        <v>610</v>
      </c>
      <c r="B39" s="227">
        <v>24085632000</v>
      </c>
      <c r="E39" s="253" t="s">
        <v>507</v>
      </c>
      <c r="F39" s="254">
        <v>35515420</v>
      </c>
      <c r="H39" s="253" t="s">
        <v>507</v>
      </c>
      <c r="I39" s="2">
        <f t="shared" si="0"/>
        <v>35871518</v>
      </c>
      <c r="J39" s="2">
        <f>VLOOKUP(H39,'доля  в выпуске'!$A:$B,2,0)</f>
        <v>2382831000</v>
      </c>
      <c r="K39" s="252">
        <f t="shared" si="1"/>
        <v>1.5054159527049967E-2</v>
      </c>
    </row>
    <row r="40" spans="1:13" x14ac:dyDescent="0.25">
      <c r="A40" t="s">
        <v>611</v>
      </c>
      <c r="B40" s="227">
        <v>96608082000</v>
      </c>
      <c r="E40" s="253" t="s">
        <v>517</v>
      </c>
      <c r="F40" s="254">
        <v>491673000</v>
      </c>
      <c r="H40" s="253" t="s">
        <v>517</v>
      </c>
      <c r="I40" s="2">
        <f t="shared" si="0"/>
        <v>491673000</v>
      </c>
      <c r="J40" s="2">
        <f>VLOOKUP(H40,'доля  в выпуске'!$A:$B,2,0)</f>
        <v>7000000000</v>
      </c>
      <c r="K40" s="252">
        <f t="shared" si="1"/>
        <v>7.0238999999999996E-2</v>
      </c>
    </row>
    <row r="41" spans="1:13" x14ac:dyDescent="0.25">
      <c r="A41" t="s">
        <v>612</v>
      </c>
      <c r="B41" s="227">
        <v>6652643000</v>
      </c>
      <c r="E41" s="253" t="s">
        <v>524</v>
      </c>
      <c r="F41" s="254">
        <v>1300000000</v>
      </c>
      <c r="H41" s="253" t="s">
        <v>524</v>
      </c>
      <c r="I41" s="2">
        <f t="shared" si="0"/>
        <v>1480555000</v>
      </c>
      <c r="J41" s="2">
        <f>VLOOKUP(H41,'доля  в выпуске'!$A:$B,2,0)</f>
        <v>7000000000</v>
      </c>
      <c r="K41" s="252">
        <f t="shared" si="1"/>
        <v>0.21150785714285714</v>
      </c>
    </row>
    <row r="42" spans="1:13" x14ac:dyDescent="0.25">
      <c r="A42" t="s">
        <v>613</v>
      </c>
      <c r="B42" s="227">
        <v>16252739000</v>
      </c>
      <c r="E42" s="253" t="s">
        <v>528</v>
      </c>
      <c r="F42" s="254">
        <v>300000000</v>
      </c>
      <c r="H42" s="253" t="s">
        <v>528</v>
      </c>
      <c r="I42" s="2">
        <f t="shared" si="0"/>
        <v>300000000</v>
      </c>
      <c r="J42" s="2">
        <f>VLOOKUP(H42,'доля  в выпуске'!$A:$B,2,0)</f>
        <v>5000000000</v>
      </c>
      <c r="K42" s="252">
        <f t="shared" si="1"/>
        <v>0.06</v>
      </c>
    </row>
    <row r="43" spans="1:13" x14ac:dyDescent="0.25">
      <c r="A43" t="s">
        <v>614</v>
      </c>
      <c r="B43" s="227">
        <v>1035600000</v>
      </c>
      <c r="E43" s="253" t="s">
        <v>529</v>
      </c>
      <c r="F43" s="254">
        <v>200000000</v>
      </c>
      <c r="H43" s="253" t="s">
        <v>529</v>
      </c>
      <c r="I43" s="191">
        <f t="shared" si="0"/>
        <v>200000000</v>
      </c>
      <c r="J43" s="191">
        <f>VLOOKUP(H43,'доля  в выпуске'!$A:$B,2,0)</f>
        <v>5000000000</v>
      </c>
      <c r="K43" s="258">
        <f t="shared" si="1"/>
        <v>0.04</v>
      </c>
    </row>
    <row r="44" spans="1:13" x14ac:dyDescent="0.25">
      <c r="A44" t="s">
        <v>615</v>
      </c>
      <c r="B44" s="227">
        <v>7244692000</v>
      </c>
      <c r="E44" s="253" t="s">
        <v>531</v>
      </c>
      <c r="F44" s="254">
        <v>4000000000</v>
      </c>
      <c r="H44" s="253" t="s">
        <v>531</v>
      </c>
      <c r="I44" s="2">
        <f t="shared" si="0"/>
        <v>4000000000</v>
      </c>
      <c r="J44" s="2">
        <f>VLOOKUP(H44,'доля  в выпуске'!$A:$B,2,0)</f>
        <v>5000000000</v>
      </c>
      <c r="K44" s="252">
        <f t="shared" si="1"/>
        <v>0.8</v>
      </c>
      <c r="M44" t="s">
        <v>461</v>
      </c>
    </row>
    <row r="45" spans="1:13" x14ac:dyDescent="0.25">
      <c r="A45" t="s">
        <v>616</v>
      </c>
      <c r="B45" s="227">
        <v>14018879000</v>
      </c>
      <c r="E45" s="253" t="s">
        <v>532</v>
      </c>
      <c r="F45" s="254">
        <v>1000000000</v>
      </c>
      <c r="H45" s="253" t="s">
        <v>532</v>
      </c>
      <c r="I45" s="2">
        <f t="shared" si="0"/>
        <v>1000000000</v>
      </c>
      <c r="J45" s="2">
        <f>VLOOKUP(H45,'доля  в выпуске'!$A:$B,2,0)</f>
        <v>5000000000</v>
      </c>
      <c r="K45" s="252">
        <f t="shared" si="1"/>
        <v>0.2</v>
      </c>
    </row>
    <row r="46" spans="1:13" x14ac:dyDescent="0.25">
      <c r="A46" t="s">
        <v>617</v>
      </c>
      <c r="B46" s="227">
        <v>1384767000</v>
      </c>
      <c r="E46" s="253" t="s">
        <v>521</v>
      </c>
      <c r="F46" s="254">
        <v>1400000000</v>
      </c>
      <c r="H46" s="253" t="s">
        <v>521</v>
      </c>
      <c r="I46" s="2">
        <f t="shared" si="0"/>
        <v>1400000000</v>
      </c>
      <c r="J46" s="2">
        <f>VLOOKUP(H46,'доля  в выпуске'!$A:$B,2,0)</f>
        <v>15000000000</v>
      </c>
      <c r="K46" s="252">
        <f t="shared" si="1"/>
        <v>9.3333333333333338E-2</v>
      </c>
    </row>
    <row r="47" spans="1:13" x14ac:dyDescent="0.25">
      <c r="A47" t="s">
        <v>618</v>
      </c>
      <c r="B47" s="227">
        <v>1957905000</v>
      </c>
      <c r="E47" s="253" t="s">
        <v>515</v>
      </c>
      <c r="F47" s="254">
        <v>1177022000</v>
      </c>
      <c r="H47" s="253" t="s">
        <v>515</v>
      </c>
      <c r="I47" s="2">
        <f t="shared" si="0"/>
        <v>1177022000</v>
      </c>
      <c r="J47" s="2">
        <f>VLOOKUP(H47,'доля  в выпуске'!$A:$B,2,0)</f>
        <v>9000000000</v>
      </c>
      <c r="K47" s="252">
        <f t="shared" si="1"/>
        <v>0.13078022222222221</v>
      </c>
    </row>
    <row r="48" spans="1:13" x14ac:dyDescent="0.25">
      <c r="A48" t="s">
        <v>619</v>
      </c>
      <c r="B48" s="227">
        <v>2663462000</v>
      </c>
      <c r="E48" s="253" t="s">
        <v>518</v>
      </c>
      <c r="F48" s="254">
        <v>2000000000</v>
      </c>
      <c r="H48" s="253" t="s">
        <v>518</v>
      </c>
      <c r="I48" s="2">
        <f t="shared" si="0"/>
        <v>2000000000</v>
      </c>
      <c r="J48" s="2">
        <f>VLOOKUP(H48,'доля  в выпуске'!$A:$B,2,0)</f>
        <v>13400000000</v>
      </c>
      <c r="K48" s="252">
        <f t="shared" si="1"/>
        <v>0.14925373134328357</v>
      </c>
    </row>
    <row r="49" spans="1:11" x14ac:dyDescent="0.25">
      <c r="A49" t="s">
        <v>620</v>
      </c>
      <c r="B49" s="227">
        <v>7207044000</v>
      </c>
      <c r="E49" s="253" t="s">
        <v>522</v>
      </c>
      <c r="F49" s="254">
        <v>1500000000</v>
      </c>
      <c r="H49" s="253" t="s">
        <v>522</v>
      </c>
      <c r="I49" s="2">
        <f t="shared" si="0"/>
        <v>1500000000</v>
      </c>
      <c r="J49" s="2">
        <f>VLOOKUP(H49,'доля  в выпуске'!$A:$B,2,0)</f>
        <v>6500000000</v>
      </c>
      <c r="K49" s="252">
        <f t="shared" si="1"/>
        <v>0.23076923076923078</v>
      </c>
    </row>
    <row r="50" spans="1:11" x14ac:dyDescent="0.25">
      <c r="A50" t="s">
        <v>621</v>
      </c>
      <c r="B50" s="227">
        <v>5825188000</v>
      </c>
      <c r="E50" s="253" t="s">
        <v>508</v>
      </c>
      <c r="F50" s="254">
        <v>43594000</v>
      </c>
      <c r="H50" s="253" t="s">
        <v>508</v>
      </c>
      <c r="I50" s="2">
        <f t="shared" si="0"/>
        <v>71758000</v>
      </c>
      <c r="J50" s="2">
        <f>VLOOKUP(H50,'доля  в выпуске'!$A:$B,2,0)</f>
        <v>5000000000</v>
      </c>
      <c r="K50" s="252">
        <f t="shared" si="1"/>
        <v>1.4351600000000001E-2</v>
      </c>
    </row>
    <row r="51" spans="1:11" x14ac:dyDescent="0.25">
      <c r="A51" t="s">
        <v>622</v>
      </c>
      <c r="B51" s="227">
        <v>10206258000</v>
      </c>
      <c r="E51" s="253" t="s">
        <v>516</v>
      </c>
      <c r="F51" s="254">
        <v>989272000</v>
      </c>
      <c r="H51" s="253" t="s">
        <v>516</v>
      </c>
      <c r="I51" s="2">
        <f t="shared" si="0"/>
        <v>989272000</v>
      </c>
      <c r="J51" s="2">
        <f>VLOOKUP(H51,'доля  в выпуске'!$A:$B,2,0)</f>
        <v>10000000000</v>
      </c>
      <c r="K51" s="252">
        <f t="shared" si="1"/>
        <v>9.8927200000000007E-2</v>
      </c>
    </row>
    <row r="52" spans="1:11" x14ac:dyDescent="0.25">
      <c r="A52" t="s">
        <v>623</v>
      </c>
      <c r="B52" s="227">
        <v>16540117000</v>
      </c>
      <c r="E52" s="253" t="s">
        <v>489</v>
      </c>
      <c r="F52" s="254">
        <v>15750000</v>
      </c>
      <c r="H52" s="253" t="s">
        <v>489</v>
      </c>
      <c r="I52" s="2">
        <f t="shared" si="0"/>
        <v>20550000</v>
      </c>
      <c r="J52" s="2">
        <f>VLOOKUP(H52,'доля  в выпуске'!$A:$B,2,0)</f>
        <v>150000000</v>
      </c>
      <c r="K52" s="252">
        <f t="shared" si="1"/>
        <v>0.13700000000000001</v>
      </c>
    </row>
    <row r="53" spans="1:11" x14ac:dyDescent="0.25">
      <c r="A53" t="s">
        <v>548</v>
      </c>
      <c r="B53" s="2">
        <v>191455712000</v>
      </c>
      <c r="E53" s="253" t="s">
        <v>525</v>
      </c>
      <c r="F53" s="254">
        <v>637400000</v>
      </c>
      <c r="H53" s="253" t="s">
        <v>525</v>
      </c>
      <c r="I53" s="2">
        <f t="shared" si="0"/>
        <v>637400000</v>
      </c>
      <c r="J53" s="2">
        <f>VLOOKUP(H53,'доля  в выпуске'!$A:$B,2,0)</f>
        <v>10000000000</v>
      </c>
      <c r="K53" s="252">
        <f t="shared" si="1"/>
        <v>6.3740000000000005E-2</v>
      </c>
    </row>
    <row r="54" spans="1:11" x14ac:dyDescent="0.25">
      <c r="A54" t="s">
        <v>624</v>
      </c>
      <c r="B54" s="227">
        <v>49087016000</v>
      </c>
      <c r="E54" s="253" t="s">
        <v>520</v>
      </c>
      <c r="F54" s="254">
        <v>608103000</v>
      </c>
      <c r="H54" s="253" t="s">
        <v>520</v>
      </c>
      <c r="I54" s="2">
        <f t="shared" si="0"/>
        <v>608103000</v>
      </c>
      <c r="J54" s="2">
        <f>VLOOKUP(H54,'доля  в выпуске'!$A:$B,2,0)</f>
        <v>10000000000</v>
      </c>
      <c r="K54" s="252">
        <f t="shared" si="1"/>
        <v>6.0810299999999998E-2</v>
      </c>
    </row>
    <row r="55" spans="1:11" x14ac:dyDescent="0.25">
      <c r="A55" t="s">
        <v>625</v>
      </c>
      <c r="B55" s="227">
        <v>11252259000</v>
      </c>
      <c r="E55" s="253" t="s">
        <v>519</v>
      </c>
      <c r="F55" s="254">
        <v>1972860000</v>
      </c>
      <c r="H55" s="253" t="s">
        <v>519</v>
      </c>
      <c r="I55" s="2">
        <f t="shared" si="0"/>
        <v>2132879000</v>
      </c>
      <c r="J55" s="2">
        <f>VLOOKUP(H55,'доля  в выпуске'!$A:$B,2,0)</f>
        <v>20000000000</v>
      </c>
      <c r="K55" s="252">
        <f t="shared" si="1"/>
        <v>0.10664395</v>
      </c>
    </row>
    <row r="56" spans="1:11" x14ac:dyDescent="0.25">
      <c r="A56" t="s">
        <v>626</v>
      </c>
      <c r="B56" s="227">
        <v>4742319000</v>
      </c>
      <c r="E56" s="253" t="s">
        <v>511</v>
      </c>
      <c r="F56" s="254">
        <v>561444000</v>
      </c>
      <c r="H56" s="253" t="s">
        <v>511</v>
      </c>
      <c r="I56" s="2">
        <f t="shared" si="0"/>
        <v>719719000</v>
      </c>
      <c r="J56" s="2">
        <f>VLOOKUP(H56,'доля  в выпуске'!$A:$B,2,0)</f>
        <v>5000000000</v>
      </c>
      <c r="K56" s="252">
        <f t="shared" si="1"/>
        <v>0.14394380000000001</v>
      </c>
    </row>
    <row r="57" spans="1:11" x14ac:dyDescent="0.25">
      <c r="A57" t="s">
        <v>627</v>
      </c>
      <c r="B57" s="227">
        <v>9749207000</v>
      </c>
      <c r="E57" s="253" t="s">
        <v>513</v>
      </c>
      <c r="F57" s="254">
        <v>143431000</v>
      </c>
      <c r="H57" s="253" t="s">
        <v>513</v>
      </c>
      <c r="I57" s="2">
        <f t="shared" si="0"/>
        <v>197879000</v>
      </c>
      <c r="J57" s="2">
        <f>VLOOKUP(H57,'доля  в выпуске'!$A:$B,2,0)</f>
        <v>6500000000</v>
      </c>
      <c r="K57" s="252">
        <f t="shared" si="1"/>
        <v>3.0442923076923076E-2</v>
      </c>
    </row>
    <row r="58" spans="1:11" x14ac:dyDescent="0.25">
      <c r="A58" t="s">
        <v>628</v>
      </c>
      <c r="B58" s="227">
        <v>3087641000</v>
      </c>
      <c r="E58" s="253" t="s">
        <v>526</v>
      </c>
      <c r="F58" s="254">
        <v>75000000</v>
      </c>
      <c r="H58" s="253" t="s">
        <v>526</v>
      </c>
      <c r="I58" s="2">
        <f t="shared" si="0"/>
        <v>90796250</v>
      </c>
      <c r="J58" s="2">
        <f>VLOOKUP(H58,'доля  в выпуске'!$A:$B,2,0)</f>
        <v>3000000000</v>
      </c>
      <c r="K58" s="252">
        <f t="shared" si="1"/>
        <v>3.0265416666666666E-2</v>
      </c>
    </row>
    <row r="59" spans="1:11" x14ac:dyDescent="0.25">
      <c r="A59" t="s">
        <v>629</v>
      </c>
      <c r="B59" s="227">
        <v>45718936000</v>
      </c>
      <c r="E59" s="253" t="s">
        <v>533</v>
      </c>
      <c r="F59" s="254">
        <v>700000000</v>
      </c>
      <c r="H59" s="253" t="s">
        <v>533</v>
      </c>
      <c r="I59" s="2">
        <f t="shared" si="0"/>
        <v>700000000</v>
      </c>
      <c r="J59" s="2">
        <f>VLOOKUP(H59,'доля  в выпуске'!$A:$B,2,0)</f>
        <v>10000000000</v>
      </c>
      <c r="K59" s="252">
        <f t="shared" si="1"/>
        <v>7.0000000000000007E-2</v>
      </c>
    </row>
    <row r="60" spans="1:11" x14ac:dyDescent="0.25">
      <c r="A60" t="s">
        <v>630</v>
      </c>
      <c r="B60" s="227">
        <v>250000000</v>
      </c>
      <c r="E60" s="253" t="s">
        <v>1990</v>
      </c>
      <c r="F60" s="254">
        <v>2421500000</v>
      </c>
      <c r="H60" s="253" t="s">
        <v>1990</v>
      </c>
      <c r="I60" s="2">
        <f t="shared" si="0"/>
        <v>2421500000</v>
      </c>
      <c r="J60" s="2">
        <f>VLOOKUP(H60,'доля  в выпуске'!$A:$B,2,0)</f>
        <v>390287001000</v>
      </c>
      <c r="K60" s="252">
        <f t="shared" si="1"/>
        <v>6.2044085347336487E-3</v>
      </c>
    </row>
    <row r="61" spans="1:11" x14ac:dyDescent="0.25">
      <c r="A61" t="s">
        <v>631</v>
      </c>
      <c r="B61" s="227">
        <v>350000000</v>
      </c>
      <c r="E61" s="253" t="s">
        <v>534</v>
      </c>
      <c r="F61" s="254">
        <v>2421500000</v>
      </c>
      <c r="H61" s="253" t="s">
        <v>534</v>
      </c>
      <c r="I61" s="2">
        <f t="shared" si="0"/>
        <v>3139520000</v>
      </c>
      <c r="J61" s="2">
        <f>VLOOKUP(H61,'доля  в выпуске'!$A:$B,2,0)</f>
        <v>200000000000</v>
      </c>
      <c r="K61" s="252">
        <f t="shared" si="1"/>
        <v>1.5697599999999999E-2</v>
      </c>
    </row>
    <row r="62" spans="1:11" x14ac:dyDescent="0.25">
      <c r="A62" t="s">
        <v>632</v>
      </c>
      <c r="B62" s="227">
        <v>15000000000</v>
      </c>
      <c r="E62" s="253" t="s">
        <v>1993</v>
      </c>
      <c r="F62" s="254">
        <v>2421500000</v>
      </c>
      <c r="H62" s="253" t="s">
        <v>1993</v>
      </c>
      <c r="I62" s="2">
        <f t="shared" si="0"/>
        <v>2421500000</v>
      </c>
      <c r="J62" s="2">
        <f>VLOOKUP(H62,'доля  в выпуске'!$A:$B,2,0)</f>
        <v>200000000000</v>
      </c>
      <c r="K62" s="252">
        <f t="shared" si="1"/>
        <v>1.21075E-2</v>
      </c>
    </row>
    <row r="63" spans="1:11" x14ac:dyDescent="0.25">
      <c r="A63" t="s">
        <v>633</v>
      </c>
      <c r="B63" s="227">
        <v>15000000000</v>
      </c>
      <c r="E63" s="253" t="s">
        <v>1995</v>
      </c>
      <c r="F63" s="254">
        <v>2421500000</v>
      </c>
      <c r="H63" s="253" t="s">
        <v>1995</v>
      </c>
      <c r="I63" s="2">
        <f t="shared" si="0"/>
        <v>2421500000</v>
      </c>
      <c r="J63" s="2">
        <f>VLOOKUP(H63,'доля  в выпуске'!$A:$B,2,0)</f>
        <v>200000000000</v>
      </c>
      <c r="K63" s="252">
        <f t="shared" si="1"/>
        <v>1.21075E-2</v>
      </c>
    </row>
    <row r="64" spans="1:11" x14ac:dyDescent="0.25">
      <c r="A64" t="s">
        <v>634</v>
      </c>
      <c r="B64" s="227">
        <v>15000000000</v>
      </c>
      <c r="E64" s="253" t="s">
        <v>1997</v>
      </c>
      <c r="F64" s="254">
        <v>2421500000</v>
      </c>
      <c r="H64" s="253" t="s">
        <v>1997</v>
      </c>
      <c r="I64" s="191">
        <f t="shared" si="0"/>
        <v>2421500000</v>
      </c>
      <c r="J64" s="191">
        <f>VLOOKUP(H64,'доля  в выпуске'!$A:$B,2,0)</f>
        <v>200000000000</v>
      </c>
      <c r="K64" s="258">
        <f t="shared" si="1"/>
        <v>1.21075E-2</v>
      </c>
    </row>
    <row r="65" spans="1:13" x14ac:dyDescent="0.25">
      <c r="A65" t="s">
        <v>635</v>
      </c>
      <c r="B65" s="227">
        <v>15000000000</v>
      </c>
      <c r="E65" s="253" t="s">
        <v>545</v>
      </c>
      <c r="F65" s="254">
        <v>8465200000</v>
      </c>
      <c r="H65" s="253" t="s">
        <v>545</v>
      </c>
      <c r="I65" s="191">
        <f t="shared" si="0"/>
        <v>8465200000</v>
      </c>
      <c r="J65" s="191">
        <f>VLOOKUP(H65,'доля  в выпуске'!$A:$B,2,0)</f>
        <v>20000000000</v>
      </c>
      <c r="K65" s="258">
        <f t="shared" si="1"/>
        <v>0.42326000000000003</v>
      </c>
      <c r="M65" t="s">
        <v>147</v>
      </c>
    </row>
    <row r="66" spans="1:13" x14ac:dyDescent="0.25">
      <c r="A66" t="s">
        <v>636</v>
      </c>
      <c r="B66" s="227">
        <v>20000000000</v>
      </c>
      <c r="E66" s="253" t="s">
        <v>547</v>
      </c>
      <c r="F66" s="254">
        <v>1561554824</v>
      </c>
      <c r="H66" s="253" t="s">
        <v>547</v>
      </c>
      <c r="I66" s="2">
        <f t="shared" si="0"/>
        <v>1561554824</v>
      </c>
      <c r="J66" s="2">
        <f>VLOOKUP(H66,'доля  в выпуске'!$A:$B,2,0)</f>
        <v>1961303530</v>
      </c>
      <c r="K66" s="252">
        <f t="shared" si="1"/>
        <v>0.79618213097286372</v>
      </c>
      <c r="M66" t="s">
        <v>2121</v>
      </c>
    </row>
    <row r="67" spans="1:13" x14ac:dyDescent="0.25">
      <c r="A67" t="s">
        <v>637</v>
      </c>
      <c r="B67" s="227">
        <v>15000000000</v>
      </c>
      <c r="E67" s="253" t="s">
        <v>541</v>
      </c>
      <c r="F67" s="254">
        <v>385039065</v>
      </c>
      <c r="H67" s="253" t="s">
        <v>541</v>
      </c>
      <c r="I67" s="2">
        <f t="shared" si="0"/>
        <v>385039065</v>
      </c>
      <c r="J67" s="2">
        <f>VLOOKUP(H67,'доля  в выпуске'!$A:$B,2,0)</f>
        <v>48197806000</v>
      </c>
      <c r="K67" s="252">
        <f t="shared" si="1"/>
        <v>7.9887259805975393E-3</v>
      </c>
    </row>
    <row r="68" spans="1:13" x14ac:dyDescent="0.25">
      <c r="A68" t="s">
        <v>638</v>
      </c>
      <c r="B68" s="227">
        <v>10000000000</v>
      </c>
      <c r="E68" s="253" t="s">
        <v>542</v>
      </c>
      <c r="F68" s="254">
        <v>11967497722</v>
      </c>
      <c r="H68" s="253" t="s">
        <v>542</v>
      </c>
      <c r="I68" s="2">
        <f t="shared" si="0"/>
        <v>11967497722</v>
      </c>
      <c r="J68" s="2">
        <f>VLOOKUP(H68,'доля  в выпуске'!$A:$B,2,0)</f>
        <v>74263788000</v>
      </c>
      <c r="K68" s="252">
        <f t="shared" si="1"/>
        <v>0.16114849571099174</v>
      </c>
    </row>
    <row r="69" spans="1:13" x14ac:dyDescent="0.25">
      <c r="A69" t="s">
        <v>639</v>
      </c>
      <c r="B69" s="227">
        <v>10000000000</v>
      </c>
      <c r="E69" s="253" t="s">
        <v>543</v>
      </c>
      <c r="F69" s="254">
        <v>9894489600</v>
      </c>
      <c r="H69" s="253" t="s">
        <v>543</v>
      </c>
      <c r="I69" s="2">
        <f t="shared" ref="I69:I91" si="2">SUMIF($E$4:$E$213,H69,$F$4:$F$213)</f>
        <v>9894489600</v>
      </c>
      <c r="J69" s="2">
        <f>VLOOKUP(H69,'доля  в выпуске'!$A:$B,2,0)</f>
        <v>72973525000</v>
      </c>
      <c r="K69" s="252">
        <f t="shared" ref="K69:K91" si="3">I69/J69</f>
        <v>0.13559012806356827</v>
      </c>
    </row>
    <row r="70" spans="1:13" x14ac:dyDescent="0.25">
      <c r="A70" t="s">
        <v>640</v>
      </c>
      <c r="B70" s="227">
        <v>10000000000</v>
      </c>
      <c r="E70" s="253" t="s">
        <v>544</v>
      </c>
      <c r="F70" s="254">
        <v>13668051150</v>
      </c>
      <c r="H70" s="253" t="s">
        <v>544</v>
      </c>
      <c r="I70" s="2">
        <f t="shared" si="2"/>
        <v>13668051150</v>
      </c>
      <c r="J70" s="2">
        <f>VLOOKUP(H70,'доля  в выпуске'!$A:$B,2,0)</f>
        <v>95652798000</v>
      </c>
      <c r="K70" s="252">
        <f t="shared" si="3"/>
        <v>0.14289232971522695</v>
      </c>
    </row>
    <row r="71" spans="1:13" x14ac:dyDescent="0.25">
      <c r="A71" t="s">
        <v>641</v>
      </c>
      <c r="B71" s="227">
        <v>10000000000</v>
      </c>
      <c r="E71" s="253" t="s">
        <v>548</v>
      </c>
      <c r="F71" s="254">
        <v>8051737500</v>
      </c>
      <c r="H71" s="253" t="s">
        <v>548</v>
      </c>
      <c r="I71" s="2">
        <f t="shared" si="2"/>
        <v>8051737500</v>
      </c>
      <c r="J71" s="2">
        <f>VLOOKUP(H71,'доля  в выпуске'!$A:$B,2,0)</f>
        <v>191455712000</v>
      </c>
      <c r="K71" s="252">
        <f t="shared" si="3"/>
        <v>4.2055352728259159E-2</v>
      </c>
    </row>
    <row r="72" spans="1:13" x14ac:dyDescent="0.25">
      <c r="A72" t="s">
        <v>642</v>
      </c>
      <c r="B72" s="227">
        <v>10000000000</v>
      </c>
      <c r="E72" s="253" t="s">
        <v>549</v>
      </c>
      <c r="F72" s="254">
        <v>7500000000</v>
      </c>
      <c r="H72" s="253" t="s">
        <v>549</v>
      </c>
      <c r="I72" s="2">
        <f t="shared" si="2"/>
        <v>7500000000</v>
      </c>
      <c r="J72" s="2">
        <f>VLOOKUP(H72,'доля  в выпуске'!$A:$B,2,0)</f>
        <v>70000000000</v>
      </c>
      <c r="K72" s="252">
        <f t="shared" si="3"/>
        <v>0.10714285714285714</v>
      </c>
    </row>
    <row r="73" spans="1:13" x14ac:dyDescent="0.25">
      <c r="A73" t="s">
        <v>643</v>
      </c>
      <c r="B73" s="227">
        <v>15000000000</v>
      </c>
      <c r="E73" s="253" t="s">
        <v>546</v>
      </c>
      <c r="F73" s="254">
        <v>585000000</v>
      </c>
      <c r="H73" s="253" t="s">
        <v>546</v>
      </c>
      <c r="I73" s="2">
        <f t="shared" si="2"/>
        <v>585000000</v>
      </c>
      <c r="J73" s="2">
        <f>VLOOKUP(H73,'доля  в выпуске'!$A:$B,2,0)</f>
        <v>5000000000</v>
      </c>
      <c r="K73" s="252">
        <f t="shared" si="3"/>
        <v>0.11700000000000001</v>
      </c>
    </row>
    <row r="74" spans="1:13" x14ac:dyDescent="0.25">
      <c r="A74" t="s">
        <v>644</v>
      </c>
      <c r="B74" s="227">
        <v>20000000000</v>
      </c>
      <c r="E74" s="253" t="s">
        <v>535</v>
      </c>
      <c r="F74" s="254">
        <v>10000000</v>
      </c>
      <c r="H74" s="253" t="s">
        <v>535</v>
      </c>
      <c r="I74" s="2">
        <f t="shared" si="2"/>
        <v>20900000</v>
      </c>
      <c r="J74" s="2">
        <f>VLOOKUP(H74,'доля  в выпуске'!$A:$B,2,0)</f>
        <v>1250000000</v>
      </c>
      <c r="K74" s="252">
        <f t="shared" si="3"/>
        <v>1.6719999999999999E-2</v>
      </c>
    </row>
    <row r="75" spans="1:13" x14ac:dyDescent="0.25">
      <c r="A75" t="s">
        <v>645</v>
      </c>
      <c r="B75" s="227">
        <v>11000000000</v>
      </c>
      <c r="E75" s="253" t="s">
        <v>564</v>
      </c>
      <c r="F75" s="254">
        <v>250000000</v>
      </c>
      <c r="H75" s="253" t="s">
        <v>564</v>
      </c>
      <c r="I75" s="2">
        <f t="shared" si="2"/>
        <v>250000000</v>
      </c>
      <c r="J75" s="2">
        <f>VLOOKUP(H75,'доля  в выпуске'!$A:$B,2,0)</f>
        <v>450000000000</v>
      </c>
      <c r="K75" s="252">
        <f t="shared" si="3"/>
        <v>5.5555555555555556E-4</v>
      </c>
    </row>
    <row r="76" spans="1:13" x14ac:dyDescent="0.25">
      <c r="A76" t="s">
        <v>646</v>
      </c>
      <c r="B76" s="227">
        <v>15000000000</v>
      </c>
      <c r="E76" s="253" t="s">
        <v>563</v>
      </c>
      <c r="F76" s="254">
        <v>117969000</v>
      </c>
      <c r="H76" s="253" t="s">
        <v>563</v>
      </c>
      <c r="I76" s="2">
        <f t="shared" si="2"/>
        <v>117969000</v>
      </c>
      <c r="J76" s="2">
        <f>VLOOKUP(H76,'доля  в выпуске'!$A:$B,2,0)</f>
        <v>250000000000</v>
      </c>
      <c r="K76" s="252">
        <f t="shared" si="3"/>
        <v>4.7187599999999998E-4</v>
      </c>
    </row>
    <row r="77" spans="1:13" x14ac:dyDescent="0.25">
      <c r="A77" t="s">
        <v>647</v>
      </c>
      <c r="B77" s="227">
        <v>30000000000</v>
      </c>
      <c r="E77" s="253" t="s">
        <v>535</v>
      </c>
      <c r="F77" s="254">
        <v>10900000</v>
      </c>
      <c r="H77" s="253" t="s">
        <v>573</v>
      </c>
      <c r="I77" s="2">
        <f t="shared" si="2"/>
        <v>13540000</v>
      </c>
      <c r="J77" s="2">
        <f>VLOOKUP(H77,'доля  в выпуске'!$A:$B,2,0)</f>
        <v>500000000</v>
      </c>
      <c r="K77" s="252">
        <f t="shared" si="3"/>
        <v>2.708E-2</v>
      </c>
    </row>
    <row r="78" spans="1:13" x14ac:dyDescent="0.25">
      <c r="A78" t="s">
        <v>648</v>
      </c>
      <c r="B78" s="227">
        <v>15000000000</v>
      </c>
      <c r="E78" s="253" t="s">
        <v>534</v>
      </c>
      <c r="F78" s="254">
        <v>718020000</v>
      </c>
      <c r="H78" s="253" t="s">
        <v>551</v>
      </c>
      <c r="I78" s="2">
        <f t="shared" si="2"/>
        <v>29289000</v>
      </c>
      <c r="J78" s="2">
        <f>VLOOKUP(H78,'доля  в выпуске'!$A:$B,2,0)</f>
        <v>2000000000</v>
      </c>
      <c r="K78" s="252">
        <f t="shared" si="3"/>
        <v>1.46445E-2</v>
      </c>
    </row>
    <row r="79" spans="1:13" x14ac:dyDescent="0.25">
      <c r="A79" t="s">
        <v>649</v>
      </c>
      <c r="B79" s="227">
        <v>15000000000</v>
      </c>
      <c r="E79" s="253" t="s">
        <v>573</v>
      </c>
      <c r="F79" s="254">
        <v>13540000</v>
      </c>
      <c r="H79" s="253" t="s">
        <v>550</v>
      </c>
      <c r="I79" s="2">
        <f t="shared" si="2"/>
        <v>2000000</v>
      </c>
      <c r="J79" s="2">
        <f>VLOOKUP(H79,'доля  в выпуске'!$A:$B,2,0)</f>
        <v>500000000</v>
      </c>
      <c r="K79" s="252">
        <f t="shared" si="3"/>
        <v>4.0000000000000001E-3</v>
      </c>
    </row>
    <row r="80" spans="1:13" x14ac:dyDescent="0.25">
      <c r="A80" t="s">
        <v>650</v>
      </c>
      <c r="B80" s="227">
        <v>10000000000</v>
      </c>
      <c r="E80" s="253" t="s">
        <v>551</v>
      </c>
      <c r="F80" s="254">
        <v>29289000</v>
      </c>
      <c r="H80" s="253" t="s">
        <v>561</v>
      </c>
      <c r="I80" s="2">
        <f t="shared" si="2"/>
        <v>45000000</v>
      </c>
      <c r="J80" s="2">
        <f>VLOOKUP(H80,'доля  в выпуске'!$A:$B,2,0)</f>
        <v>4000000000</v>
      </c>
      <c r="K80" s="252">
        <f t="shared" si="3"/>
        <v>1.125E-2</v>
      </c>
    </row>
    <row r="81" spans="1:11" x14ac:dyDescent="0.25">
      <c r="A81" t="s">
        <v>651</v>
      </c>
      <c r="B81" s="227">
        <v>15000000000</v>
      </c>
      <c r="E81" s="253" t="s">
        <v>550</v>
      </c>
      <c r="F81" s="254">
        <v>2000000</v>
      </c>
      <c r="H81" s="253" t="s">
        <v>1104</v>
      </c>
      <c r="I81" s="2">
        <f t="shared" si="2"/>
        <v>5000000</v>
      </c>
      <c r="J81" s="2">
        <f>VLOOKUP(H81,'доля  в выпуске'!$A:$B,2,0)</f>
        <v>1150000000</v>
      </c>
      <c r="K81" s="252">
        <f t="shared" si="3"/>
        <v>4.3478260869565218E-3</v>
      </c>
    </row>
    <row r="82" spans="1:11" x14ac:dyDescent="0.25">
      <c r="A82" t="s">
        <v>652</v>
      </c>
      <c r="B82" s="227">
        <v>15000000000</v>
      </c>
      <c r="E82" s="253" t="s">
        <v>561</v>
      </c>
      <c r="F82" s="254">
        <v>45000000</v>
      </c>
      <c r="H82" s="253" t="s">
        <v>537</v>
      </c>
      <c r="I82" s="2">
        <f t="shared" si="2"/>
        <v>3500000</v>
      </c>
      <c r="J82" s="2">
        <f>VLOOKUP(H82,'доля  в выпуске'!$A:$B,2,0)</f>
        <v>1500000000</v>
      </c>
      <c r="K82" s="252">
        <f t="shared" si="3"/>
        <v>2.3333333333333335E-3</v>
      </c>
    </row>
    <row r="83" spans="1:11" x14ac:dyDescent="0.25">
      <c r="A83" t="s">
        <v>653</v>
      </c>
      <c r="B83" s="227">
        <v>30000000000</v>
      </c>
      <c r="E83" s="253" t="s">
        <v>1104</v>
      </c>
      <c r="F83" s="254">
        <v>5000000</v>
      </c>
      <c r="H83" s="253" t="s">
        <v>553</v>
      </c>
      <c r="I83" s="2">
        <f t="shared" si="2"/>
        <v>4000000</v>
      </c>
      <c r="J83" s="2">
        <f>VLOOKUP(H83,'доля  в выпуске'!$A:$B,2,0)</f>
        <v>1250000000</v>
      </c>
      <c r="K83" s="252">
        <f t="shared" si="3"/>
        <v>3.2000000000000002E-3</v>
      </c>
    </row>
    <row r="84" spans="1:11" x14ac:dyDescent="0.25">
      <c r="A84" t="s">
        <v>654</v>
      </c>
      <c r="B84" s="227">
        <v>20000000000</v>
      </c>
      <c r="E84" s="253" t="s">
        <v>1105</v>
      </c>
      <c r="F84" s="254">
        <v>10000000</v>
      </c>
      <c r="H84" s="253" t="s">
        <v>552</v>
      </c>
      <c r="I84" s="2">
        <f t="shared" si="2"/>
        <v>11271000</v>
      </c>
      <c r="J84" s="2">
        <f>VLOOKUP(H84,'доля  в выпуске'!$A:$B,2,0)</f>
        <v>2250000000</v>
      </c>
      <c r="K84" s="252">
        <f t="shared" si="3"/>
        <v>5.0093333333333335E-3</v>
      </c>
    </row>
    <row r="85" spans="1:11" x14ac:dyDescent="0.25">
      <c r="A85" t="s">
        <v>655</v>
      </c>
      <c r="B85" s="227">
        <v>100000000000</v>
      </c>
      <c r="E85" s="253" t="s">
        <v>537</v>
      </c>
      <c r="F85" s="254">
        <v>3500000</v>
      </c>
      <c r="H85" s="253" t="s">
        <v>557</v>
      </c>
      <c r="I85" s="2">
        <f t="shared" si="2"/>
        <v>543333000</v>
      </c>
      <c r="J85" s="2">
        <f>VLOOKUP(H85,'доля  в выпуске'!$A:$B,2,0)</f>
        <v>10000000000</v>
      </c>
      <c r="K85" s="252">
        <f t="shared" si="3"/>
        <v>5.4333300000000001E-2</v>
      </c>
    </row>
    <row r="86" spans="1:11" x14ac:dyDescent="0.25">
      <c r="A86" t="s">
        <v>656</v>
      </c>
      <c r="B86" s="227">
        <v>80000000000</v>
      </c>
      <c r="E86" s="253" t="s">
        <v>553</v>
      </c>
      <c r="F86" s="254">
        <v>4000000</v>
      </c>
      <c r="H86" s="253" t="s">
        <v>558</v>
      </c>
      <c r="I86" s="2">
        <f t="shared" si="2"/>
        <v>156667000</v>
      </c>
      <c r="J86" s="2">
        <f>VLOOKUP(H86,'доля  в выпуске'!$A:$B,2,0)</f>
        <v>5000000000</v>
      </c>
      <c r="K86" s="252">
        <f t="shared" si="3"/>
        <v>3.1333399999999997E-2</v>
      </c>
    </row>
    <row r="87" spans="1:11" x14ac:dyDescent="0.25">
      <c r="A87" t="s">
        <v>657</v>
      </c>
      <c r="B87" s="227">
        <v>33000000000</v>
      </c>
      <c r="E87" s="253" t="s">
        <v>552</v>
      </c>
      <c r="F87" s="254">
        <v>11271000</v>
      </c>
      <c r="H87" s="253" t="s">
        <v>1030</v>
      </c>
      <c r="I87" s="2">
        <f t="shared" si="2"/>
        <v>200000</v>
      </c>
      <c r="J87" s="2">
        <f>VLOOKUP(H87,'доля  в выпуске'!$A:$B,2,0)</f>
        <v>600000000</v>
      </c>
      <c r="K87" s="252">
        <f t="shared" si="3"/>
        <v>3.3333333333333332E-4</v>
      </c>
    </row>
    <row r="88" spans="1:11" x14ac:dyDescent="0.25">
      <c r="A88" t="s">
        <v>658</v>
      </c>
      <c r="B88" s="227">
        <v>40000000000</v>
      </c>
      <c r="E88" s="253" t="s">
        <v>557</v>
      </c>
      <c r="F88" s="254">
        <v>543333000</v>
      </c>
      <c r="H88" s="253" t="s">
        <v>575</v>
      </c>
      <c r="I88" s="2">
        <f t="shared" si="2"/>
        <v>99416000</v>
      </c>
      <c r="J88" s="2">
        <f>VLOOKUP(H88,'доля  в выпуске'!$A:$B,2,0)</f>
        <v>10000000000</v>
      </c>
      <c r="K88" s="252">
        <f t="shared" si="3"/>
        <v>9.9416000000000001E-3</v>
      </c>
    </row>
    <row r="89" spans="1:11" x14ac:dyDescent="0.25">
      <c r="A89" t="s">
        <v>659</v>
      </c>
      <c r="B89" s="227">
        <v>10000000000</v>
      </c>
      <c r="E89" s="253" t="s">
        <v>558</v>
      </c>
      <c r="F89" s="254">
        <v>156667000</v>
      </c>
      <c r="H89" s="253" t="s">
        <v>560</v>
      </c>
      <c r="I89" s="2">
        <f t="shared" si="2"/>
        <v>56250000</v>
      </c>
      <c r="J89" s="2">
        <f>VLOOKUP(H89,'доля  в выпуске'!$A:$B,2,0)</f>
        <v>7000000000</v>
      </c>
      <c r="K89" s="252">
        <f t="shared" si="3"/>
        <v>8.0357142857142849E-3</v>
      </c>
    </row>
    <row r="90" spans="1:11" x14ac:dyDescent="0.25">
      <c r="A90" t="s">
        <v>660</v>
      </c>
      <c r="B90" s="227">
        <v>24000000000</v>
      </c>
      <c r="E90" s="253" t="s">
        <v>1030</v>
      </c>
      <c r="F90" s="254">
        <v>200000</v>
      </c>
      <c r="H90" s="253" t="s">
        <v>554</v>
      </c>
      <c r="I90" s="2">
        <f t="shared" si="2"/>
        <v>38214000</v>
      </c>
      <c r="J90" s="2">
        <f>VLOOKUP(H90,'доля  в выпуске'!$A:$B,2,0)</f>
        <v>5000000000</v>
      </c>
      <c r="K90" s="252">
        <f t="shared" si="3"/>
        <v>7.6427999999999999E-3</v>
      </c>
    </row>
    <row r="91" spans="1:11" x14ac:dyDescent="0.25">
      <c r="A91" t="s">
        <v>661</v>
      </c>
      <c r="B91" s="227">
        <v>20000000000</v>
      </c>
      <c r="E91" s="253" t="s">
        <v>507</v>
      </c>
      <c r="F91" s="254">
        <v>356098</v>
      </c>
      <c r="H91" s="253" t="s">
        <v>556</v>
      </c>
      <c r="I91" s="2">
        <f t="shared" si="2"/>
        <v>8497000</v>
      </c>
      <c r="J91" s="2">
        <f>VLOOKUP(H91,'доля  в выпуске'!$A:$B,2,0)</f>
        <v>5000000000</v>
      </c>
      <c r="K91" s="252">
        <f t="shared" si="3"/>
        <v>1.6994E-3</v>
      </c>
    </row>
    <row r="92" spans="1:11" x14ac:dyDescent="0.25">
      <c r="A92" t="s">
        <v>662</v>
      </c>
      <c r="B92" s="227">
        <v>10000000000</v>
      </c>
      <c r="E92" s="253" t="s">
        <v>575</v>
      </c>
      <c r="F92" s="254">
        <v>99416000</v>
      </c>
      <c r="H92" s="253" t="s">
        <v>559</v>
      </c>
      <c r="I92" s="2">
        <f t="shared" ref="I92:I94" si="4">SUMIF($E$4:$E$213,H92,$F$4:$F$213)</f>
        <v>520716000</v>
      </c>
      <c r="J92" s="2">
        <f>VLOOKUP(H92,'доля  в выпуске'!$A:$B,2,0)</f>
        <v>10000000000</v>
      </c>
      <c r="K92" s="252">
        <f t="shared" ref="K92:K94" si="5">I92/J92</f>
        <v>5.2071600000000003E-2</v>
      </c>
    </row>
    <row r="93" spans="1:11" x14ac:dyDescent="0.25">
      <c r="A93" t="s">
        <v>663</v>
      </c>
      <c r="B93" s="227">
        <v>150000000</v>
      </c>
      <c r="E93" s="253" t="s">
        <v>560</v>
      </c>
      <c r="F93" s="254">
        <v>56250000</v>
      </c>
      <c r="H93" s="253" t="s">
        <v>555</v>
      </c>
      <c r="I93" s="2">
        <f t="shared" si="4"/>
        <v>218000000</v>
      </c>
      <c r="J93" s="2">
        <f>VLOOKUP(H93,'доля  в выпуске'!$A:$B,2,0)</f>
        <v>10000000000</v>
      </c>
      <c r="K93" s="252">
        <f t="shared" si="5"/>
        <v>2.18E-2</v>
      </c>
    </row>
    <row r="94" spans="1:11" x14ac:dyDescent="0.25">
      <c r="A94" t="s">
        <v>664</v>
      </c>
      <c r="B94" s="227">
        <v>10000000000</v>
      </c>
      <c r="E94" s="253" t="s">
        <v>524</v>
      </c>
      <c r="F94" s="254">
        <v>180555000</v>
      </c>
      <c r="H94" s="253" t="s">
        <v>562</v>
      </c>
      <c r="I94" s="2">
        <f t="shared" si="4"/>
        <v>80000000</v>
      </c>
      <c r="J94" s="2">
        <f>VLOOKUP(H94,'доля  в выпуске'!$A:$B,2,0)</f>
        <v>5000000000</v>
      </c>
      <c r="K94" s="252">
        <f t="shared" si="5"/>
        <v>1.6E-2</v>
      </c>
    </row>
    <row r="95" spans="1:11" x14ac:dyDescent="0.25">
      <c r="A95" t="s">
        <v>665</v>
      </c>
      <c r="B95" s="227">
        <v>450000000</v>
      </c>
      <c r="E95" s="253" t="s">
        <v>554</v>
      </c>
      <c r="F95" s="254">
        <v>38214000</v>
      </c>
      <c r="H95" s="253"/>
      <c r="I95" s="2"/>
      <c r="J95" s="2"/>
      <c r="K95" s="252"/>
    </row>
    <row r="96" spans="1:11" x14ac:dyDescent="0.25">
      <c r="A96" t="s">
        <v>666</v>
      </c>
      <c r="B96" s="227">
        <v>500000000</v>
      </c>
      <c r="E96" s="253" t="s">
        <v>556</v>
      </c>
      <c r="F96" s="254">
        <v>8497000</v>
      </c>
      <c r="I96" s="2"/>
    </row>
    <row r="97" spans="1:9" x14ac:dyDescent="0.25">
      <c r="A97" t="s">
        <v>667</v>
      </c>
      <c r="B97" s="227">
        <v>15000000000</v>
      </c>
      <c r="E97" s="253" t="s">
        <v>508</v>
      </c>
      <c r="F97" s="254">
        <v>28164000</v>
      </c>
      <c r="I97" s="2"/>
    </row>
    <row r="98" spans="1:9" x14ac:dyDescent="0.25">
      <c r="A98" t="s">
        <v>668</v>
      </c>
      <c r="B98" s="227">
        <v>20000000000</v>
      </c>
      <c r="E98" s="253" t="s">
        <v>489</v>
      </c>
      <c r="F98" s="254">
        <v>4800000</v>
      </c>
      <c r="I98" s="2"/>
    </row>
    <row r="99" spans="1:9" x14ac:dyDescent="0.25">
      <c r="A99" t="s">
        <v>669</v>
      </c>
      <c r="B99" s="227">
        <v>450000000</v>
      </c>
      <c r="E99" s="253" t="s">
        <v>519</v>
      </c>
      <c r="F99" s="254">
        <v>160019000</v>
      </c>
      <c r="I99" s="2"/>
    </row>
    <row r="100" spans="1:9" x14ac:dyDescent="0.25">
      <c r="A100" t="s">
        <v>670</v>
      </c>
      <c r="B100" s="227">
        <v>15000000000</v>
      </c>
      <c r="E100" s="253" t="s">
        <v>559</v>
      </c>
      <c r="F100" s="254">
        <v>520716000</v>
      </c>
      <c r="I100" s="2"/>
    </row>
    <row r="101" spans="1:9" x14ac:dyDescent="0.25">
      <c r="A101" t="s">
        <v>671</v>
      </c>
      <c r="B101" s="227">
        <v>10000000000</v>
      </c>
      <c r="E101" s="253" t="s">
        <v>511</v>
      </c>
      <c r="F101" s="254">
        <v>158275000</v>
      </c>
      <c r="I101" s="2"/>
    </row>
    <row r="102" spans="1:9" x14ac:dyDescent="0.25">
      <c r="A102" t="s">
        <v>672</v>
      </c>
      <c r="B102" s="227">
        <v>15000000000</v>
      </c>
      <c r="E102" s="253" t="s">
        <v>513</v>
      </c>
      <c r="F102" s="254">
        <v>54448000</v>
      </c>
      <c r="I102" s="2"/>
    </row>
    <row r="103" spans="1:9" x14ac:dyDescent="0.25">
      <c r="A103" t="s">
        <v>673</v>
      </c>
      <c r="B103" s="227">
        <v>15000000000</v>
      </c>
      <c r="E103" s="253" t="s">
        <v>526</v>
      </c>
      <c r="F103" s="254">
        <v>15796250</v>
      </c>
      <c r="I103" s="2"/>
    </row>
    <row r="104" spans="1:9" x14ac:dyDescent="0.25">
      <c r="A104" t="s">
        <v>674</v>
      </c>
      <c r="B104" s="227">
        <v>15000000000</v>
      </c>
      <c r="E104" s="253" t="s">
        <v>555</v>
      </c>
      <c r="F104" s="254">
        <v>218000000</v>
      </c>
      <c r="I104" s="2"/>
    </row>
    <row r="105" spans="1:9" x14ac:dyDescent="0.25">
      <c r="A105" t="s">
        <v>675</v>
      </c>
      <c r="B105" s="227">
        <v>15200000000</v>
      </c>
      <c r="E105" s="253" t="s">
        <v>562</v>
      </c>
      <c r="F105" s="254">
        <v>80000000</v>
      </c>
      <c r="I105" s="2"/>
    </row>
    <row r="106" spans="1:9" x14ac:dyDescent="0.25">
      <c r="A106" t="s">
        <v>676</v>
      </c>
      <c r="B106" s="227">
        <v>500000000</v>
      </c>
      <c r="E106" s="253" t="s">
        <v>2033</v>
      </c>
      <c r="F106" s="254">
        <v>498441000</v>
      </c>
      <c r="I106" s="2"/>
    </row>
    <row r="107" spans="1:9" x14ac:dyDescent="0.25">
      <c r="A107" t="s">
        <v>677</v>
      </c>
      <c r="B107" s="227">
        <v>500000000</v>
      </c>
      <c r="E107" s="253"/>
      <c r="F107" s="254"/>
      <c r="I107" s="2"/>
    </row>
    <row r="108" spans="1:9" x14ac:dyDescent="0.25">
      <c r="A108" t="s">
        <v>521</v>
      </c>
      <c r="B108" s="227">
        <v>15000000000</v>
      </c>
      <c r="E108" s="253"/>
      <c r="F108" s="254"/>
      <c r="I108" s="2"/>
    </row>
    <row r="109" spans="1:9" x14ac:dyDescent="0.25">
      <c r="A109" t="s">
        <v>678</v>
      </c>
      <c r="B109" s="227">
        <v>15000000000</v>
      </c>
      <c r="E109" s="253"/>
      <c r="F109" s="254"/>
      <c r="I109" s="2"/>
    </row>
    <row r="110" spans="1:9" x14ac:dyDescent="0.25">
      <c r="A110" t="s">
        <v>679</v>
      </c>
      <c r="B110" s="227">
        <v>1400000000</v>
      </c>
      <c r="E110" s="253"/>
      <c r="F110" s="254"/>
      <c r="I110" s="2"/>
    </row>
    <row r="111" spans="1:9" x14ac:dyDescent="0.25">
      <c r="A111" t="s">
        <v>680</v>
      </c>
      <c r="B111" s="227">
        <v>25000000000</v>
      </c>
      <c r="E111" s="253"/>
      <c r="F111" s="254"/>
      <c r="I111" s="2"/>
    </row>
    <row r="112" spans="1:9" x14ac:dyDescent="0.25">
      <c r="A112" t="s">
        <v>545</v>
      </c>
      <c r="B112" s="227">
        <v>20000000000</v>
      </c>
      <c r="E112" s="253"/>
      <c r="F112" s="254"/>
      <c r="I112" s="2"/>
    </row>
    <row r="113" spans="1:9" x14ac:dyDescent="0.25">
      <c r="A113" t="s">
        <v>681</v>
      </c>
      <c r="B113" s="227">
        <v>650000000</v>
      </c>
      <c r="E113" s="253"/>
      <c r="F113" s="254"/>
      <c r="I113" s="2"/>
    </row>
    <row r="114" spans="1:9" x14ac:dyDescent="0.25">
      <c r="A114" t="s">
        <v>682</v>
      </c>
      <c r="B114" s="227">
        <v>15000000000</v>
      </c>
      <c r="E114" s="253"/>
      <c r="F114" s="254"/>
      <c r="I114" s="2"/>
    </row>
    <row r="115" spans="1:9" x14ac:dyDescent="0.25">
      <c r="A115" t="s">
        <v>683</v>
      </c>
      <c r="B115" s="227">
        <v>15000000000</v>
      </c>
      <c r="E115" s="253"/>
      <c r="F115" s="254"/>
      <c r="I115" s="2"/>
    </row>
    <row r="116" spans="1:9" x14ac:dyDescent="0.25">
      <c r="A116" t="s">
        <v>684</v>
      </c>
      <c r="B116" s="227">
        <v>20000000000</v>
      </c>
      <c r="E116" s="253"/>
      <c r="F116" s="254"/>
      <c r="I116" s="2"/>
    </row>
    <row r="117" spans="1:9" x14ac:dyDescent="0.25">
      <c r="A117" t="s">
        <v>685</v>
      </c>
      <c r="B117" s="227">
        <v>15000000000</v>
      </c>
      <c r="E117" s="253"/>
      <c r="F117" s="254"/>
      <c r="I117" s="2"/>
    </row>
    <row r="118" spans="1:9" x14ac:dyDescent="0.25">
      <c r="A118" t="s">
        <v>686</v>
      </c>
      <c r="B118" s="227">
        <v>15000000000</v>
      </c>
      <c r="E118" s="253"/>
      <c r="F118" s="254"/>
      <c r="I118" s="2"/>
    </row>
    <row r="119" spans="1:9" x14ac:dyDescent="0.25">
      <c r="A119" t="s">
        <v>687</v>
      </c>
      <c r="B119" s="227">
        <v>15000000000</v>
      </c>
      <c r="E119" s="253"/>
      <c r="F119" s="254"/>
      <c r="I119" s="2"/>
    </row>
    <row r="120" spans="1:9" x14ac:dyDescent="0.25">
      <c r="A120" t="s">
        <v>688</v>
      </c>
      <c r="B120" s="227">
        <v>10000000000</v>
      </c>
      <c r="E120" s="253"/>
      <c r="F120" s="254"/>
      <c r="I120" s="2"/>
    </row>
    <row r="121" spans="1:9" x14ac:dyDescent="0.25">
      <c r="A121" t="s">
        <v>689</v>
      </c>
      <c r="B121" s="227">
        <v>20000000000</v>
      </c>
      <c r="E121" s="253"/>
      <c r="F121" s="254"/>
      <c r="I121" s="2"/>
    </row>
    <row r="122" spans="1:9" x14ac:dyDescent="0.25">
      <c r="A122" t="s">
        <v>690</v>
      </c>
      <c r="B122" s="227">
        <v>25000000000</v>
      </c>
      <c r="E122" s="253"/>
      <c r="F122" s="254"/>
      <c r="I122" s="2"/>
    </row>
    <row r="123" spans="1:9" x14ac:dyDescent="0.25">
      <c r="A123" t="s">
        <v>691</v>
      </c>
      <c r="B123" s="227">
        <v>25000000000</v>
      </c>
      <c r="E123" s="253"/>
      <c r="F123" s="254"/>
      <c r="I123" s="2"/>
    </row>
    <row r="124" spans="1:9" x14ac:dyDescent="0.25">
      <c r="A124" t="s">
        <v>692</v>
      </c>
      <c r="B124" s="227">
        <v>15000000000</v>
      </c>
      <c r="E124" s="253"/>
      <c r="F124" s="254"/>
      <c r="I124" s="2"/>
    </row>
    <row r="125" spans="1:9" x14ac:dyDescent="0.25">
      <c r="A125" t="s">
        <v>693</v>
      </c>
      <c r="B125" s="227">
        <v>25000000000</v>
      </c>
      <c r="E125" s="253"/>
      <c r="F125" s="254"/>
      <c r="I125" s="2"/>
    </row>
    <row r="126" spans="1:9" x14ac:dyDescent="0.25">
      <c r="A126" t="s">
        <v>694</v>
      </c>
      <c r="B126" s="227">
        <v>25000000000</v>
      </c>
      <c r="E126" s="253"/>
      <c r="F126" s="254"/>
      <c r="I126" s="2"/>
    </row>
    <row r="127" spans="1:9" x14ac:dyDescent="0.25">
      <c r="A127" t="s">
        <v>695</v>
      </c>
      <c r="B127" s="227">
        <v>17000000000</v>
      </c>
      <c r="E127" s="253"/>
      <c r="F127" s="254"/>
      <c r="I127" s="2"/>
    </row>
    <row r="128" spans="1:9" x14ac:dyDescent="0.25">
      <c r="A128" t="s">
        <v>696</v>
      </c>
      <c r="B128" s="227">
        <v>25000000000</v>
      </c>
      <c r="E128" s="253"/>
      <c r="F128" s="254"/>
      <c r="I128" s="2"/>
    </row>
    <row r="129" spans="1:9" x14ac:dyDescent="0.25">
      <c r="A129" t="s">
        <v>697</v>
      </c>
      <c r="B129" s="227">
        <v>25000000000</v>
      </c>
      <c r="E129" s="253"/>
      <c r="F129" s="254"/>
      <c r="I129" s="2"/>
    </row>
    <row r="130" spans="1:9" x14ac:dyDescent="0.25">
      <c r="A130" t="s">
        <v>698</v>
      </c>
      <c r="B130" s="227">
        <v>15000000000</v>
      </c>
      <c r="E130" s="253"/>
      <c r="F130" s="254"/>
      <c r="I130" s="2"/>
    </row>
    <row r="131" spans="1:9" x14ac:dyDescent="0.25">
      <c r="A131" t="s">
        <v>699</v>
      </c>
      <c r="B131" s="227">
        <v>25000000000</v>
      </c>
      <c r="E131" s="253"/>
      <c r="F131" s="254"/>
      <c r="I131" s="2"/>
    </row>
    <row r="132" spans="1:9" x14ac:dyDescent="0.25">
      <c r="A132" t="s">
        <v>700</v>
      </c>
      <c r="B132" s="227">
        <v>25000000000</v>
      </c>
      <c r="E132" s="253"/>
      <c r="F132" s="254"/>
      <c r="I132" s="2"/>
    </row>
    <row r="133" spans="1:9" x14ac:dyDescent="0.25">
      <c r="A133" t="s">
        <v>546</v>
      </c>
      <c r="B133" s="227">
        <v>5000000000</v>
      </c>
      <c r="E133" s="253"/>
      <c r="F133" s="254"/>
      <c r="I133" s="2"/>
    </row>
    <row r="134" spans="1:9" x14ac:dyDescent="0.25">
      <c r="A134" t="s">
        <v>701</v>
      </c>
      <c r="B134" s="227">
        <v>3500000000</v>
      </c>
      <c r="E134" s="253"/>
      <c r="F134" s="254"/>
      <c r="I134" s="2"/>
    </row>
    <row r="135" spans="1:9" x14ac:dyDescent="0.25">
      <c r="A135" t="s">
        <v>702</v>
      </c>
      <c r="B135" s="227">
        <v>1500000000</v>
      </c>
      <c r="E135" s="253"/>
      <c r="F135" s="254"/>
      <c r="I135" s="2"/>
    </row>
    <row r="136" spans="1:9" x14ac:dyDescent="0.25">
      <c r="A136" t="s">
        <v>703</v>
      </c>
      <c r="B136" s="227">
        <v>30000000000</v>
      </c>
      <c r="E136" s="253"/>
      <c r="F136" s="254"/>
      <c r="I136" s="2"/>
    </row>
    <row r="137" spans="1:9" x14ac:dyDescent="0.25">
      <c r="A137" t="s">
        <v>704</v>
      </c>
      <c r="B137" s="227">
        <v>35000000000</v>
      </c>
      <c r="E137" s="253"/>
      <c r="F137" s="254"/>
      <c r="I137" s="2"/>
    </row>
    <row r="138" spans="1:9" x14ac:dyDescent="0.25">
      <c r="A138" t="s">
        <v>705</v>
      </c>
      <c r="B138" s="227">
        <v>10433062000</v>
      </c>
      <c r="E138" s="253"/>
      <c r="F138" s="254"/>
      <c r="I138" s="2"/>
    </row>
    <row r="139" spans="1:9" x14ac:dyDescent="0.25">
      <c r="A139" t="s">
        <v>549</v>
      </c>
      <c r="B139" s="227">
        <v>70000000000</v>
      </c>
      <c r="E139" s="253"/>
      <c r="F139" s="254"/>
      <c r="I139" s="2"/>
    </row>
    <row r="140" spans="1:9" x14ac:dyDescent="0.25">
      <c r="A140" t="s">
        <v>707</v>
      </c>
      <c r="B140" s="227">
        <v>20000000</v>
      </c>
      <c r="E140" s="253"/>
      <c r="F140" s="254"/>
      <c r="I140" s="2"/>
    </row>
    <row r="141" spans="1:9" x14ac:dyDescent="0.25">
      <c r="A141" t="s">
        <v>708</v>
      </c>
      <c r="B141" s="227">
        <v>10000000000</v>
      </c>
      <c r="E141" s="253"/>
      <c r="F141" s="254"/>
      <c r="I141" s="2"/>
    </row>
    <row r="142" spans="1:9" x14ac:dyDescent="0.25">
      <c r="A142" t="s">
        <v>709</v>
      </c>
      <c r="B142" s="227">
        <v>5000000000</v>
      </c>
      <c r="E142" s="253"/>
      <c r="F142" s="254"/>
      <c r="I142" s="2"/>
    </row>
    <row r="143" spans="1:9" x14ac:dyDescent="0.25">
      <c r="A143" t="s">
        <v>710</v>
      </c>
      <c r="B143" s="227">
        <v>8000000000</v>
      </c>
      <c r="E143" s="253"/>
      <c r="F143" s="254"/>
      <c r="I143" s="2"/>
    </row>
    <row r="144" spans="1:9" x14ac:dyDescent="0.25">
      <c r="A144" t="s">
        <v>711</v>
      </c>
      <c r="B144" s="227">
        <v>6000000000</v>
      </c>
      <c r="E144" s="253"/>
      <c r="F144" s="254"/>
      <c r="I144" s="2"/>
    </row>
    <row r="145" spans="1:9" x14ac:dyDescent="0.25">
      <c r="A145" t="s">
        <v>712</v>
      </c>
      <c r="B145" s="227">
        <v>8000000000</v>
      </c>
      <c r="E145" s="253"/>
      <c r="F145" s="254"/>
      <c r="I145" s="2"/>
    </row>
    <row r="146" spans="1:9" x14ac:dyDescent="0.25">
      <c r="A146" t="s">
        <v>713</v>
      </c>
      <c r="B146" s="227">
        <v>8000000000</v>
      </c>
      <c r="E146" s="253"/>
      <c r="F146" s="254"/>
      <c r="I146" s="2"/>
    </row>
    <row r="147" spans="1:9" x14ac:dyDescent="0.25">
      <c r="A147" t="s">
        <v>714</v>
      </c>
      <c r="B147" s="227">
        <v>12000000000</v>
      </c>
      <c r="E147" s="253"/>
      <c r="F147" s="254"/>
      <c r="I147" s="2"/>
    </row>
    <row r="148" spans="1:9" x14ac:dyDescent="0.25">
      <c r="A148" t="s">
        <v>715</v>
      </c>
      <c r="B148" s="227">
        <v>1900000000</v>
      </c>
      <c r="E148" s="253"/>
      <c r="F148" s="254"/>
      <c r="I148" s="2"/>
    </row>
    <row r="149" spans="1:9" x14ac:dyDescent="0.25">
      <c r="A149" t="s">
        <v>716</v>
      </c>
      <c r="B149" s="227">
        <v>15000000000</v>
      </c>
      <c r="E149" s="253"/>
      <c r="F149" s="254"/>
      <c r="I149" s="2"/>
    </row>
    <row r="150" spans="1:9" x14ac:dyDescent="0.25">
      <c r="A150" t="s">
        <v>717</v>
      </c>
      <c r="B150" s="227">
        <v>20000000000</v>
      </c>
      <c r="E150" s="253"/>
      <c r="F150" s="254"/>
      <c r="I150" s="2"/>
    </row>
    <row r="151" spans="1:9" x14ac:dyDescent="0.25">
      <c r="A151" t="s">
        <v>718</v>
      </c>
      <c r="B151" s="227">
        <v>6000000000</v>
      </c>
      <c r="E151" s="253"/>
      <c r="F151" s="254"/>
      <c r="I151" s="2"/>
    </row>
    <row r="152" spans="1:9" x14ac:dyDescent="0.25">
      <c r="A152" t="s">
        <v>719</v>
      </c>
      <c r="B152" s="227">
        <v>350000000</v>
      </c>
      <c r="E152" s="253"/>
      <c r="F152" s="254"/>
      <c r="I152" s="2"/>
    </row>
    <row r="153" spans="1:9" x14ac:dyDescent="0.25">
      <c r="A153" t="s">
        <v>490</v>
      </c>
      <c r="B153" s="227">
        <v>850000000</v>
      </c>
      <c r="E153" s="253"/>
      <c r="F153" s="254"/>
      <c r="I153" s="2"/>
    </row>
    <row r="154" spans="1:9" x14ac:dyDescent="0.25">
      <c r="A154" t="s">
        <v>720</v>
      </c>
      <c r="B154" s="227">
        <v>15000000000</v>
      </c>
      <c r="E154" s="253"/>
      <c r="F154" s="254"/>
      <c r="I154" s="2"/>
    </row>
    <row r="155" spans="1:9" x14ac:dyDescent="0.25">
      <c r="A155" t="s">
        <v>721</v>
      </c>
      <c r="B155" s="227">
        <v>500000000</v>
      </c>
      <c r="E155" s="253"/>
      <c r="F155" s="254"/>
      <c r="I155" s="2"/>
    </row>
    <row r="156" spans="1:9" x14ac:dyDescent="0.25">
      <c r="A156" t="s">
        <v>722</v>
      </c>
      <c r="B156" s="227">
        <v>10000000000</v>
      </c>
      <c r="E156" s="253"/>
      <c r="F156" s="254"/>
      <c r="I156" s="2"/>
    </row>
    <row r="157" spans="1:9" x14ac:dyDescent="0.25">
      <c r="A157" t="s">
        <v>723</v>
      </c>
      <c r="B157" s="227">
        <v>700000000</v>
      </c>
      <c r="E157" s="253"/>
      <c r="F157" s="254"/>
      <c r="I157" s="2"/>
    </row>
    <row r="158" spans="1:9" x14ac:dyDescent="0.25">
      <c r="A158" t="s">
        <v>724</v>
      </c>
      <c r="B158" s="227">
        <v>10000000000</v>
      </c>
      <c r="E158" s="253"/>
      <c r="F158" s="254"/>
      <c r="I158" s="2"/>
    </row>
    <row r="159" spans="1:9" x14ac:dyDescent="0.25">
      <c r="A159" t="s">
        <v>523</v>
      </c>
      <c r="B159" s="227">
        <v>10000000000</v>
      </c>
      <c r="E159" s="253"/>
      <c r="F159" s="254"/>
      <c r="I159" s="2"/>
    </row>
    <row r="160" spans="1:9" x14ac:dyDescent="0.25">
      <c r="A160" t="s">
        <v>725</v>
      </c>
      <c r="B160" s="227">
        <v>5000000000</v>
      </c>
      <c r="E160" s="253"/>
      <c r="F160" s="254"/>
      <c r="I160" s="2"/>
    </row>
    <row r="161" spans="1:9" x14ac:dyDescent="0.25">
      <c r="A161" t="s">
        <v>726</v>
      </c>
      <c r="B161" s="227">
        <v>5000000000</v>
      </c>
      <c r="E161" s="253"/>
      <c r="F161" s="254"/>
      <c r="I161" s="2"/>
    </row>
    <row r="162" spans="1:9" x14ac:dyDescent="0.25">
      <c r="A162" t="s">
        <v>727</v>
      </c>
      <c r="B162" s="227">
        <v>5000000000</v>
      </c>
      <c r="E162" s="253"/>
      <c r="F162" s="254"/>
      <c r="I162" s="2"/>
    </row>
    <row r="163" spans="1:9" x14ac:dyDescent="0.25">
      <c r="A163" t="s">
        <v>728</v>
      </c>
      <c r="B163" s="227">
        <v>5000000000</v>
      </c>
      <c r="E163" s="253"/>
      <c r="F163" s="254"/>
      <c r="I163" s="2"/>
    </row>
    <row r="164" spans="1:9" x14ac:dyDescent="0.25">
      <c r="A164" t="s">
        <v>729</v>
      </c>
      <c r="B164" s="227">
        <v>5000000000</v>
      </c>
      <c r="E164" s="253"/>
      <c r="F164" s="254"/>
      <c r="I164" s="2"/>
    </row>
    <row r="165" spans="1:9" x14ac:dyDescent="0.25">
      <c r="A165" t="s">
        <v>730</v>
      </c>
      <c r="B165" s="227">
        <v>5000000000</v>
      </c>
      <c r="E165" s="253"/>
      <c r="F165" s="254"/>
      <c r="I165" s="2"/>
    </row>
    <row r="166" spans="1:9" x14ac:dyDescent="0.25">
      <c r="A166" t="s">
        <v>731</v>
      </c>
      <c r="B166" s="227">
        <v>5000000000</v>
      </c>
      <c r="E166" s="253"/>
      <c r="F166" s="254"/>
      <c r="I166" s="2"/>
    </row>
    <row r="167" spans="1:9" x14ac:dyDescent="0.25">
      <c r="A167" t="s">
        <v>732</v>
      </c>
      <c r="B167" s="227">
        <v>5000000000</v>
      </c>
      <c r="E167" s="253"/>
      <c r="F167" s="254"/>
      <c r="I167" s="2"/>
    </row>
    <row r="168" spans="1:9" x14ac:dyDescent="0.25">
      <c r="A168" t="s">
        <v>733</v>
      </c>
      <c r="B168" s="227">
        <v>10000000000</v>
      </c>
      <c r="E168" s="253"/>
      <c r="F168" s="254"/>
      <c r="I168" s="2"/>
    </row>
    <row r="169" spans="1:9" x14ac:dyDescent="0.25">
      <c r="A169" t="s">
        <v>734</v>
      </c>
      <c r="B169" s="227">
        <v>10000000000</v>
      </c>
      <c r="E169" s="253"/>
      <c r="F169" s="254"/>
      <c r="I169" s="2"/>
    </row>
    <row r="170" spans="1:9" x14ac:dyDescent="0.25">
      <c r="A170" t="s">
        <v>735</v>
      </c>
      <c r="B170" s="227">
        <v>5000000000</v>
      </c>
      <c r="E170" s="253"/>
      <c r="F170" s="254"/>
      <c r="I170" s="2"/>
    </row>
    <row r="171" spans="1:9" x14ac:dyDescent="0.25">
      <c r="A171" t="s">
        <v>736</v>
      </c>
      <c r="B171" s="227">
        <v>1000000000</v>
      </c>
      <c r="E171" s="253"/>
      <c r="F171" s="254"/>
      <c r="I171" s="2"/>
    </row>
    <row r="172" spans="1:9" x14ac:dyDescent="0.25">
      <c r="A172" t="s">
        <v>737</v>
      </c>
      <c r="B172" s="227">
        <v>350000000</v>
      </c>
      <c r="E172" s="253"/>
      <c r="F172" s="254"/>
      <c r="I172" s="2"/>
    </row>
    <row r="173" spans="1:9" x14ac:dyDescent="0.25">
      <c r="A173" t="s">
        <v>738</v>
      </c>
      <c r="B173" s="227">
        <v>1000000000</v>
      </c>
      <c r="E173" s="253"/>
      <c r="F173" s="254"/>
      <c r="I173" s="2"/>
    </row>
    <row r="174" spans="1:9" x14ac:dyDescent="0.25">
      <c r="A174" t="s">
        <v>739</v>
      </c>
      <c r="B174" s="227">
        <v>1500000000</v>
      </c>
      <c r="E174" s="253"/>
      <c r="F174" s="254"/>
      <c r="I174" s="2"/>
    </row>
    <row r="175" spans="1:9" x14ac:dyDescent="0.25">
      <c r="A175" t="s">
        <v>552</v>
      </c>
      <c r="B175" s="227">
        <v>2250000000</v>
      </c>
      <c r="E175" s="253"/>
      <c r="F175" s="254"/>
      <c r="I175" s="2"/>
    </row>
    <row r="176" spans="1:9" x14ac:dyDescent="0.25">
      <c r="A176" t="s">
        <v>740</v>
      </c>
      <c r="B176" s="227">
        <v>372237000</v>
      </c>
      <c r="E176" s="253"/>
      <c r="F176" s="254"/>
      <c r="I176" s="2"/>
    </row>
    <row r="177" spans="1:9" x14ac:dyDescent="0.25">
      <c r="A177" t="s">
        <v>741</v>
      </c>
      <c r="B177" s="227">
        <v>76710000</v>
      </c>
      <c r="E177" s="253"/>
      <c r="F177" s="254"/>
      <c r="I177" s="2"/>
    </row>
    <row r="178" spans="1:9" x14ac:dyDescent="0.25">
      <c r="A178" t="s">
        <v>742</v>
      </c>
      <c r="B178" s="227">
        <v>179768000</v>
      </c>
      <c r="E178" s="253"/>
      <c r="F178" s="254"/>
      <c r="I178" s="2"/>
    </row>
    <row r="179" spans="1:9" x14ac:dyDescent="0.25">
      <c r="A179" t="s">
        <v>743</v>
      </c>
      <c r="B179" s="227">
        <v>306287000</v>
      </c>
      <c r="E179" s="253"/>
      <c r="F179" s="254"/>
      <c r="I179" s="2"/>
    </row>
    <row r="180" spans="1:9" x14ac:dyDescent="0.25">
      <c r="A180" t="s">
        <v>744</v>
      </c>
      <c r="B180" s="227">
        <v>107531000</v>
      </c>
      <c r="E180" s="253"/>
      <c r="F180" s="254"/>
      <c r="I180" s="2"/>
    </row>
    <row r="181" spans="1:9" x14ac:dyDescent="0.25">
      <c r="A181" t="s">
        <v>745</v>
      </c>
      <c r="B181" s="227">
        <v>229765000</v>
      </c>
      <c r="E181" s="253"/>
      <c r="F181" s="254"/>
      <c r="I181" s="2"/>
    </row>
    <row r="182" spans="1:9" x14ac:dyDescent="0.25">
      <c r="A182" t="s">
        <v>746</v>
      </c>
      <c r="B182" s="227">
        <v>97377000</v>
      </c>
      <c r="E182" s="253"/>
      <c r="F182" s="254"/>
      <c r="I182" s="2"/>
    </row>
    <row r="183" spans="1:9" x14ac:dyDescent="0.25">
      <c r="A183" t="s">
        <v>747</v>
      </c>
      <c r="B183" s="227">
        <v>467203000</v>
      </c>
      <c r="E183" s="253"/>
      <c r="F183" s="254"/>
      <c r="I183" s="2"/>
    </row>
    <row r="184" spans="1:9" x14ac:dyDescent="0.25">
      <c r="A184" t="s">
        <v>748</v>
      </c>
      <c r="B184" s="227">
        <v>646236000</v>
      </c>
      <c r="E184" s="253"/>
      <c r="F184" s="254"/>
      <c r="I184" s="2"/>
    </row>
    <row r="185" spans="1:9" x14ac:dyDescent="0.25">
      <c r="A185" t="s">
        <v>749</v>
      </c>
      <c r="B185" s="227">
        <v>331747000</v>
      </c>
      <c r="E185" s="253"/>
      <c r="F185" s="254"/>
      <c r="I185" s="2"/>
    </row>
    <row r="186" spans="1:9" x14ac:dyDescent="0.25">
      <c r="A186" t="s">
        <v>750</v>
      </c>
      <c r="B186" s="227">
        <v>387154000</v>
      </c>
      <c r="E186" s="253"/>
      <c r="F186" s="254"/>
      <c r="I186" s="2"/>
    </row>
    <row r="187" spans="1:9" x14ac:dyDescent="0.25">
      <c r="A187" t="s">
        <v>751</v>
      </c>
      <c r="B187" s="227">
        <v>354465000</v>
      </c>
      <c r="E187" s="253"/>
      <c r="F187" s="254"/>
      <c r="I187" s="2"/>
    </row>
    <row r="188" spans="1:9" x14ac:dyDescent="0.25">
      <c r="A188" t="s">
        <v>752</v>
      </c>
      <c r="B188" s="227">
        <v>516176000</v>
      </c>
      <c r="E188" s="253"/>
      <c r="F188" s="254"/>
      <c r="I188" s="2"/>
    </row>
    <row r="189" spans="1:9" x14ac:dyDescent="0.25">
      <c r="A189" t="s">
        <v>753</v>
      </c>
      <c r="B189" s="227">
        <v>400225000</v>
      </c>
      <c r="E189" s="253"/>
      <c r="F189" s="254"/>
      <c r="I189" s="2"/>
    </row>
    <row r="190" spans="1:9" x14ac:dyDescent="0.25">
      <c r="A190" t="s">
        <v>754</v>
      </c>
      <c r="B190" s="227">
        <v>254162000</v>
      </c>
      <c r="E190" s="253"/>
      <c r="F190" s="254"/>
      <c r="I190" s="2"/>
    </row>
    <row r="191" spans="1:9" x14ac:dyDescent="0.25">
      <c r="A191" t="s">
        <v>755</v>
      </c>
      <c r="B191" s="227">
        <v>277329000</v>
      </c>
      <c r="E191" s="253"/>
      <c r="F191" s="254"/>
      <c r="I191" s="2"/>
    </row>
    <row r="192" spans="1:9" x14ac:dyDescent="0.25">
      <c r="A192" t="s">
        <v>756</v>
      </c>
      <c r="B192" s="227">
        <v>196327000</v>
      </c>
      <c r="E192" s="253"/>
      <c r="F192" s="254"/>
      <c r="I192" s="2"/>
    </row>
    <row r="193" spans="1:9" x14ac:dyDescent="0.25">
      <c r="A193" t="s">
        <v>757</v>
      </c>
      <c r="B193" s="227">
        <v>168720000</v>
      </c>
      <c r="E193" s="253"/>
      <c r="F193" s="254"/>
      <c r="I193" s="2"/>
    </row>
    <row r="194" spans="1:9" x14ac:dyDescent="0.25">
      <c r="A194" t="s">
        <v>758</v>
      </c>
      <c r="B194" s="227">
        <v>163217000</v>
      </c>
      <c r="E194" s="253"/>
      <c r="F194" s="254"/>
      <c r="I194" s="2"/>
    </row>
    <row r="195" spans="1:9" x14ac:dyDescent="0.25">
      <c r="A195" t="s">
        <v>759</v>
      </c>
      <c r="B195" s="227">
        <v>123125000</v>
      </c>
      <c r="E195" s="253"/>
      <c r="F195" s="254"/>
      <c r="I195" s="2"/>
    </row>
    <row r="196" spans="1:9" x14ac:dyDescent="0.25">
      <c r="A196" t="s">
        <v>760</v>
      </c>
      <c r="B196" s="227">
        <v>628699000</v>
      </c>
      <c r="E196" s="253"/>
      <c r="F196" s="254"/>
      <c r="I196" s="2"/>
    </row>
    <row r="197" spans="1:9" x14ac:dyDescent="0.25">
      <c r="A197" t="s">
        <v>761</v>
      </c>
      <c r="B197" s="227">
        <v>269556000</v>
      </c>
      <c r="E197" s="253"/>
      <c r="F197" s="254"/>
      <c r="I197" s="2"/>
    </row>
    <row r="198" spans="1:9" x14ac:dyDescent="0.25">
      <c r="A198" t="s">
        <v>762</v>
      </c>
      <c r="B198" s="227">
        <v>310882000</v>
      </c>
      <c r="E198" s="253"/>
      <c r="F198" s="254"/>
      <c r="I198" s="2"/>
    </row>
    <row r="199" spans="1:9" x14ac:dyDescent="0.25">
      <c r="A199" t="s">
        <v>763</v>
      </c>
      <c r="B199" s="227">
        <v>94660000</v>
      </c>
      <c r="E199" s="253"/>
      <c r="F199" s="254"/>
      <c r="I199" s="2"/>
    </row>
    <row r="200" spans="1:9" x14ac:dyDescent="0.25">
      <c r="A200" t="s">
        <v>764</v>
      </c>
      <c r="B200" s="227">
        <v>230350000</v>
      </c>
      <c r="E200" s="253"/>
      <c r="F200" s="254"/>
      <c r="I200" s="2"/>
    </row>
    <row r="201" spans="1:9" x14ac:dyDescent="0.25">
      <c r="A201" t="s">
        <v>765</v>
      </c>
      <c r="B201" s="227">
        <v>241924000</v>
      </c>
      <c r="E201" s="253"/>
      <c r="F201" s="254"/>
      <c r="I201" s="2"/>
    </row>
    <row r="202" spans="1:9" x14ac:dyDescent="0.25">
      <c r="A202" t="s">
        <v>766</v>
      </c>
      <c r="B202" s="227">
        <v>248517000</v>
      </c>
      <c r="E202" s="253"/>
      <c r="F202" s="254"/>
      <c r="I202" s="2"/>
    </row>
    <row r="203" spans="1:9" x14ac:dyDescent="0.25">
      <c r="A203" t="s">
        <v>767</v>
      </c>
      <c r="B203" s="227">
        <v>145813000</v>
      </c>
      <c r="E203" s="253"/>
      <c r="F203" s="254"/>
      <c r="I203" s="2"/>
    </row>
    <row r="204" spans="1:9" x14ac:dyDescent="0.25">
      <c r="A204" t="s">
        <v>768</v>
      </c>
      <c r="B204" s="227">
        <v>54077000</v>
      </c>
      <c r="E204" s="253"/>
      <c r="F204" s="254"/>
      <c r="I204" s="2"/>
    </row>
    <row r="205" spans="1:9" x14ac:dyDescent="0.25">
      <c r="A205" t="s">
        <v>769</v>
      </c>
      <c r="B205" s="227">
        <v>42599000</v>
      </c>
      <c r="E205" s="253"/>
      <c r="F205" s="254"/>
      <c r="I205" s="2"/>
    </row>
    <row r="206" spans="1:9" x14ac:dyDescent="0.25">
      <c r="A206" t="s">
        <v>770</v>
      </c>
      <c r="B206" s="227">
        <v>51971000</v>
      </c>
      <c r="E206" s="253"/>
      <c r="F206" s="254"/>
      <c r="I206" s="2"/>
    </row>
    <row r="207" spans="1:9" x14ac:dyDescent="0.25">
      <c r="A207" t="s">
        <v>771</v>
      </c>
      <c r="B207" s="227">
        <v>73484000</v>
      </c>
      <c r="E207" s="253"/>
      <c r="F207" s="254"/>
      <c r="I207" s="2"/>
    </row>
    <row r="208" spans="1:9" x14ac:dyDescent="0.25">
      <c r="A208" t="s">
        <v>772</v>
      </c>
      <c r="B208" s="227">
        <v>627561000</v>
      </c>
      <c r="E208" s="253"/>
      <c r="F208" s="254"/>
      <c r="I208" s="2"/>
    </row>
    <row r="209" spans="1:9" x14ac:dyDescent="0.25">
      <c r="A209" t="s">
        <v>773</v>
      </c>
      <c r="B209" s="227">
        <v>272031000</v>
      </c>
      <c r="E209" s="253"/>
      <c r="F209" s="254"/>
      <c r="I209" s="2"/>
    </row>
    <row r="210" spans="1:9" x14ac:dyDescent="0.25">
      <c r="A210" t="s">
        <v>774</v>
      </c>
      <c r="B210" s="227">
        <v>190091000</v>
      </c>
      <c r="E210" s="253"/>
      <c r="F210" s="254"/>
      <c r="I210" s="2"/>
    </row>
    <row r="211" spans="1:9" x14ac:dyDescent="0.25">
      <c r="A211" t="s">
        <v>775</v>
      </c>
      <c r="B211" s="227">
        <v>67746000</v>
      </c>
      <c r="E211" s="253"/>
      <c r="F211" s="254"/>
      <c r="I211" s="2"/>
    </row>
    <row r="212" spans="1:9" x14ac:dyDescent="0.25">
      <c r="A212" t="s">
        <v>776</v>
      </c>
      <c r="B212" s="227">
        <v>99865000</v>
      </c>
      <c r="E212" s="253"/>
      <c r="F212" s="254"/>
      <c r="I212" s="2"/>
    </row>
    <row r="213" spans="1:9" x14ac:dyDescent="0.25">
      <c r="A213" t="s">
        <v>777</v>
      </c>
      <c r="B213" s="227">
        <v>118068000</v>
      </c>
      <c r="E213" s="253"/>
      <c r="F213" s="254"/>
    </row>
    <row r="214" spans="1:9" x14ac:dyDescent="0.25">
      <c r="A214" t="s">
        <v>778</v>
      </c>
      <c r="B214" s="227">
        <v>104990000</v>
      </c>
    </row>
    <row r="215" spans="1:9" x14ac:dyDescent="0.25">
      <c r="A215" t="s">
        <v>779</v>
      </c>
      <c r="B215" s="227">
        <v>127709000</v>
      </c>
    </row>
    <row r="216" spans="1:9" x14ac:dyDescent="0.25">
      <c r="A216" t="s">
        <v>780</v>
      </c>
      <c r="B216" s="227">
        <v>112917000</v>
      </c>
    </row>
    <row r="217" spans="1:9" x14ac:dyDescent="0.25">
      <c r="A217" t="s">
        <v>781</v>
      </c>
      <c r="B217" s="227">
        <v>129890000</v>
      </c>
    </row>
    <row r="218" spans="1:9" x14ac:dyDescent="0.25">
      <c r="A218" t="s">
        <v>782</v>
      </c>
      <c r="B218" s="227">
        <v>154429000</v>
      </c>
    </row>
    <row r="219" spans="1:9" x14ac:dyDescent="0.25">
      <c r="A219" t="s">
        <v>783</v>
      </c>
      <c r="B219" s="227">
        <v>39876000</v>
      </c>
    </row>
    <row r="220" spans="1:9" x14ac:dyDescent="0.25">
      <c r="A220" t="s">
        <v>784</v>
      </c>
      <c r="B220" s="227">
        <v>722080000</v>
      </c>
    </row>
    <row r="221" spans="1:9" x14ac:dyDescent="0.25">
      <c r="A221" t="s">
        <v>785</v>
      </c>
      <c r="B221" s="227">
        <v>609843000</v>
      </c>
    </row>
    <row r="222" spans="1:9" x14ac:dyDescent="0.25">
      <c r="A222" t="s">
        <v>786</v>
      </c>
      <c r="B222" s="227">
        <v>140049000</v>
      </c>
    </row>
    <row r="223" spans="1:9" x14ac:dyDescent="0.25">
      <c r="A223" t="s">
        <v>787</v>
      </c>
      <c r="B223" s="227">
        <v>236597000</v>
      </c>
    </row>
    <row r="224" spans="1:9" x14ac:dyDescent="0.25">
      <c r="A224" t="s">
        <v>788</v>
      </c>
      <c r="B224" s="227">
        <v>94669000</v>
      </c>
    </row>
    <row r="225" spans="1:2" x14ac:dyDescent="0.25">
      <c r="A225" t="s">
        <v>789</v>
      </c>
      <c r="B225" s="227">
        <v>181254000</v>
      </c>
    </row>
    <row r="226" spans="1:2" x14ac:dyDescent="0.25">
      <c r="A226" t="s">
        <v>790</v>
      </c>
      <c r="B226" s="227">
        <v>127087000</v>
      </c>
    </row>
    <row r="227" spans="1:2" x14ac:dyDescent="0.25">
      <c r="A227" t="s">
        <v>791</v>
      </c>
      <c r="B227" s="227">
        <v>420630000</v>
      </c>
    </row>
    <row r="228" spans="1:2" x14ac:dyDescent="0.25">
      <c r="A228" t="s">
        <v>792</v>
      </c>
      <c r="B228" s="227">
        <v>193395000</v>
      </c>
    </row>
    <row r="229" spans="1:2" x14ac:dyDescent="0.25">
      <c r="A229" t="s">
        <v>793</v>
      </c>
      <c r="B229" s="227">
        <v>256025000</v>
      </c>
    </row>
    <row r="230" spans="1:2" x14ac:dyDescent="0.25">
      <c r="A230" t="s">
        <v>794</v>
      </c>
      <c r="B230" s="227">
        <v>104848000</v>
      </c>
    </row>
    <row r="231" spans="1:2" x14ac:dyDescent="0.25">
      <c r="A231" t="s">
        <v>795</v>
      </c>
      <c r="B231" s="227">
        <v>213435000</v>
      </c>
    </row>
    <row r="232" spans="1:2" x14ac:dyDescent="0.25">
      <c r="A232" t="s">
        <v>796</v>
      </c>
      <c r="B232" s="227">
        <v>223597000</v>
      </c>
    </row>
    <row r="233" spans="1:2" x14ac:dyDescent="0.25">
      <c r="A233" t="s">
        <v>797</v>
      </c>
      <c r="B233" s="227">
        <v>243354000</v>
      </c>
    </row>
    <row r="234" spans="1:2" x14ac:dyDescent="0.25">
      <c r="A234" t="s">
        <v>798</v>
      </c>
      <c r="B234" s="227">
        <v>211330000</v>
      </c>
    </row>
    <row r="235" spans="1:2" x14ac:dyDescent="0.25">
      <c r="A235" t="s">
        <v>799</v>
      </c>
      <c r="B235" s="227">
        <v>125978000</v>
      </c>
    </row>
    <row r="236" spans="1:2" x14ac:dyDescent="0.25">
      <c r="A236" t="s">
        <v>800</v>
      </c>
      <c r="B236" s="227">
        <v>295594000</v>
      </c>
    </row>
    <row r="237" spans="1:2" x14ac:dyDescent="0.25">
      <c r="A237" t="s">
        <v>801</v>
      </c>
      <c r="B237" s="227">
        <v>193256000</v>
      </c>
    </row>
    <row r="238" spans="1:2" x14ac:dyDescent="0.25">
      <c r="A238" t="s">
        <v>802</v>
      </c>
      <c r="B238" s="227">
        <v>128581000</v>
      </c>
    </row>
    <row r="239" spans="1:2" x14ac:dyDescent="0.25">
      <c r="A239" t="s">
        <v>803</v>
      </c>
      <c r="B239" s="227">
        <v>40602000</v>
      </c>
    </row>
    <row r="240" spans="1:2" x14ac:dyDescent="0.25">
      <c r="A240" t="s">
        <v>804</v>
      </c>
      <c r="B240" s="227">
        <v>255677000</v>
      </c>
    </row>
    <row r="241" spans="1:2" x14ac:dyDescent="0.25">
      <c r="A241" t="s">
        <v>805</v>
      </c>
      <c r="B241" s="227">
        <v>433294000</v>
      </c>
    </row>
    <row r="242" spans="1:2" x14ac:dyDescent="0.25">
      <c r="A242" t="s">
        <v>806</v>
      </c>
      <c r="B242" s="227">
        <v>165829000</v>
      </c>
    </row>
    <row r="243" spans="1:2" x14ac:dyDescent="0.25">
      <c r="A243" t="s">
        <v>807</v>
      </c>
      <c r="B243" s="227">
        <v>159240000</v>
      </c>
    </row>
    <row r="244" spans="1:2" x14ac:dyDescent="0.25">
      <c r="A244" t="s">
        <v>808</v>
      </c>
      <c r="B244" s="227">
        <v>67061000</v>
      </c>
    </row>
    <row r="245" spans="1:2" x14ac:dyDescent="0.25">
      <c r="A245" t="s">
        <v>809</v>
      </c>
      <c r="B245" s="227">
        <v>156211000</v>
      </c>
    </row>
    <row r="246" spans="1:2" x14ac:dyDescent="0.25">
      <c r="A246" t="s">
        <v>810</v>
      </c>
      <c r="B246" s="227">
        <v>76912000</v>
      </c>
    </row>
    <row r="247" spans="1:2" x14ac:dyDescent="0.25">
      <c r="A247" t="s">
        <v>811</v>
      </c>
      <c r="B247" s="227">
        <v>174772000</v>
      </c>
    </row>
    <row r="248" spans="1:2" x14ac:dyDescent="0.25">
      <c r="A248" t="s">
        <v>812</v>
      </c>
      <c r="B248" s="227">
        <v>130241000</v>
      </c>
    </row>
    <row r="249" spans="1:2" x14ac:dyDescent="0.25">
      <c r="A249" t="s">
        <v>813</v>
      </c>
      <c r="B249" s="227">
        <v>48395000</v>
      </c>
    </row>
    <row r="250" spans="1:2" x14ac:dyDescent="0.25">
      <c r="A250" t="s">
        <v>814</v>
      </c>
      <c r="B250" s="227">
        <v>126283000</v>
      </c>
    </row>
    <row r="251" spans="1:2" x14ac:dyDescent="0.25">
      <c r="A251" t="s">
        <v>815</v>
      </c>
      <c r="B251" s="227">
        <v>57695000</v>
      </c>
    </row>
    <row r="252" spans="1:2" x14ac:dyDescent="0.25">
      <c r="A252" t="s">
        <v>816</v>
      </c>
      <c r="B252" s="227">
        <v>172926000</v>
      </c>
    </row>
    <row r="253" spans="1:2" x14ac:dyDescent="0.25">
      <c r="A253" t="s">
        <v>817</v>
      </c>
      <c r="B253" s="227">
        <v>74212000</v>
      </c>
    </row>
    <row r="254" spans="1:2" x14ac:dyDescent="0.25">
      <c r="A254" t="s">
        <v>818</v>
      </c>
      <c r="B254" s="227">
        <v>2961805000</v>
      </c>
    </row>
    <row r="255" spans="1:2" x14ac:dyDescent="0.25">
      <c r="A255" t="s">
        <v>819</v>
      </c>
      <c r="B255" s="227">
        <v>3864274000</v>
      </c>
    </row>
    <row r="256" spans="1:2" x14ac:dyDescent="0.25">
      <c r="A256" t="s">
        <v>820</v>
      </c>
      <c r="B256" s="227">
        <v>11893584000</v>
      </c>
    </row>
    <row r="257" spans="1:2" x14ac:dyDescent="0.25">
      <c r="A257" t="s">
        <v>821</v>
      </c>
      <c r="B257" s="227">
        <v>456652000</v>
      </c>
    </row>
    <row r="258" spans="1:2" x14ac:dyDescent="0.25">
      <c r="A258" t="s">
        <v>822</v>
      </c>
      <c r="B258" s="227">
        <v>690888000</v>
      </c>
    </row>
    <row r="259" spans="1:2" x14ac:dyDescent="0.25">
      <c r="A259" t="s">
        <v>823</v>
      </c>
      <c r="B259" s="227">
        <v>222742000</v>
      </c>
    </row>
    <row r="260" spans="1:2" x14ac:dyDescent="0.25">
      <c r="A260" t="s">
        <v>824</v>
      </c>
      <c r="B260" s="227">
        <v>826903000</v>
      </c>
    </row>
    <row r="261" spans="1:2" x14ac:dyDescent="0.25">
      <c r="A261" t="s">
        <v>825</v>
      </c>
      <c r="B261" s="227">
        <v>429794000</v>
      </c>
    </row>
    <row r="262" spans="1:2" x14ac:dyDescent="0.25">
      <c r="A262" t="s">
        <v>826</v>
      </c>
      <c r="B262" s="227">
        <v>79443000</v>
      </c>
    </row>
    <row r="263" spans="1:2" x14ac:dyDescent="0.25">
      <c r="A263" t="s">
        <v>827</v>
      </c>
      <c r="B263" s="227">
        <v>103488000</v>
      </c>
    </row>
    <row r="264" spans="1:2" x14ac:dyDescent="0.25">
      <c r="A264" t="s">
        <v>828</v>
      </c>
      <c r="B264" s="227">
        <v>39991000</v>
      </c>
    </row>
    <row r="265" spans="1:2" x14ac:dyDescent="0.25">
      <c r="A265" t="s">
        <v>829</v>
      </c>
      <c r="B265" s="227">
        <v>193880000</v>
      </c>
    </row>
    <row r="266" spans="1:2" x14ac:dyDescent="0.25">
      <c r="A266" t="s">
        <v>830</v>
      </c>
      <c r="B266" s="227">
        <v>62748000</v>
      </c>
    </row>
    <row r="267" spans="1:2" x14ac:dyDescent="0.25">
      <c r="A267" t="s">
        <v>831</v>
      </c>
      <c r="B267" s="227">
        <v>316819000</v>
      </c>
    </row>
    <row r="268" spans="1:2" x14ac:dyDescent="0.25">
      <c r="A268" t="s">
        <v>832</v>
      </c>
      <c r="B268" s="227">
        <v>100288000</v>
      </c>
    </row>
    <row r="269" spans="1:2" x14ac:dyDescent="0.25">
      <c r="A269" t="s">
        <v>833</v>
      </c>
      <c r="B269" s="227">
        <v>167742000</v>
      </c>
    </row>
    <row r="270" spans="1:2" x14ac:dyDescent="0.25">
      <c r="A270" t="s">
        <v>834</v>
      </c>
      <c r="B270" s="227">
        <v>110376000</v>
      </c>
    </row>
    <row r="271" spans="1:2" x14ac:dyDescent="0.25">
      <c r="A271" t="s">
        <v>835</v>
      </c>
      <c r="B271" s="227">
        <v>108485000</v>
      </c>
    </row>
    <row r="272" spans="1:2" x14ac:dyDescent="0.25">
      <c r="A272" t="s">
        <v>836</v>
      </c>
      <c r="B272" s="227">
        <v>350058000</v>
      </c>
    </row>
    <row r="273" spans="1:2" x14ac:dyDescent="0.25">
      <c r="A273" t="s">
        <v>837</v>
      </c>
      <c r="B273" s="227">
        <v>81841000</v>
      </c>
    </row>
    <row r="274" spans="1:2" x14ac:dyDescent="0.25">
      <c r="A274" t="s">
        <v>838</v>
      </c>
      <c r="B274" s="227">
        <v>96051000</v>
      </c>
    </row>
    <row r="275" spans="1:2" x14ac:dyDescent="0.25">
      <c r="A275" t="s">
        <v>839</v>
      </c>
      <c r="B275" s="227">
        <v>369920000</v>
      </c>
    </row>
    <row r="276" spans="1:2" x14ac:dyDescent="0.25">
      <c r="A276" t="s">
        <v>840</v>
      </c>
      <c r="B276" s="227">
        <v>248859000</v>
      </c>
    </row>
    <row r="277" spans="1:2" x14ac:dyDescent="0.25">
      <c r="A277" t="s">
        <v>841</v>
      </c>
      <c r="B277" s="227">
        <v>8064466000</v>
      </c>
    </row>
    <row r="278" spans="1:2" x14ac:dyDescent="0.25">
      <c r="A278" t="s">
        <v>842</v>
      </c>
      <c r="B278" s="227">
        <v>11118143000</v>
      </c>
    </row>
    <row r="279" spans="1:2" x14ac:dyDescent="0.25">
      <c r="A279" t="s">
        <v>843</v>
      </c>
      <c r="B279" s="227">
        <v>3905982000</v>
      </c>
    </row>
    <row r="280" spans="1:2" x14ac:dyDescent="0.25">
      <c r="A280" t="s">
        <v>844</v>
      </c>
      <c r="B280" s="227">
        <v>10000000000</v>
      </c>
    </row>
    <row r="281" spans="1:2" x14ac:dyDescent="0.25">
      <c r="A281" t="s">
        <v>845</v>
      </c>
      <c r="B281" s="227">
        <v>324309000</v>
      </c>
    </row>
    <row r="282" spans="1:2" x14ac:dyDescent="0.25">
      <c r="A282" t="s">
        <v>846</v>
      </c>
      <c r="B282" s="227">
        <v>53276000</v>
      </c>
    </row>
    <row r="283" spans="1:2" x14ac:dyDescent="0.25">
      <c r="A283" t="s">
        <v>847</v>
      </c>
      <c r="B283" s="227">
        <v>180279000</v>
      </c>
    </row>
    <row r="284" spans="1:2" x14ac:dyDescent="0.25">
      <c r="A284" t="s">
        <v>848</v>
      </c>
      <c r="B284" s="227">
        <v>373316000</v>
      </c>
    </row>
    <row r="285" spans="1:2" x14ac:dyDescent="0.25">
      <c r="A285" t="s">
        <v>849</v>
      </c>
      <c r="B285" s="227">
        <v>2302324000</v>
      </c>
    </row>
    <row r="286" spans="1:2" x14ac:dyDescent="0.25">
      <c r="A286" t="s">
        <v>850</v>
      </c>
      <c r="B286" s="227">
        <v>2071073000</v>
      </c>
    </row>
    <row r="287" spans="1:2" x14ac:dyDescent="0.25">
      <c r="A287" t="s">
        <v>851</v>
      </c>
      <c r="B287" s="227">
        <v>212386000</v>
      </c>
    </row>
    <row r="288" spans="1:2" x14ac:dyDescent="0.25">
      <c r="A288" t="s">
        <v>852</v>
      </c>
      <c r="B288" s="227">
        <v>179874000</v>
      </c>
    </row>
    <row r="289" spans="1:2" x14ac:dyDescent="0.25">
      <c r="A289" t="s">
        <v>853</v>
      </c>
      <c r="B289" s="227">
        <v>87193000</v>
      </c>
    </row>
    <row r="290" spans="1:2" x14ac:dyDescent="0.25">
      <c r="A290" t="s">
        <v>854</v>
      </c>
      <c r="B290" s="227">
        <v>280076000</v>
      </c>
    </row>
    <row r="291" spans="1:2" x14ac:dyDescent="0.25">
      <c r="A291" t="s">
        <v>855</v>
      </c>
      <c r="B291" s="227">
        <v>97167000</v>
      </c>
    </row>
    <row r="292" spans="1:2" x14ac:dyDescent="0.25">
      <c r="A292" t="s">
        <v>856</v>
      </c>
      <c r="B292" s="227">
        <v>261675000</v>
      </c>
    </row>
    <row r="293" spans="1:2" x14ac:dyDescent="0.25">
      <c r="A293" t="s">
        <v>857</v>
      </c>
      <c r="B293" s="227">
        <v>130426000</v>
      </c>
    </row>
    <row r="294" spans="1:2" x14ac:dyDescent="0.25">
      <c r="A294" t="s">
        <v>858</v>
      </c>
      <c r="B294" s="227">
        <v>342037000</v>
      </c>
    </row>
    <row r="295" spans="1:2" x14ac:dyDescent="0.25">
      <c r="A295" t="s">
        <v>859</v>
      </c>
      <c r="B295" s="227">
        <v>78691000</v>
      </c>
    </row>
    <row r="296" spans="1:2" x14ac:dyDescent="0.25">
      <c r="A296" t="s">
        <v>860</v>
      </c>
      <c r="B296" s="227">
        <v>335659000</v>
      </c>
    </row>
    <row r="297" spans="1:2" x14ac:dyDescent="0.25">
      <c r="A297" t="s">
        <v>861</v>
      </c>
      <c r="B297" s="227">
        <v>374193000</v>
      </c>
    </row>
    <row r="298" spans="1:2" x14ac:dyDescent="0.25">
      <c r="A298" t="s">
        <v>862</v>
      </c>
      <c r="B298" s="227">
        <v>283849000</v>
      </c>
    </row>
    <row r="299" spans="1:2" x14ac:dyDescent="0.25">
      <c r="A299" t="s">
        <v>863</v>
      </c>
      <c r="B299" s="227">
        <v>397548000</v>
      </c>
    </row>
    <row r="300" spans="1:2" x14ac:dyDescent="0.25">
      <c r="A300" t="s">
        <v>864</v>
      </c>
      <c r="B300" s="227">
        <v>554193000</v>
      </c>
    </row>
    <row r="301" spans="1:2" x14ac:dyDescent="0.25">
      <c r="A301" t="s">
        <v>865</v>
      </c>
      <c r="B301" s="227">
        <v>83816000</v>
      </c>
    </row>
    <row r="302" spans="1:2" x14ac:dyDescent="0.25">
      <c r="A302" t="s">
        <v>866</v>
      </c>
      <c r="B302" s="227">
        <v>403366000</v>
      </c>
    </row>
    <row r="303" spans="1:2" x14ac:dyDescent="0.25">
      <c r="A303" t="s">
        <v>867</v>
      </c>
      <c r="B303" s="227">
        <v>221726000</v>
      </c>
    </row>
    <row r="304" spans="1:2" x14ac:dyDescent="0.25">
      <c r="A304" t="s">
        <v>868</v>
      </c>
      <c r="B304" s="227">
        <v>380043000</v>
      </c>
    </row>
    <row r="305" spans="1:2" x14ac:dyDescent="0.25">
      <c r="A305" t="s">
        <v>869</v>
      </c>
      <c r="B305" s="227">
        <v>168828000</v>
      </c>
    </row>
    <row r="306" spans="1:2" x14ac:dyDescent="0.25">
      <c r="A306" t="s">
        <v>870</v>
      </c>
      <c r="B306" s="227">
        <v>307923000</v>
      </c>
    </row>
    <row r="307" spans="1:2" x14ac:dyDescent="0.25">
      <c r="A307" t="s">
        <v>871</v>
      </c>
      <c r="B307" s="227">
        <v>120998000</v>
      </c>
    </row>
    <row r="308" spans="1:2" x14ac:dyDescent="0.25">
      <c r="A308" t="s">
        <v>872</v>
      </c>
      <c r="B308" s="227">
        <v>775316000</v>
      </c>
    </row>
    <row r="309" spans="1:2" x14ac:dyDescent="0.25">
      <c r="A309" t="s">
        <v>873</v>
      </c>
      <c r="B309" s="227">
        <v>38774000</v>
      </c>
    </row>
    <row r="310" spans="1:2" x14ac:dyDescent="0.25">
      <c r="A310" t="s">
        <v>874</v>
      </c>
      <c r="B310" s="227">
        <v>460753000</v>
      </c>
    </row>
    <row r="311" spans="1:2" x14ac:dyDescent="0.25">
      <c r="A311" t="s">
        <v>875</v>
      </c>
      <c r="B311" s="227">
        <v>97998000</v>
      </c>
    </row>
    <row r="312" spans="1:2" x14ac:dyDescent="0.25">
      <c r="A312" t="s">
        <v>876</v>
      </c>
      <c r="B312" s="227">
        <v>78892000</v>
      </c>
    </row>
    <row r="313" spans="1:2" x14ac:dyDescent="0.25">
      <c r="A313" t="s">
        <v>877</v>
      </c>
      <c r="B313" s="227">
        <v>81405000</v>
      </c>
    </row>
    <row r="314" spans="1:2" x14ac:dyDescent="0.25">
      <c r="A314" t="s">
        <v>878</v>
      </c>
      <c r="B314" s="227">
        <v>603396000</v>
      </c>
    </row>
    <row r="315" spans="1:2" x14ac:dyDescent="0.25">
      <c r="A315" t="s">
        <v>879</v>
      </c>
      <c r="B315" s="227">
        <v>210739000</v>
      </c>
    </row>
    <row r="316" spans="1:2" x14ac:dyDescent="0.25">
      <c r="A316" t="s">
        <v>880</v>
      </c>
      <c r="B316" s="227">
        <v>436728000</v>
      </c>
    </row>
    <row r="317" spans="1:2" x14ac:dyDescent="0.25">
      <c r="A317" t="s">
        <v>881</v>
      </c>
      <c r="B317" s="227">
        <v>343933000</v>
      </c>
    </row>
    <row r="318" spans="1:2" x14ac:dyDescent="0.25">
      <c r="A318" t="s">
        <v>882</v>
      </c>
      <c r="B318" s="227">
        <v>301025000</v>
      </c>
    </row>
    <row r="319" spans="1:2" x14ac:dyDescent="0.25">
      <c r="A319" t="s">
        <v>883</v>
      </c>
      <c r="B319" s="227">
        <v>210933000</v>
      </c>
    </row>
    <row r="320" spans="1:2" x14ac:dyDescent="0.25">
      <c r="A320" t="s">
        <v>884</v>
      </c>
      <c r="B320" s="227">
        <v>327843000</v>
      </c>
    </row>
    <row r="321" spans="1:2" x14ac:dyDescent="0.25">
      <c r="A321" t="s">
        <v>885</v>
      </c>
      <c r="B321" s="227">
        <v>143620000</v>
      </c>
    </row>
    <row r="322" spans="1:2" x14ac:dyDescent="0.25">
      <c r="A322" t="s">
        <v>886</v>
      </c>
      <c r="B322" s="227">
        <v>796399000</v>
      </c>
    </row>
    <row r="323" spans="1:2" x14ac:dyDescent="0.25">
      <c r="A323" t="s">
        <v>887</v>
      </c>
      <c r="B323" s="227">
        <v>578355000</v>
      </c>
    </row>
    <row r="324" spans="1:2" x14ac:dyDescent="0.25">
      <c r="A324" t="s">
        <v>888</v>
      </c>
      <c r="B324" s="227">
        <v>345100000</v>
      </c>
    </row>
    <row r="325" spans="1:2" x14ac:dyDescent="0.25">
      <c r="A325" t="s">
        <v>889</v>
      </c>
      <c r="B325" s="227">
        <v>10000000000</v>
      </c>
    </row>
    <row r="326" spans="1:2" x14ac:dyDescent="0.25">
      <c r="A326" t="s">
        <v>890</v>
      </c>
      <c r="B326" s="227">
        <v>20000000000</v>
      </c>
    </row>
    <row r="327" spans="1:2" x14ac:dyDescent="0.25">
      <c r="A327" t="s">
        <v>891</v>
      </c>
      <c r="B327" s="227">
        <v>76300000</v>
      </c>
    </row>
    <row r="328" spans="1:2" x14ac:dyDescent="0.25">
      <c r="A328" t="s">
        <v>892</v>
      </c>
      <c r="B328" s="227">
        <v>112064000</v>
      </c>
    </row>
    <row r="329" spans="1:2" x14ac:dyDescent="0.25">
      <c r="A329" t="s">
        <v>893</v>
      </c>
      <c r="B329" s="227">
        <v>260801000</v>
      </c>
    </row>
    <row r="330" spans="1:2" x14ac:dyDescent="0.25">
      <c r="A330" t="s">
        <v>894</v>
      </c>
      <c r="B330" s="227">
        <v>33472000</v>
      </c>
    </row>
    <row r="331" spans="1:2" x14ac:dyDescent="0.25">
      <c r="A331" t="s">
        <v>895</v>
      </c>
      <c r="B331" s="227">
        <v>110500000</v>
      </c>
    </row>
    <row r="332" spans="1:2" x14ac:dyDescent="0.25">
      <c r="A332" t="s">
        <v>896</v>
      </c>
      <c r="B332" s="227">
        <v>149831000</v>
      </c>
    </row>
    <row r="333" spans="1:2" x14ac:dyDescent="0.25">
      <c r="A333" t="s">
        <v>897</v>
      </c>
      <c r="B333" s="227">
        <v>15027000</v>
      </c>
    </row>
    <row r="334" spans="1:2" x14ac:dyDescent="0.25">
      <c r="A334" t="s">
        <v>898</v>
      </c>
      <c r="B334" s="227">
        <v>180057000</v>
      </c>
    </row>
    <row r="335" spans="1:2" x14ac:dyDescent="0.25">
      <c r="A335" t="s">
        <v>899</v>
      </c>
      <c r="B335" s="227">
        <v>149154000</v>
      </c>
    </row>
    <row r="336" spans="1:2" x14ac:dyDescent="0.25">
      <c r="A336" t="s">
        <v>900</v>
      </c>
      <c r="B336" s="227">
        <v>78782000</v>
      </c>
    </row>
    <row r="337" spans="1:2" x14ac:dyDescent="0.25">
      <c r="A337" t="s">
        <v>901</v>
      </c>
      <c r="B337" s="227">
        <v>139762000</v>
      </c>
    </row>
    <row r="338" spans="1:2" x14ac:dyDescent="0.25">
      <c r="A338" t="s">
        <v>902</v>
      </c>
      <c r="B338" s="227">
        <v>87151000</v>
      </c>
    </row>
    <row r="339" spans="1:2" x14ac:dyDescent="0.25">
      <c r="A339" t="s">
        <v>903</v>
      </c>
      <c r="B339" s="227">
        <v>43900000</v>
      </c>
    </row>
    <row r="340" spans="1:2" x14ac:dyDescent="0.25">
      <c r="A340" t="s">
        <v>904</v>
      </c>
      <c r="B340" s="227">
        <v>40745000</v>
      </c>
    </row>
    <row r="341" spans="1:2" x14ac:dyDescent="0.25">
      <c r="A341" t="s">
        <v>905</v>
      </c>
      <c r="B341" s="227">
        <v>194837000</v>
      </c>
    </row>
    <row r="342" spans="1:2" x14ac:dyDescent="0.25">
      <c r="A342" t="s">
        <v>906</v>
      </c>
      <c r="B342" s="227">
        <v>30000000</v>
      </c>
    </row>
    <row r="343" spans="1:2" x14ac:dyDescent="0.25">
      <c r="A343" t="s">
        <v>907</v>
      </c>
      <c r="B343" s="227">
        <v>10752000</v>
      </c>
    </row>
    <row r="344" spans="1:2" x14ac:dyDescent="0.25">
      <c r="A344" t="s">
        <v>908</v>
      </c>
      <c r="B344" s="227">
        <v>254800000</v>
      </c>
    </row>
    <row r="345" spans="1:2" x14ac:dyDescent="0.25">
      <c r="A345" t="s">
        <v>909</v>
      </c>
      <c r="B345" s="227">
        <v>30000000</v>
      </c>
    </row>
    <row r="346" spans="1:2" x14ac:dyDescent="0.25">
      <c r="A346" t="s">
        <v>910</v>
      </c>
      <c r="B346" s="227">
        <v>386755000</v>
      </c>
    </row>
    <row r="347" spans="1:2" x14ac:dyDescent="0.25">
      <c r="A347" t="s">
        <v>911</v>
      </c>
      <c r="B347" s="227">
        <v>159797000</v>
      </c>
    </row>
    <row r="348" spans="1:2" x14ac:dyDescent="0.25">
      <c r="A348" t="s">
        <v>912</v>
      </c>
      <c r="B348" s="227">
        <v>206191000</v>
      </c>
    </row>
    <row r="349" spans="1:2" x14ac:dyDescent="0.25">
      <c r="A349" t="s">
        <v>913</v>
      </c>
      <c r="B349" s="227">
        <v>58835000</v>
      </c>
    </row>
    <row r="350" spans="1:2" x14ac:dyDescent="0.25">
      <c r="A350" t="s">
        <v>914</v>
      </c>
      <c r="B350" s="227">
        <v>78966000</v>
      </c>
    </row>
    <row r="351" spans="1:2" x14ac:dyDescent="0.25">
      <c r="A351" t="s">
        <v>915</v>
      </c>
      <c r="B351" s="227">
        <v>135343000</v>
      </c>
    </row>
    <row r="352" spans="1:2" x14ac:dyDescent="0.25">
      <c r="A352" t="s">
        <v>916</v>
      </c>
      <c r="B352" s="227">
        <v>167390000</v>
      </c>
    </row>
    <row r="353" spans="1:2" x14ac:dyDescent="0.25">
      <c r="A353" t="s">
        <v>917</v>
      </c>
      <c r="B353" s="227">
        <v>40000000</v>
      </c>
    </row>
    <row r="354" spans="1:2" x14ac:dyDescent="0.25">
      <c r="A354" t="s">
        <v>918</v>
      </c>
      <c r="B354" s="227">
        <v>635167000</v>
      </c>
    </row>
    <row r="355" spans="1:2" x14ac:dyDescent="0.25">
      <c r="A355" t="s">
        <v>919</v>
      </c>
      <c r="B355" s="227">
        <v>277069000</v>
      </c>
    </row>
    <row r="356" spans="1:2" x14ac:dyDescent="0.25">
      <c r="A356" t="s">
        <v>920</v>
      </c>
      <c r="B356" s="227">
        <v>74439000</v>
      </c>
    </row>
    <row r="357" spans="1:2" x14ac:dyDescent="0.25">
      <c r="A357" t="s">
        <v>921</v>
      </c>
      <c r="B357" s="227">
        <v>30000000</v>
      </c>
    </row>
    <row r="358" spans="1:2" x14ac:dyDescent="0.25">
      <c r="A358" t="s">
        <v>922</v>
      </c>
      <c r="B358" s="227">
        <v>30000000</v>
      </c>
    </row>
    <row r="359" spans="1:2" x14ac:dyDescent="0.25">
      <c r="A359" t="s">
        <v>923</v>
      </c>
      <c r="B359" s="227">
        <v>202639000</v>
      </c>
    </row>
    <row r="360" spans="1:2" x14ac:dyDescent="0.25">
      <c r="A360" t="s">
        <v>924</v>
      </c>
      <c r="B360" s="227">
        <v>119983000</v>
      </c>
    </row>
    <row r="361" spans="1:2" x14ac:dyDescent="0.25">
      <c r="A361" t="s">
        <v>925</v>
      </c>
      <c r="B361" s="227">
        <v>40664000</v>
      </c>
    </row>
    <row r="362" spans="1:2" x14ac:dyDescent="0.25">
      <c r="A362" t="s">
        <v>926</v>
      </c>
      <c r="B362" s="227">
        <v>127872000</v>
      </c>
    </row>
    <row r="363" spans="1:2" x14ac:dyDescent="0.25">
      <c r="A363" t="s">
        <v>927</v>
      </c>
      <c r="B363" s="227">
        <v>205482000</v>
      </c>
    </row>
    <row r="364" spans="1:2" x14ac:dyDescent="0.25">
      <c r="A364" t="s">
        <v>928</v>
      </c>
      <c r="B364" s="227">
        <v>325249000</v>
      </c>
    </row>
    <row r="365" spans="1:2" x14ac:dyDescent="0.25">
      <c r="A365" t="s">
        <v>929</v>
      </c>
      <c r="B365" s="227">
        <v>119612000</v>
      </c>
    </row>
    <row r="366" spans="1:2" x14ac:dyDescent="0.25">
      <c r="A366" t="s">
        <v>930</v>
      </c>
      <c r="B366" s="227">
        <v>33656000</v>
      </c>
    </row>
    <row r="367" spans="1:2" x14ac:dyDescent="0.25">
      <c r="A367" t="s">
        <v>931</v>
      </c>
      <c r="B367" s="227">
        <v>90327000</v>
      </c>
    </row>
    <row r="368" spans="1:2" x14ac:dyDescent="0.25">
      <c r="A368" t="s">
        <v>932</v>
      </c>
      <c r="B368" s="227">
        <v>167255000</v>
      </c>
    </row>
    <row r="369" spans="1:2" x14ac:dyDescent="0.25">
      <c r="A369" t="s">
        <v>933</v>
      </c>
      <c r="B369" s="227">
        <v>244588000</v>
      </c>
    </row>
    <row r="370" spans="1:2" x14ac:dyDescent="0.25">
      <c r="A370" t="s">
        <v>934</v>
      </c>
      <c r="B370" s="227">
        <v>122320000</v>
      </c>
    </row>
    <row r="371" spans="1:2" x14ac:dyDescent="0.25">
      <c r="A371" t="s">
        <v>935</v>
      </c>
      <c r="B371" s="227">
        <v>48278000</v>
      </c>
    </row>
    <row r="372" spans="1:2" x14ac:dyDescent="0.25">
      <c r="A372" t="s">
        <v>936</v>
      </c>
      <c r="B372" s="227">
        <v>71117000</v>
      </c>
    </row>
    <row r="373" spans="1:2" x14ac:dyDescent="0.25">
      <c r="A373" t="s">
        <v>937</v>
      </c>
      <c r="B373" s="227">
        <v>131026000</v>
      </c>
    </row>
    <row r="374" spans="1:2" x14ac:dyDescent="0.25">
      <c r="A374" t="s">
        <v>938</v>
      </c>
      <c r="B374" s="227">
        <v>126238000</v>
      </c>
    </row>
    <row r="375" spans="1:2" x14ac:dyDescent="0.25">
      <c r="A375" t="s">
        <v>939</v>
      </c>
      <c r="B375" s="227">
        <v>377497000</v>
      </c>
    </row>
    <row r="376" spans="1:2" x14ac:dyDescent="0.25">
      <c r="A376" t="s">
        <v>940</v>
      </c>
      <c r="B376" s="227">
        <v>121539000</v>
      </c>
    </row>
    <row r="377" spans="1:2" x14ac:dyDescent="0.25">
      <c r="A377" t="s">
        <v>941</v>
      </c>
      <c r="B377" s="227">
        <v>118001000</v>
      </c>
    </row>
    <row r="378" spans="1:2" x14ac:dyDescent="0.25">
      <c r="A378" t="s">
        <v>942</v>
      </c>
      <c r="B378" s="227">
        <v>825000000</v>
      </c>
    </row>
    <row r="379" spans="1:2" x14ac:dyDescent="0.25">
      <c r="A379" t="s">
        <v>943</v>
      </c>
      <c r="B379" s="227">
        <v>4750000</v>
      </c>
    </row>
    <row r="380" spans="1:2" x14ac:dyDescent="0.25">
      <c r="A380" t="s">
        <v>944</v>
      </c>
      <c r="B380" s="227">
        <v>9480000000</v>
      </c>
    </row>
    <row r="381" spans="1:2" x14ac:dyDescent="0.25">
      <c r="A381" t="s">
        <v>945</v>
      </c>
      <c r="B381" s="227">
        <v>4660000000</v>
      </c>
    </row>
    <row r="382" spans="1:2" x14ac:dyDescent="0.25">
      <c r="A382" t="s">
        <v>946</v>
      </c>
      <c r="B382" s="227">
        <v>190000000</v>
      </c>
    </row>
    <row r="383" spans="1:2" x14ac:dyDescent="0.25">
      <c r="A383" t="s">
        <v>947</v>
      </c>
      <c r="B383" s="227">
        <v>88500000</v>
      </c>
    </row>
    <row r="384" spans="1:2" x14ac:dyDescent="0.25">
      <c r="A384" t="s">
        <v>948</v>
      </c>
      <c r="B384" s="227">
        <v>19375000</v>
      </c>
    </row>
    <row r="385" spans="1:2" x14ac:dyDescent="0.25">
      <c r="A385" t="s">
        <v>949</v>
      </c>
      <c r="B385" s="227">
        <v>87500000000</v>
      </c>
    </row>
    <row r="386" spans="1:2" x14ac:dyDescent="0.25">
      <c r="A386" t="s">
        <v>950</v>
      </c>
      <c r="B386" s="227">
        <v>7500000000</v>
      </c>
    </row>
    <row r="387" spans="1:2" x14ac:dyDescent="0.25">
      <c r="A387" t="s">
        <v>951</v>
      </c>
      <c r="B387" s="227">
        <v>36000000</v>
      </c>
    </row>
    <row r="388" spans="1:2" x14ac:dyDescent="0.25">
      <c r="A388" t="s">
        <v>952</v>
      </c>
      <c r="B388" s="227">
        <v>16500000</v>
      </c>
    </row>
    <row r="389" spans="1:2" x14ac:dyDescent="0.25">
      <c r="A389" t="s">
        <v>953</v>
      </c>
      <c r="B389" s="227">
        <v>70000000000</v>
      </c>
    </row>
    <row r="390" spans="1:2" x14ac:dyDescent="0.25">
      <c r="A390" t="s">
        <v>954</v>
      </c>
      <c r="B390" s="227">
        <v>20000000000</v>
      </c>
    </row>
    <row r="391" spans="1:2" x14ac:dyDescent="0.25">
      <c r="A391" t="s">
        <v>955</v>
      </c>
      <c r="B391" s="227">
        <v>20000000000</v>
      </c>
    </row>
    <row r="392" spans="1:2" x14ac:dyDescent="0.25">
      <c r="A392" t="s">
        <v>956</v>
      </c>
      <c r="B392" s="227">
        <v>200000000</v>
      </c>
    </row>
    <row r="393" spans="1:2" x14ac:dyDescent="0.25">
      <c r="A393" t="s">
        <v>957</v>
      </c>
      <c r="B393" s="227">
        <v>3000000000</v>
      </c>
    </row>
    <row r="394" spans="1:2" x14ac:dyDescent="0.25">
      <c r="A394" t="s">
        <v>958</v>
      </c>
      <c r="B394" s="227">
        <v>100000000</v>
      </c>
    </row>
    <row r="395" spans="1:2" x14ac:dyDescent="0.25">
      <c r="A395" t="s">
        <v>959</v>
      </c>
      <c r="B395" s="227">
        <v>100000000</v>
      </c>
    </row>
    <row r="396" spans="1:2" x14ac:dyDescent="0.25">
      <c r="A396" t="s">
        <v>960</v>
      </c>
      <c r="B396" s="227">
        <v>100000000</v>
      </c>
    </row>
    <row r="397" spans="1:2" x14ac:dyDescent="0.25">
      <c r="A397" t="s">
        <v>961</v>
      </c>
      <c r="B397" s="227">
        <v>100000000</v>
      </c>
    </row>
    <row r="398" spans="1:2" x14ac:dyDescent="0.25">
      <c r="A398" t="s">
        <v>962</v>
      </c>
      <c r="B398" s="227">
        <v>5000000000</v>
      </c>
    </row>
    <row r="399" spans="1:2" x14ac:dyDescent="0.25">
      <c r="A399" t="s">
        <v>963</v>
      </c>
      <c r="B399" s="227">
        <v>5000000000</v>
      </c>
    </row>
    <row r="400" spans="1:2" x14ac:dyDescent="0.25">
      <c r="A400" t="s">
        <v>964</v>
      </c>
      <c r="B400" s="227">
        <v>5000000000</v>
      </c>
    </row>
    <row r="401" spans="1:2" x14ac:dyDescent="0.25">
      <c r="A401" t="s">
        <v>965</v>
      </c>
      <c r="B401" s="227">
        <v>5000000000</v>
      </c>
    </row>
    <row r="402" spans="1:2" x14ac:dyDescent="0.25">
      <c r="A402" t="s">
        <v>966</v>
      </c>
      <c r="B402" s="227">
        <v>5000000000</v>
      </c>
    </row>
    <row r="403" spans="1:2" x14ac:dyDescent="0.25">
      <c r="A403" t="s">
        <v>967</v>
      </c>
      <c r="B403" s="227">
        <v>5000000000</v>
      </c>
    </row>
    <row r="404" spans="1:2" x14ac:dyDescent="0.25">
      <c r="A404" t="s">
        <v>968</v>
      </c>
      <c r="B404" s="227">
        <v>10000000000</v>
      </c>
    </row>
    <row r="405" spans="1:2" x14ac:dyDescent="0.25">
      <c r="A405" t="s">
        <v>969</v>
      </c>
      <c r="B405" s="227">
        <v>10000000000</v>
      </c>
    </row>
    <row r="406" spans="1:2" x14ac:dyDescent="0.25">
      <c r="A406" t="s">
        <v>970</v>
      </c>
      <c r="B406" s="227">
        <v>15000000000</v>
      </c>
    </row>
    <row r="407" spans="1:2" x14ac:dyDescent="0.25">
      <c r="A407" t="s">
        <v>572</v>
      </c>
      <c r="B407" s="227">
        <v>500000000</v>
      </c>
    </row>
    <row r="408" spans="1:2" x14ac:dyDescent="0.25">
      <c r="A408" t="s">
        <v>971</v>
      </c>
      <c r="B408" s="227">
        <v>1150000000</v>
      </c>
    </row>
    <row r="409" spans="1:2" x14ac:dyDescent="0.25">
      <c r="A409" t="s">
        <v>493</v>
      </c>
      <c r="B409" s="227">
        <v>1000000000</v>
      </c>
    </row>
    <row r="410" spans="1:2" x14ac:dyDescent="0.25">
      <c r="A410" t="s">
        <v>972</v>
      </c>
      <c r="B410" s="227">
        <v>1000000000</v>
      </c>
    </row>
    <row r="411" spans="1:2" x14ac:dyDescent="0.25">
      <c r="A411" t="s">
        <v>973</v>
      </c>
      <c r="B411" s="227">
        <v>1000000000</v>
      </c>
    </row>
    <row r="412" spans="1:2" x14ac:dyDescent="0.25">
      <c r="A412" t="s">
        <v>974</v>
      </c>
      <c r="B412" s="227">
        <v>19575000000</v>
      </c>
    </row>
    <row r="413" spans="1:2" x14ac:dyDescent="0.25">
      <c r="A413" t="s">
        <v>975</v>
      </c>
      <c r="B413" s="227">
        <v>10000000000</v>
      </c>
    </row>
    <row r="414" spans="1:2" x14ac:dyDescent="0.25">
      <c r="A414" t="s">
        <v>976</v>
      </c>
      <c r="B414" s="227">
        <v>550000000</v>
      </c>
    </row>
    <row r="415" spans="1:2" x14ac:dyDescent="0.25">
      <c r="A415" t="s">
        <v>977</v>
      </c>
      <c r="B415" s="227">
        <v>30000000000</v>
      </c>
    </row>
    <row r="416" spans="1:2" x14ac:dyDescent="0.25">
      <c r="A416" t="s">
        <v>978</v>
      </c>
      <c r="B416" s="227">
        <v>10000000000</v>
      </c>
    </row>
    <row r="417" spans="1:2" x14ac:dyDescent="0.25">
      <c r="A417" t="s">
        <v>979</v>
      </c>
      <c r="B417" s="227">
        <v>10000000000</v>
      </c>
    </row>
    <row r="418" spans="1:2" x14ac:dyDescent="0.25">
      <c r="A418" t="s">
        <v>980</v>
      </c>
      <c r="B418" s="227">
        <v>5000000000</v>
      </c>
    </row>
    <row r="419" spans="1:2" x14ac:dyDescent="0.25">
      <c r="A419" t="s">
        <v>981</v>
      </c>
      <c r="B419" s="227">
        <v>20000000000</v>
      </c>
    </row>
    <row r="420" spans="1:2" x14ac:dyDescent="0.25">
      <c r="A420" t="s">
        <v>982</v>
      </c>
      <c r="B420" s="227">
        <v>20000000000</v>
      </c>
    </row>
    <row r="421" spans="1:2" x14ac:dyDescent="0.25">
      <c r="A421" t="s">
        <v>983</v>
      </c>
      <c r="B421" s="227">
        <v>10000000000</v>
      </c>
    </row>
    <row r="422" spans="1:2" x14ac:dyDescent="0.25">
      <c r="A422" t="s">
        <v>984</v>
      </c>
      <c r="B422" s="227">
        <v>4850000000</v>
      </c>
    </row>
    <row r="423" spans="1:2" x14ac:dyDescent="0.25">
      <c r="A423" t="s">
        <v>985</v>
      </c>
      <c r="B423" s="227">
        <v>13000000000</v>
      </c>
    </row>
    <row r="424" spans="1:2" x14ac:dyDescent="0.25">
      <c r="A424" t="s">
        <v>986</v>
      </c>
      <c r="B424" s="227">
        <v>8965366000</v>
      </c>
    </row>
    <row r="425" spans="1:2" x14ac:dyDescent="0.25">
      <c r="A425" t="s">
        <v>987</v>
      </c>
      <c r="B425" s="227">
        <v>15000000000</v>
      </c>
    </row>
    <row r="426" spans="1:2" x14ac:dyDescent="0.25">
      <c r="A426" t="s">
        <v>988</v>
      </c>
      <c r="B426" s="227">
        <v>10000000000</v>
      </c>
    </row>
    <row r="427" spans="1:2" x14ac:dyDescent="0.25">
      <c r="A427" t="s">
        <v>989</v>
      </c>
      <c r="B427" s="227">
        <v>20000000000</v>
      </c>
    </row>
    <row r="428" spans="1:2" x14ac:dyDescent="0.25">
      <c r="A428" t="s">
        <v>990</v>
      </c>
      <c r="B428" s="227">
        <v>25000000000</v>
      </c>
    </row>
    <row r="429" spans="1:2" x14ac:dyDescent="0.25">
      <c r="A429" t="s">
        <v>991</v>
      </c>
      <c r="B429" s="227">
        <v>350000000</v>
      </c>
    </row>
    <row r="430" spans="1:2" x14ac:dyDescent="0.25">
      <c r="A430" t="s">
        <v>992</v>
      </c>
      <c r="B430" s="227">
        <v>30000000000</v>
      </c>
    </row>
    <row r="431" spans="1:2" x14ac:dyDescent="0.25">
      <c r="A431" t="s">
        <v>993</v>
      </c>
      <c r="B431" s="227">
        <v>10000000000</v>
      </c>
    </row>
    <row r="432" spans="1:2" x14ac:dyDescent="0.25">
      <c r="A432" t="s">
        <v>994</v>
      </c>
      <c r="B432" s="227">
        <v>10000000000</v>
      </c>
    </row>
    <row r="433" spans="1:2" x14ac:dyDescent="0.25">
      <c r="A433" t="s">
        <v>995</v>
      </c>
      <c r="B433" s="227">
        <v>80000000000</v>
      </c>
    </row>
    <row r="434" spans="1:2" x14ac:dyDescent="0.25">
      <c r="A434" t="s">
        <v>996</v>
      </c>
      <c r="B434" s="227">
        <v>20000000000</v>
      </c>
    </row>
    <row r="435" spans="1:2" x14ac:dyDescent="0.25">
      <c r="A435" t="s">
        <v>997</v>
      </c>
      <c r="B435" s="227">
        <v>550000000</v>
      </c>
    </row>
    <row r="436" spans="1:2" x14ac:dyDescent="0.25">
      <c r="A436" t="s">
        <v>998</v>
      </c>
      <c r="B436" s="227">
        <v>304500000</v>
      </c>
    </row>
    <row r="437" spans="1:2" x14ac:dyDescent="0.25">
      <c r="A437" t="s">
        <v>999</v>
      </c>
      <c r="B437" s="227">
        <v>115000000</v>
      </c>
    </row>
    <row r="438" spans="1:2" x14ac:dyDescent="0.25">
      <c r="A438" t="s">
        <v>1000</v>
      </c>
      <c r="B438" s="227">
        <v>2000000000</v>
      </c>
    </row>
    <row r="439" spans="1:2" x14ac:dyDescent="0.25">
      <c r="A439" t="s">
        <v>1001</v>
      </c>
      <c r="B439" s="227">
        <v>2320500000</v>
      </c>
    </row>
    <row r="440" spans="1:2" x14ac:dyDescent="0.25">
      <c r="A440" t="s">
        <v>1002</v>
      </c>
      <c r="B440" s="227">
        <v>2231000</v>
      </c>
    </row>
    <row r="441" spans="1:2" x14ac:dyDescent="0.25">
      <c r="A441" t="s">
        <v>1003</v>
      </c>
      <c r="B441" s="227">
        <v>3685000</v>
      </c>
    </row>
    <row r="442" spans="1:2" x14ac:dyDescent="0.25">
      <c r="A442" t="s">
        <v>1004</v>
      </c>
      <c r="B442" s="227">
        <v>590721000</v>
      </c>
    </row>
    <row r="443" spans="1:2" x14ac:dyDescent="0.25">
      <c r="A443" t="s">
        <v>1005</v>
      </c>
      <c r="B443" s="227">
        <v>10000000000</v>
      </c>
    </row>
    <row r="444" spans="1:2" x14ac:dyDescent="0.25">
      <c r="A444" t="s">
        <v>1006</v>
      </c>
      <c r="B444" s="227">
        <v>15000000000</v>
      </c>
    </row>
    <row r="445" spans="1:2" x14ac:dyDescent="0.25">
      <c r="A445" t="s">
        <v>550</v>
      </c>
      <c r="B445" s="227">
        <v>500000000</v>
      </c>
    </row>
    <row r="446" spans="1:2" x14ac:dyDescent="0.25">
      <c r="A446" t="s">
        <v>1007</v>
      </c>
      <c r="B446" s="227">
        <v>500000000</v>
      </c>
    </row>
    <row r="447" spans="1:2" x14ac:dyDescent="0.25">
      <c r="A447" t="s">
        <v>1008</v>
      </c>
      <c r="B447" s="227">
        <v>750000000</v>
      </c>
    </row>
    <row r="448" spans="1:2" x14ac:dyDescent="0.25">
      <c r="A448" t="s">
        <v>497</v>
      </c>
      <c r="B448" s="227">
        <v>500000000</v>
      </c>
    </row>
    <row r="449" spans="1:2" x14ac:dyDescent="0.25">
      <c r="A449" t="s">
        <v>1009</v>
      </c>
      <c r="B449" s="227">
        <v>1000000000</v>
      </c>
    </row>
    <row r="450" spans="1:2" x14ac:dyDescent="0.25">
      <c r="A450" t="s">
        <v>1010</v>
      </c>
      <c r="B450" s="227">
        <v>1000000000</v>
      </c>
    </row>
    <row r="451" spans="1:2" x14ac:dyDescent="0.25">
      <c r="A451" t="s">
        <v>1011</v>
      </c>
      <c r="B451" s="227">
        <v>25000000000</v>
      </c>
    </row>
    <row r="452" spans="1:2" x14ac:dyDescent="0.25">
      <c r="A452" t="s">
        <v>1012</v>
      </c>
      <c r="B452" s="227">
        <v>4259080000</v>
      </c>
    </row>
    <row r="453" spans="1:2" x14ac:dyDescent="0.25">
      <c r="A453" t="s">
        <v>1013</v>
      </c>
      <c r="B453" s="227">
        <v>7780000000</v>
      </c>
    </row>
    <row r="454" spans="1:2" x14ac:dyDescent="0.25">
      <c r="A454" t="s">
        <v>1014</v>
      </c>
      <c r="B454" s="227">
        <v>10000000000</v>
      </c>
    </row>
    <row r="455" spans="1:2" x14ac:dyDescent="0.25">
      <c r="A455" t="s">
        <v>1015</v>
      </c>
      <c r="B455" s="227">
        <v>10000000000</v>
      </c>
    </row>
    <row r="456" spans="1:2" x14ac:dyDescent="0.25">
      <c r="A456" t="s">
        <v>1016</v>
      </c>
      <c r="B456" s="227">
        <v>170000000</v>
      </c>
    </row>
    <row r="457" spans="1:2" x14ac:dyDescent="0.25">
      <c r="A457" t="s">
        <v>1017</v>
      </c>
      <c r="B457" s="227">
        <v>20000000000</v>
      </c>
    </row>
    <row r="458" spans="1:2" x14ac:dyDescent="0.25">
      <c r="A458" t="s">
        <v>509</v>
      </c>
      <c r="B458" s="227">
        <v>10000000000</v>
      </c>
    </row>
    <row r="459" spans="1:2" x14ac:dyDescent="0.25">
      <c r="A459" t="s">
        <v>510</v>
      </c>
      <c r="B459" s="227">
        <v>10000000000</v>
      </c>
    </row>
    <row r="460" spans="1:2" x14ac:dyDescent="0.25">
      <c r="A460" t="s">
        <v>512</v>
      </c>
      <c r="B460" s="227">
        <v>10000000000</v>
      </c>
    </row>
    <row r="461" spans="1:2" x14ac:dyDescent="0.25">
      <c r="A461" t="s">
        <v>1018</v>
      </c>
      <c r="B461" s="227">
        <v>10000000000</v>
      </c>
    </row>
    <row r="462" spans="1:2" x14ac:dyDescent="0.25">
      <c r="A462" t="s">
        <v>1019</v>
      </c>
      <c r="B462" s="227">
        <v>150000000</v>
      </c>
    </row>
    <row r="463" spans="1:2" x14ac:dyDescent="0.25">
      <c r="A463" t="s">
        <v>1020</v>
      </c>
      <c r="B463" s="227">
        <v>5000000000</v>
      </c>
    </row>
    <row r="464" spans="1:2" x14ac:dyDescent="0.25">
      <c r="A464" t="s">
        <v>1021</v>
      </c>
      <c r="B464" s="227">
        <v>10000000000</v>
      </c>
    </row>
    <row r="465" spans="1:2" x14ac:dyDescent="0.25">
      <c r="A465" t="s">
        <v>1022</v>
      </c>
      <c r="B465" s="227">
        <v>10000000000</v>
      </c>
    </row>
    <row r="466" spans="1:2" x14ac:dyDescent="0.25">
      <c r="A466" t="s">
        <v>1023</v>
      </c>
      <c r="B466" s="227">
        <v>25000000000</v>
      </c>
    </row>
    <row r="467" spans="1:2" x14ac:dyDescent="0.25">
      <c r="A467" t="s">
        <v>1024</v>
      </c>
      <c r="B467" s="227">
        <v>10000000000</v>
      </c>
    </row>
    <row r="468" spans="1:2" x14ac:dyDescent="0.25">
      <c r="A468" t="s">
        <v>1025</v>
      </c>
      <c r="B468" s="227">
        <v>10000000000</v>
      </c>
    </row>
    <row r="469" spans="1:2" x14ac:dyDescent="0.25">
      <c r="A469" t="s">
        <v>1026</v>
      </c>
      <c r="B469" s="227">
        <v>5000000000</v>
      </c>
    </row>
    <row r="470" spans="1:2" x14ac:dyDescent="0.25">
      <c r="A470" t="s">
        <v>1027</v>
      </c>
      <c r="B470" s="227">
        <v>5000000000</v>
      </c>
    </row>
    <row r="471" spans="1:2" x14ac:dyDescent="0.25">
      <c r="A471" t="s">
        <v>1028</v>
      </c>
      <c r="B471" s="227">
        <v>7000000000</v>
      </c>
    </row>
    <row r="472" spans="1:2" x14ac:dyDescent="0.25">
      <c r="A472" t="s">
        <v>1029</v>
      </c>
      <c r="B472" s="227">
        <v>10000000000</v>
      </c>
    </row>
    <row r="473" spans="1:2" x14ac:dyDescent="0.25">
      <c r="A473" t="s">
        <v>1030</v>
      </c>
      <c r="B473" s="227">
        <v>600000000</v>
      </c>
    </row>
    <row r="474" spans="1:2" x14ac:dyDescent="0.25">
      <c r="A474" t="s">
        <v>538</v>
      </c>
      <c r="B474" s="227">
        <v>600000000</v>
      </c>
    </row>
    <row r="475" spans="1:2" x14ac:dyDescent="0.25">
      <c r="A475" t="s">
        <v>539</v>
      </c>
      <c r="B475" s="227">
        <v>500000000</v>
      </c>
    </row>
    <row r="476" spans="1:2" x14ac:dyDescent="0.25">
      <c r="A476" t="s">
        <v>488</v>
      </c>
      <c r="B476" s="227">
        <v>550000000</v>
      </c>
    </row>
    <row r="477" spans="1:2" x14ac:dyDescent="0.25">
      <c r="A477" t="s">
        <v>1031</v>
      </c>
      <c r="B477" s="227">
        <v>500000000</v>
      </c>
    </row>
    <row r="478" spans="1:2" x14ac:dyDescent="0.25">
      <c r="A478" t="s">
        <v>1032</v>
      </c>
      <c r="B478" s="227">
        <v>500000000</v>
      </c>
    </row>
    <row r="479" spans="1:2" x14ac:dyDescent="0.25">
      <c r="A479" t="s">
        <v>1033</v>
      </c>
      <c r="B479" s="227">
        <v>1500000000</v>
      </c>
    </row>
    <row r="480" spans="1:2" x14ac:dyDescent="0.25">
      <c r="A480" t="s">
        <v>514</v>
      </c>
      <c r="B480" s="227">
        <v>5000000000</v>
      </c>
    </row>
    <row r="481" spans="1:2" x14ac:dyDescent="0.25">
      <c r="A481" t="s">
        <v>1034</v>
      </c>
      <c r="B481" s="227">
        <v>4000000000</v>
      </c>
    </row>
    <row r="482" spans="1:2" x14ac:dyDescent="0.25">
      <c r="A482" t="s">
        <v>1035</v>
      </c>
      <c r="B482" s="227">
        <v>4000000000</v>
      </c>
    </row>
    <row r="483" spans="1:2" x14ac:dyDescent="0.25">
      <c r="A483" t="s">
        <v>506</v>
      </c>
      <c r="B483" s="227">
        <v>4000000000</v>
      </c>
    </row>
    <row r="484" spans="1:2" x14ac:dyDescent="0.25">
      <c r="A484" t="s">
        <v>1036</v>
      </c>
      <c r="B484" s="227">
        <v>5000000000</v>
      </c>
    </row>
    <row r="485" spans="1:2" x14ac:dyDescent="0.25">
      <c r="A485" t="s">
        <v>1037</v>
      </c>
      <c r="B485" s="227">
        <v>65000000000</v>
      </c>
    </row>
    <row r="486" spans="1:2" x14ac:dyDescent="0.25">
      <c r="A486" t="s">
        <v>1038</v>
      </c>
      <c r="B486" s="227">
        <v>750000000</v>
      </c>
    </row>
    <row r="487" spans="1:2" x14ac:dyDescent="0.25">
      <c r="A487" t="s">
        <v>1039</v>
      </c>
      <c r="B487" s="227">
        <v>1000000000</v>
      </c>
    </row>
    <row r="488" spans="1:2" x14ac:dyDescent="0.25">
      <c r="A488" t="s">
        <v>1040</v>
      </c>
      <c r="B488" s="227">
        <v>500000000</v>
      </c>
    </row>
    <row r="489" spans="1:2" x14ac:dyDescent="0.25">
      <c r="A489" t="s">
        <v>1041</v>
      </c>
      <c r="B489" s="227">
        <v>500000000</v>
      </c>
    </row>
    <row r="490" spans="1:2" x14ac:dyDescent="0.25">
      <c r="A490" t="s">
        <v>1042</v>
      </c>
      <c r="B490" s="227">
        <v>750000000</v>
      </c>
    </row>
    <row r="491" spans="1:2" x14ac:dyDescent="0.25">
      <c r="A491" t="s">
        <v>1043</v>
      </c>
      <c r="B491" s="227">
        <v>750000000</v>
      </c>
    </row>
    <row r="492" spans="1:2" x14ac:dyDescent="0.25">
      <c r="A492" t="s">
        <v>1044</v>
      </c>
      <c r="B492" s="227">
        <v>500000000</v>
      </c>
    </row>
    <row r="493" spans="1:2" x14ac:dyDescent="0.25">
      <c r="A493" t="s">
        <v>1045</v>
      </c>
      <c r="B493" s="227">
        <v>1000000000</v>
      </c>
    </row>
    <row r="494" spans="1:2" x14ac:dyDescent="0.25">
      <c r="A494" t="s">
        <v>1046</v>
      </c>
      <c r="B494" s="227">
        <v>1000000000</v>
      </c>
    </row>
    <row r="495" spans="1:2" x14ac:dyDescent="0.25">
      <c r="A495" t="s">
        <v>551</v>
      </c>
      <c r="B495" s="227">
        <v>2000000000</v>
      </c>
    </row>
    <row r="496" spans="1:2" x14ac:dyDescent="0.25">
      <c r="A496" t="s">
        <v>1047</v>
      </c>
      <c r="B496" s="227">
        <v>1000000000</v>
      </c>
    </row>
    <row r="497" spans="1:2" x14ac:dyDescent="0.25">
      <c r="A497" t="s">
        <v>1048</v>
      </c>
      <c r="B497" s="227">
        <v>1000000000</v>
      </c>
    </row>
    <row r="498" spans="1:2" x14ac:dyDescent="0.25">
      <c r="A498" t="s">
        <v>491</v>
      </c>
      <c r="B498" s="227">
        <v>2000000000</v>
      </c>
    </row>
    <row r="499" spans="1:2" x14ac:dyDescent="0.25">
      <c r="A499" t="s">
        <v>1049</v>
      </c>
      <c r="B499" s="227">
        <v>1000000000</v>
      </c>
    </row>
    <row r="500" spans="1:2" x14ac:dyDescent="0.25">
      <c r="A500" t="s">
        <v>1050</v>
      </c>
      <c r="B500" s="227">
        <v>1000000000</v>
      </c>
    </row>
    <row r="501" spans="1:2" x14ac:dyDescent="0.25">
      <c r="A501" t="s">
        <v>1051</v>
      </c>
      <c r="B501" s="227">
        <v>850000000</v>
      </c>
    </row>
    <row r="502" spans="1:2" x14ac:dyDescent="0.25">
      <c r="A502" t="s">
        <v>1052</v>
      </c>
      <c r="B502" s="227">
        <v>500000000</v>
      </c>
    </row>
    <row r="503" spans="1:2" x14ac:dyDescent="0.25">
      <c r="A503" t="s">
        <v>500</v>
      </c>
      <c r="B503" s="227">
        <v>1400000000</v>
      </c>
    </row>
    <row r="504" spans="1:2" x14ac:dyDescent="0.25">
      <c r="A504" t="s">
        <v>1053</v>
      </c>
      <c r="B504" s="227">
        <v>1000000000</v>
      </c>
    </row>
    <row r="505" spans="1:2" x14ac:dyDescent="0.25">
      <c r="A505" t="s">
        <v>1054</v>
      </c>
      <c r="B505" s="227">
        <v>750000000</v>
      </c>
    </row>
    <row r="506" spans="1:2" x14ac:dyDescent="0.25">
      <c r="A506" t="s">
        <v>1055</v>
      </c>
      <c r="B506" s="227">
        <v>900000000</v>
      </c>
    </row>
    <row r="507" spans="1:2" x14ac:dyDescent="0.25">
      <c r="A507" t="s">
        <v>1056</v>
      </c>
      <c r="B507" s="227">
        <v>1250000000</v>
      </c>
    </row>
    <row r="508" spans="1:2" x14ac:dyDescent="0.25">
      <c r="A508" t="s">
        <v>1057</v>
      </c>
      <c r="B508" s="227">
        <v>1300000000</v>
      </c>
    </row>
    <row r="509" spans="1:2" x14ac:dyDescent="0.25">
      <c r="A509" t="s">
        <v>1058</v>
      </c>
      <c r="B509" s="227">
        <v>1250000000</v>
      </c>
    </row>
    <row r="510" spans="1:2" x14ac:dyDescent="0.25">
      <c r="A510" t="s">
        <v>1059</v>
      </c>
      <c r="B510" s="227">
        <v>1200000000</v>
      </c>
    </row>
    <row r="511" spans="1:2" x14ac:dyDescent="0.25">
      <c r="A511" t="s">
        <v>1060</v>
      </c>
      <c r="B511" s="227">
        <v>10000000000</v>
      </c>
    </row>
    <row r="512" spans="1:2" x14ac:dyDescent="0.25">
      <c r="A512" t="s">
        <v>1061</v>
      </c>
      <c r="B512" s="227">
        <v>15000000000</v>
      </c>
    </row>
    <row r="513" spans="1:2" x14ac:dyDescent="0.25">
      <c r="A513" t="s">
        <v>1062</v>
      </c>
      <c r="B513" s="227">
        <v>15000000000</v>
      </c>
    </row>
    <row r="514" spans="1:2" x14ac:dyDescent="0.25">
      <c r="A514" t="s">
        <v>1063</v>
      </c>
      <c r="B514" s="227">
        <v>15000000000</v>
      </c>
    </row>
    <row r="515" spans="1:2" x14ac:dyDescent="0.25">
      <c r="A515" t="s">
        <v>1064</v>
      </c>
      <c r="B515" s="227">
        <v>15000000000</v>
      </c>
    </row>
    <row r="516" spans="1:2" x14ac:dyDescent="0.25">
      <c r="A516" t="s">
        <v>1065</v>
      </c>
      <c r="B516" s="227">
        <v>8000000000</v>
      </c>
    </row>
    <row r="517" spans="1:2" x14ac:dyDescent="0.25">
      <c r="A517" t="s">
        <v>1066</v>
      </c>
      <c r="B517" s="227">
        <v>10000000000</v>
      </c>
    </row>
    <row r="518" spans="1:2" x14ac:dyDescent="0.25">
      <c r="A518" t="s">
        <v>1067</v>
      </c>
      <c r="B518" s="227">
        <v>10377062000</v>
      </c>
    </row>
    <row r="519" spans="1:2" x14ac:dyDescent="0.25">
      <c r="A519" t="s">
        <v>1068</v>
      </c>
      <c r="B519" s="227">
        <v>13228044000</v>
      </c>
    </row>
    <row r="520" spans="1:2" x14ac:dyDescent="0.25">
      <c r="A520" t="s">
        <v>1069</v>
      </c>
      <c r="B520" s="227">
        <v>5000000000</v>
      </c>
    </row>
    <row r="521" spans="1:2" x14ac:dyDescent="0.25">
      <c r="A521" t="s">
        <v>1070</v>
      </c>
      <c r="B521" s="227">
        <v>10000000000</v>
      </c>
    </row>
    <row r="522" spans="1:2" x14ac:dyDescent="0.25">
      <c r="A522" t="s">
        <v>1071</v>
      </c>
      <c r="B522" s="227">
        <v>6000000000</v>
      </c>
    </row>
    <row r="523" spans="1:2" x14ac:dyDescent="0.25">
      <c r="A523" t="s">
        <v>1072</v>
      </c>
      <c r="B523" s="227">
        <v>20000000000</v>
      </c>
    </row>
    <row r="524" spans="1:2" x14ac:dyDescent="0.25">
      <c r="A524" t="s">
        <v>1073</v>
      </c>
      <c r="B524" s="227">
        <v>5000000000</v>
      </c>
    </row>
    <row r="525" spans="1:2" x14ac:dyDescent="0.25">
      <c r="A525" t="s">
        <v>1074</v>
      </c>
      <c r="B525" s="227">
        <v>10000000000</v>
      </c>
    </row>
    <row r="526" spans="1:2" x14ac:dyDescent="0.25">
      <c r="A526" t="s">
        <v>1075</v>
      </c>
      <c r="B526" s="227">
        <v>5000000000</v>
      </c>
    </row>
    <row r="527" spans="1:2" x14ac:dyDescent="0.25">
      <c r="A527" t="s">
        <v>1076</v>
      </c>
      <c r="B527" s="227">
        <v>15000000000</v>
      </c>
    </row>
    <row r="528" spans="1:2" x14ac:dyDescent="0.25">
      <c r="A528" t="s">
        <v>1077</v>
      </c>
      <c r="B528" s="227">
        <v>10000000000</v>
      </c>
    </row>
    <row r="529" spans="1:2" x14ac:dyDescent="0.25">
      <c r="A529" t="s">
        <v>1078</v>
      </c>
      <c r="B529" s="227">
        <v>5000000000</v>
      </c>
    </row>
    <row r="530" spans="1:2" x14ac:dyDescent="0.25">
      <c r="A530" t="s">
        <v>1079</v>
      </c>
      <c r="B530" s="227">
        <v>10630210000</v>
      </c>
    </row>
    <row r="531" spans="1:2" x14ac:dyDescent="0.25">
      <c r="A531" t="s">
        <v>1080</v>
      </c>
      <c r="B531" s="227">
        <v>20000000000</v>
      </c>
    </row>
    <row r="532" spans="1:2" x14ac:dyDescent="0.25">
      <c r="A532" t="s">
        <v>1081</v>
      </c>
      <c r="B532" s="227">
        <v>15000000000</v>
      </c>
    </row>
    <row r="533" spans="1:2" x14ac:dyDescent="0.25">
      <c r="A533" t="s">
        <v>1082</v>
      </c>
      <c r="B533" s="227">
        <v>2000000000</v>
      </c>
    </row>
    <row r="534" spans="1:2" x14ac:dyDescent="0.25">
      <c r="A534" t="s">
        <v>1083</v>
      </c>
      <c r="B534" s="227">
        <v>59607000</v>
      </c>
    </row>
    <row r="535" spans="1:2" x14ac:dyDescent="0.25">
      <c r="A535" t="s">
        <v>1084</v>
      </c>
      <c r="B535" s="227">
        <v>272368000</v>
      </c>
    </row>
    <row r="536" spans="1:2" x14ac:dyDescent="0.25">
      <c r="A536" t="s">
        <v>1085</v>
      </c>
      <c r="B536" s="227">
        <v>301482000</v>
      </c>
    </row>
    <row r="537" spans="1:2" x14ac:dyDescent="0.25">
      <c r="A537" t="s">
        <v>1086</v>
      </c>
      <c r="B537" s="227">
        <v>228930000</v>
      </c>
    </row>
    <row r="538" spans="1:2" x14ac:dyDescent="0.25">
      <c r="A538" t="s">
        <v>1087</v>
      </c>
      <c r="B538" s="227">
        <v>89594000</v>
      </c>
    </row>
    <row r="539" spans="1:2" x14ac:dyDescent="0.25">
      <c r="A539" t="s">
        <v>1088</v>
      </c>
      <c r="B539" s="227">
        <v>20000000000</v>
      </c>
    </row>
    <row r="540" spans="1:2" x14ac:dyDescent="0.25">
      <c r="A540" t="s">
        <v>1089</v>
      </c>
      <c r="B540" s="227">
        <v>10000000000</v>
      </c>
    </row>
    <row r="541" spans="1:2" x14ac:dyDescent="0.25">
      <c r="A541" t="s">
        <v>1090</v>
      </c>
      <c r="B541" s="227">
        <v>13500000000</v>
      </c>
    </row>
    <row r="542" spans="1:2" x14ac:dyDescent="0.25">
      <c r="A542" t="s">
        <v>1091</v>
      </c>
      <c r="B542" s="227">
        <v>10000000000</v>
      </c>
    </row>
    <row r="543" spans="1:2" x14ac:dyDescent="0.25">
      <c r="A543" t="s">
        <v>1092</v>
      </c>
      <c r="B543" s="227">
        <v>10000000000</v>
      </c>
    </row>
    <row r="544" spans="1:2" x14ac:dyDescent="0.25">
      <c r="A544" t="s">
        <v>1093</v>
      </c>
      <c r="B544" s="227">
        <v>10000000000</v>
      </c>
    </row>
    <row r="545" spans="1:2" x14ac:dyDescent="0.25">
      <c r="A545" t="s">
        <v>1094</v>
      </c>
      <c r="B545" s="227">
        <v>10000000000</v>
      </c>
    </row>
    <row r="546" spans="1:2" x14ac:dyDescent="0.25">
      <c r="A546" t="s">
        <v>1095</v>
      </c>
      <c r="B546" s="227">
        <v>10000000000</v>
      </c>
    </row>
    <row r="547" spans="1:2" x14ac:dyDescent="0.25">
      <c r="A547" t="s">
        <v>1096</v>
      </c>
      <c r="B547" s="227">
        <v>10000000000</v>
      </c>
    </row>
    <row r="548" spans="1:2" x14ac:dyDescent="0.25">
      <c r="A548" t="s">
        <v>1097</v>
      </c>
      <c r="B548" s="227">
        <v>10000000000</v>
      </c>
    </row>
    <row r="549" spans="1:2" x14ac:dyDescent="0.25">
      <c r="A549" t="s">
        <v>1098</v>
      </c>
      <c r="B549" s="227">
        <v>10000000000</v>
      </c>
    </row>
    <row r="550" spans="1:2" x14ac:dyDescent="0.25">
      <c r="A550" t="s">
        <v>1099</v>
      </c>
      <c r="B550" s="227">
        <v>500000000</v>
      </c>
    </row>
    <row r="551" spans="1:2" x14ac:dyDescent="0.25">
      <c r="A551" t="s">
        <v>1100</v>
      </c>
      <c r="B551" s="227">
        <v>150185000</v>
      </c>
    </row>
    <row r="552" spans="1:2" x14ac:dyDescent="0.25">
      <c r="A552" t="s">
        <v>1101</v>
      </c>
      <c r="B552" s="227">
        <v>292125000</v>
      </c>
    </row>
    <row r="553" spans="1:2" x14ac:dyDescent="0.25">
      <c r="A553" t="s">
        <v>1102</v>
      </c>
      <c r="B553" s="227">
        <v>272455000</v>
      </c>
    </row>
    <row r="554" spans="1:2" x14ac:dyDescent="0.25">
      <c r="A554" t="s">
        <v>1103</v>
      </c>
      <c r="B554" s="227">
        <v>250250000</v>
      </c>
    </row>
    <row r="555" spans="1:2" x14ac:dyDescent="0.25">
      <c r="A555" t="s">
        <v>1104</v>
      </c>
      <c r="B555" s="227">
        <v>1150000000</v>
      </c>
    </row>
    <row r="556" spans="1:2" x14ac:dyDescent="0.25">
      <c r="A556" t="s">
        <v>1105</v>
      </c>
      <c r="B556" s="227">
        <v>1150000000</v>
      </c>
    </row>
    <row r="557" spans="1:2" x14ac:dyDescent="0.25">
      <c r="A557" t="s">
        <v>537</v>
      </c>
      <c r="B557" s="227">
        <v>1500000000</v>
      </c>
    </row>
    <row r="558" spans="1:2" x14ac:dyDescent="0.25">
      <c r="A558" t="s">
        <v>1106</v>
      </c>
      <c r="B558" s="227">
        <v>1500000000</v>
      </c>
    </row>
    <row r="559" spans="1:2" x14ac:dyDescent="0.25">
      <c r="A559" t="s">
        <v>1107</v>
      </c>
      <c r="B559" s="227">
        <v>1000000000</v>
      </c>
    </row>
    <row r="560" spans="1:2" x14ac:dyDescent="0.25">
      <c r="A560" t="s">
        <v>1108</v>
      </c>
      <c r="B560" s="227">
        <v>500000000</v>
      </c>
    </row>
    <row r="561" spans="1:2" x14ac:dyDescent="0.25">
      <c r="A561" t="s">
        <v>1109</v>
      </c>
      <c r="B561" s="227">
        <v>10000000000</v>
      </c>
    </row>
    <row r="562" spans="1:2" x14ac:dyDescent="0.25">
      <c r="A562" t="s">
        <v>1110</v>
      </c>
      <c r="B562" s="227">
        <v>7000000000</v>
      </c>
    </row>
    <row r="563" spans="1:2" x14ac:dyDescent="0.25">
      <c r="A563" t="s">
        <v>1111</v>
      </c>
      <c r="B563" s="227">
        <v>10000000000</v>
      </c>
    </row>
    <row r="564" spans="1:2" x14ac:dyDescent="0.25">
      <c r="A564" t="s">
        <v>1112</v>
      </c>
      <c r="B564" s="227">
        <v>20000000000</v>
      </c>
    </row>
    <row r="565" spans="1:2" x14ac:dyDescent="0.25">
      <c r="A565" t="s">
        <v>1113</v>
      </c>
      <c r="B565" s="227">
        <v>5000000000</v>
      </c>
    </row>
    <row r="566" spans="1:2" x14ac:dyDescent="0.25">
      <c r="A566" t="s">
        <v>1114</v>
      </c>
      <c r="B566" s="227">
        <v>5000000000</v>
      </c>
    </row>
    <row r="567" spans="1:2" x14ac:dyDescent="0.25">
      <c r="A567" t="s">
        <v>1115</v>
      </c>
      <c r="B567" s="227">
        <v>600000000</v>
      </c>
    </row>
    <row r="568" spans="1:2" x14ac:dyDescent="0.25">
      <c r="A568" t="s">
        <v>573</v>
      </c>
      <c r="B568" s="227">
        <v>500000000</v>
      </c>
    </row>
    <row r="569" spans="1:2" x14ac:dyDescent="0.25">
      <c r="A569" t="s">
        <v>502</v>
      </c>
      <c r="B569" s="227">
        <v>600000000</v>
      </c>
    </row>
    <row r="570" spans="1:2" x14ac:dyDescent="0.25">
      <c r="A570" t="s">
        <v>501</v>
      </c>
      <c r="B570" s="227">
        <v>500000000</v>
      </c>
    </row>
    <row r="571" spans="1:2" x14ac:dyDescent="0.25">
      <c r="A571" t="s">
        <v>1116</v>
      </c>
      <c r="B571" s="227">
        <v>500000000</v>
      </c>
    </row>
    <row r="572" spans="1:2" x14ac:dyDescent="0.25">
      <c r="A572" t="s">
        <v>1117</v>
      </c>
      <c r="B572" s="227">
        <v>500000000</v>
      </c>
    </row>
    <row r="573" spans="1:2" x14ac:dyDescent="0.25">
      <c r="A573" t="s">
        <v>536</v>
      </c>
      <c r="B573" s="227">
        <v>500000000</v>
      </c>
    </row>
    <row r="574" spans="1:2" x14ac:dyDescent="0.25">
      <c r="A574" t="s">
        <v>1118</v>
      </c>
      <c r="B574" s="227">
        <v>600000000</v>
      </c>
    </row>
    <row r="575" spans="1:2" x14ac:dyDescent="0.25">
      <c r="A575" t="s">
        <v>1119</v>
      </c>
      <c r="B575" s="227">
        <v>350000000</v>
      </c>
    </row>
    <row r="576" spans="1:2" x14ac:dyDescent="0.25">
      <c r="A576" t="s">
        <v>1120</v>
      </c>
      <c r="B576" s="227">
        <v>700000000</v>
      </c>
    </row>
    <row r="577" spans="1:2" x14ac:dyDescent="0.25">
      <c r="A577" t="s">
        <v>1121</v>
      </c>
      <c r="B577" s="227">
        <v>300000000</v>
      </c>
    </row>
    <row r="578" spans="1:2" x14ac:dyDescent="0.25">
      <c r="A578" t="s">
        <v>1122</v>
      </c>
      <c r="B578" s="227">
        <v>300000000</v>
      </c>
    </row>
    <row r="579" spans="1:2" x14ac:dyDescent="0.25">
      <c r="A579" t="s">
        <v>1123</v>
      </c>
      <c r="B579" s="227">
        <v>300000000</v>
      </c>
    </row>
    <row r="580" spans="1:2" x14ac:dyDescent="0.25">
      <c r="A580" t="s">
        <v>1124</v>
      </c>
      <c r="B580" s="227">
        <v>350000000</v>
      </c>
    </row>
    <row r="581" spans="1:2" x14ac:dyDescent="0.25">
      <c r="A581" t="s">
        <v>1125</v>
      </c>
      <c r="B581" s="227">
        <v>350000000</v>
      </c>
    </row>
    <row r="582" spans="1:2" x14ac:dyDescent="0.25">
      <c r="A582" t="s">
        <v>1126</v>
      </c>
      <c r="B582" s="227">
        <v>500000000</v>
      </c>
    </row>
    <row r="583" spans="1:2" x14ac:dyDescent="0.25">
      <c r="A583" t="s">
        <v>1127</v>
      </c>
      <c r="B583" s="227">
        <v>600000000</v>
      </c>
    </row>
    <row r="584" spans="1:2" x14ac:dyDescent="0.25">
      <c r="A584" t="s">
        <v>1128</v>
      </c>
      <c r="B584" s="227">
        <v>900000000</v>
      </c>
    </row>
    <row r="585" spans="1:2" x14ac:dyDescent="0.25">
      <c r="A585" t="s">
        <v>1129</v>
      </c>
      <c r="B585" s="227">
        <v>100000000</v>
      </c>
    </row>
    <row r="586" spans="1:2" x14ac:dyDescent="0.25">
      <c r="A586" t="s">
        <v>1130</v>
      </c>
      <c r="B586" s="227">
        <v>2000000000</v>
      </c>
    </row>
    <row r="587" spans="1:2" x14ac:dyDescent="0.25">
      <c r="A587" t="s">
        <v>1131</v>
      </c>
      <c r="B587" s="227">
        <v>3000000000</v>
      </c>
    </row>
    <row r="588" spans="1:2" x14ac:dyDescent="0.25">
      <c r="A588" t="s">
        <v>1132</v>
      </c>
      <c r="B588" s="227">
        <v>72655000</v>
      </c>
    </row>
    <row r="589" spans="1:2" x14ac:dyDescent="0.25">
      <c r="A589" t="s">
        <v>1133</v>
      </c>
      <c r="B589" s="227">
        <v>400000000</v>
      </c>
    </row>
    <row r="590" spans="1:2" x14ac:dyDescent="0.25">
      <c r="A590" t="s">
        <v>1134</v>
      </c>
      <c r="B590" s="227">
        <v>400000000</v>
      </c>
    </row>
    <row r="591" spans="1:2" x14ac:dyDescent="0.25">
      <c r="A591" t="s">
        <v>1135</v>
      </c>
      <c r="B591" s="227">
        <v>1000000000</v>
      </c>
    </row>
    <row r="592" spans="1:2" x14ac:dyDescent="0.25">
      <c r="A592" t="s">
        <v>1136</v>
      </c>
      <c r="B592" s="227">
        <v>800000000</v>
      </c>
    </row>
    <row r="593" spans="1:2" x14ac:dyDescent="0.25">
      <c r="A593" t="s">
        <v>1137</v>
      </c>
      <c r="B593" s="227">
        <v>1000000000</v>
      </c>
    </row>
    <row r="594" spans="1:2" x14ac:dyDescent="0.25">
      <c r="A594" t="s">
        <v>1138</v>
      </c>
      <c r="B594" s="227">
        <v>15000000000</v>
      </c>
    </row>
    <row r="595" spans="1:2" x14ac:dyDescent="0.25">
      <c r="A595" t="s">
        <v>1139</v>
      </c>
      <c r="B595" s="227">
        <v>15000000000</v>
      </c>
    </row>
    <row r="596" spans="1:2" x14ac:dyDescent="0.25">
      <c r="A596" t="s">
        <v>1140</v>
      </c>
      <c r="B596" s="227">
        <v>15000000000</v>
      </c>
    </row>
    <row r="597" spans="1:2" x14ac:dyDescent="0.25">
      <c r="A597" t="s">
        <v>1141</v>
      </c>
      <c r="B597" s="227">
        <v>15000000000</v>
      </c>
    </row>
    <row r="598" spans="1:2" x14ac:dyDescent="0.25">
      <c r="A598" t="s">
        <v>525</v>
      </c>
      <c r="B598" s="227">
        <v>10000000000</v>
      </c>
    </row>
    <row r="599" spans="1:2" x14ac:dyDescent="0.25">
      <c r="A599" t="s">
        <v>1142</v>
      </c>
      <c r="B599" s="227">
        <v>10000000000</v>
      </c>
    </row>
    <row r="600" spans="1:2" x14ac:dyDescent="0.25">
      <c r="A600" t="s">
        <v>484</v>
      </c>
      <c r="B600" s="227">
        <v>500000000</v>
      </c>
    </row>
    <row r="601" spans="1:2" x14ac:dyDescent="0.25">
      <c r="A601" t="s">
        <v>1143</v>
      </c>
      <c r="B601" s="227">
        <v>600000000</v>
      </c>
    </row>
    <row r="602" spans="1:2" x14ac:dyDescent="0.25">
      <c r="A602" t="s">
        <v>1144</v>
      </c>
      <c r="B602" s="227">
        <v>500000000</v>
      </c>
    </row>
    <row r="603" spans="1:2" x14ac:dyDescent="0.25">
      <c r="A603" t="s">
        <v>1145</v>
      </c>
      <c r="B603" s="227">
        <v>10000000000</v>
      </c>
    </row>
    <row r="604" spans="1:2" x14ac:dyDescent="0.25">
      <c r="A604" t="s">
        <v>1146</v>
      </c>
      <c r="B604" s="227">
        <v>5000000000</v>
      </c>
    </row>
    <row r="605" spans="1:2" x14ac:dyDescent="0.25">
      <c r="A605" t="s">
        <v>1147</v>
      </c>
      <c r="B605" s="227">
        <v>5000000000</v>
      </c>
    </row>
    <row r="606" spans="1:2" x14ac:dyDescent="0.25">
      <c r="A606" t="s">
        <v>508</v>
      </c>
      <c r="B606" s="227">
        <v>5000000000</v>
      </c>
    </row>
    <row r="607" spans="1:2" x14ac:dyDescent="0.25">
      <c r="A607" t="s">
        <v>1148</v>
      </c>
      <c r="B607" s="227">
        <v>5000000000</v>
      </c>
    </row>
    <row r="608" spans="1:2" x14ac:dyDescent="0.25">
      <c r="A608" t="s">
        <v>1149</v>
      </c>
      <c r="B608" s="227">
        <v>50000000</v>
      </c>
    </row>
    <row r="609" spans="1:2" x14ac:dyDescent="0.25">
      <c r="A609" t="s">
        <v>1150</v>
      </c>
      <c r="B609" s="227">
        <v>10000000000</v>
      </c>
    </row>
    <row r="610" spans="1:2" x14ac:dyDescent="0.25">
      <c r="A610" t="s">
        <v>1151</v>
      </c>
      <c r="B610" s="227">
        <v>10000000000</v>
      </c>
    </row>
    <row r="611" spans="1:2" x14ac:dyDescent="0.25">
      <c r="A611" t="s">
        <v>1152</v>
      </c>
      <c r="B611" s="227">
        <v>10000000000</v>
      </c>
    </row>
    <row r="612" spans="1:2" x14ac:dyDescent="0.25">
      <c r="A612" t="s">
        <v>1153</v>
      </c>
      <c r="B612" s="227">
        <v>5000000000</v>
      </c>
    </row>
    <row r="613" spans="1:2" x14ac:dyDescent="0.25">
      <c r="A613" t="s">
        <v>516</v>
      </c>
      <c r="B613" s="227">
        <v>10000000000</v>
      </c>
    </row>
    <row r="614" spans="1:2" x14ac:dyDescent="0.25">
      <c r="A614" t="s">
        <v>1154</v>
      </c>
      <c r="B614" s="227">
        <v>10000000000</v>
      </c>
    </row>
    <row r="615" spans="1:2" x14ac:dyDescent="0.25">
      <c r="A615" t="s">
        <v>1155</v>
      </c>
      <c r="B615" s="227">
        <v>5000000000</v>
      </c>
    </row>
    <row r="616" spans="1:2" x14ac:dyDescent="0.25">
      <c r="A616" t="s">
        <v>1156</v>
      </c>
      <c r="B616" s="227">
        <v>5000000000</v>
      </c>
    </row>
    <row r="617" spans="1:2" x14ac:dyDescent="0.25">
      <c r="A617" t="s">
        <v>1157</v>
      </c>
      <c r="B617" s="227">
        <v>10000000000</v>
      </c>
    </row>
    <row r="618" spans="1:2" x14ac:dyDescent="0.25">
      <c r="A618" t="s">
        <v>1158</v>
      </c>
      <c r="B618" s="227">
        <v>10000000000</v>
      </c>
    </row>
    <row r="619" spans="1:2" x14ac:dyDescent="0.25">
      <c r="A619" t="s">
        <v>1159</v>
      </c>
      <c r="B619" s="227">
        <v>10000000000</v>
      </c>
    </row>
    <row r="620" spans="1:2" x14ac:dyDescent="0.25">
      <c r="A620" t="s">
        <v>1160</v>
      </c>
      <c r="B620" s="227">
        <v>5000000000</v>
      </c>
    </row>
    <row r="621" spans="1:2" x14ac:dyDescent="0.25">
      <c r="A621" t="s">
        <v>1161</v>
      </c>
      <c r="B621" s="227">
        <v>5000000000</v>
      </c>
    </row>
    <row r="622" spans="1:2" x14ac:dyDescent="0.25">
      <c r="A622" t="s">
        <v>1162</v>
      </c>
      <c r="B622" s="227">
        <v>5000000000</v>
      </c>
    </row>
    <row r="623" spans="1:2" x14ac:dyDescent="0.25">
      <c r="A623" t="s">
        <v>1163</v>
      </c>
      <c r="B623" s="227">
        <v>500000000</v>
      </c>
    </row>
    <row r="624" spans="1:2" x14ac:dyDescent="0.25">
      <c r="A624" t="s">
        <v>1164</v>
      </c>
      <c r="B624" s="227">
        <v>38193000</v>
      </c>
    </row>
    <row r="625" spans="1:2" x14ac:dyDescent="0.25">
      <c r="A625" t="s">
        <v>1165</v>
      </c>
      <c r="B625" s="227">
        <v>2480992000</v>
      </c>
    </row>
    <row r="626" spans="1:2" x14ac:dyDescent="0.25">
      <c r="A626" t="s">
        <v>1166</v>
      </c>
      <c r="B626" s="227">
        <v>4698000</v>
      </c>
    </row>
    <row r="627" spans="1:2" x14ac:dyDescent="0.25">
      <c r="A627" t="s">
        <v>1167</v>
      </c>
      <c r="B627" s="227">
        <v>1379330000</v>
      </c>
    </row>
    <row r="628" spans="1:2" x14ac:dyDescent="0.25">
      <c r="A628" t="s">
        <v>1168</v>
      </c>
      <c r="B628" s="227">
        <v>3799466000</v>
      </c>
    </row>
    <row r="629" spans="1:2" x14ac:dyDescent="0.25">
      <c r="A629" t="s">
        <v>1169</v>
      </c>
      <c r="B629" s="227">
        <v>10000000000</v>
      </c>
    </row>
    <row r="630" spans="1:2" x14ac:dyDescent="0.25">
      <c r="A630" t="s">
        <v>1170</v>
      </c>
      <c r="B630" s="227">
        <v>15000000000</v>
      </c>
    </row>
    <row r="631" spans="1:2" x14ac:dyDescent="0.25">
      <c r="A631" t="s">
        <v>1171</v>
      </c>
      <c r="B631" s="227">
        <v>5000000000</v>
      </c>
    </row>
    <row r="632" spans="1:2" x14ac:dyDescent="0.25">
      <c r="A632" t="s">
        <v>1172</v>
      </c>
      <c r="B632" s="227">
        <v>290000</v>
      </c>
    </row>
    <row r="633" spans="1:2" x14ac:dyDescent="0.25">
      <c r="A633" t="s">
        <v>1173</v>
      </c>
      <c r="B633" s="227">
        <v>3527507000</v>
      </c>
    </row>
    <row r="634" spans="1:2" x14ac:dyDescent="0.25">
      <c r="A634" t="s">
        <v>1174</v>
      </c>
      <c r="B634" s="227">
        <v>4022981000</v>
      </c>
    </row>
    <row r="635" spans="1:2" x14ac:dyDescent="0.25">
      <c r="A635" t="s">
        <v>1175</v>
      </c>
      <c r="B635" s="227">
        <v>25000000000</v>
      </c>
    </row>
    <row r="636" spans="1:2" x14ac:dyDescent="0.25">
      <c r="A636" t="s">
        <v>1176</v>
      </c>
      <c r="B636" s="227">
        <v>13000000000</v>
      </c>
    </row>
    <row r="637" spans="1:2" x14ac:dyDescent="0.25">
      <c r="A637" t="s">
        <v>1177</v>
      </c>
      <c r="B637" s="227">
        <v>19900000000</v>
      </c>
    </row>
    <row r="638" spans="1:2" x14ac:dyDescent="0.25">
      <c r="A638" t="s">
        <v>1178</v>
      </c>
      <c r="B638" s="227">
        <v>10000000000</v>
      </c>
    </row>
    <row r="639" spans="1:2" x14ac:dyDescent="0.25">
      <c r="A639" t="s">
        <v>1179</v>
      </c>
      <c r="B639" s="227">
        <v>10000000000</v>
      </c>
    </row>
    <row r="640" spans="1:2" x14ac:dyDescent="0.25">
      <c r="A640" t="s">
        <v>1180</v>
      </c>
      <c r="B640" s="227">
        <v>5000000000</v>
      </c>
    </row>
    <row r="641" spans="1:2" x14ac:dyDescent="0.25">
      <c r="A641" t="s">
        <v>1181</v>
      </c>
      <c r="B641" s="227">
        <v>5000000000</v>
      </c>
    </row>
    <row r="642" spans="1:2" x14ac:dyDescent="0.25">
      <c r="A642" t="s">
        <v>1182</v>
      </c>
      <c r="B642" s="227">
        <v>5000000000</v>
      </c>
    </row>
    <row r="643" spans="1:2" x14ac:dyDescent="0.25">
      <c r="A643" t="s">
        <v>1183</v>
      </c>
      <c r="B643" s="227">
        <v>5000000000</v>
      </c>
    </row>
    <row r="644" spans="1:2" x14ac:dyDescent="0.25">
      <c r="A644" t="s">
        <v>1184</v>
      </c>
      <c r="B644" s="227">
        <v>5000000000</v>
      </c>
    </row>
    <row r="645" spans="1:2" x14ac:dyDescent="0.25">
      <c r="A645" t="s">
        <v>489</v>
      </c>
      <c r="B645" s="227">
        <v>150000000</v>
      </c>
    </row>
    <row r="646" spans="1:2" x14ac:dyDescent="0.25">
      <c r="A646" t="s">
        <v>1185</v>
      </c>
      <c r="B646" s="227">
        <v>5000000000</v>
      </c>
    </row>
    <row r="647" spans="1:2" x14ac:dyDescent="0.25">
      <c r="A647" t="s">
        <v>1186</v>
      </c>
      <c r="B647" s="227">
        <v>10000000000</v>
      </c>
    </row>
    <row r="648" spans="1:2" x14ac:dyDescent="0.25">
      <c r="A648" t="s">
        <v>1187</v>
      </c>
      <c r="B648" s="227">
        <v>800000000</v>
      </c>
    </row>
    <row r="649" spans="1:2" x14ac:dyDescent="0.25">
      <c r="A649" t="s">
        <v>492</v>
      </c>
      <c r="B649" s="227">
        <v>750000000</v>
      </c>
    </row>
    <row r="650" spans="1:2" x14ac:dyDescent="0.25">
      <c r="A650" t="s">
        <v>1188</v>
      </c>
      <c r="B650" s="227">
        <v>10000000000</v>
      </c>
    </row>
    <row r="651" spans="1:2" x14ac:dyDescent="0.25">
      <c r="A651" t="s">
        <v>1189</v>
      </c>
      <c r="B651" s="227">
        <v>15000000000</v>
      </c>
    </row>
    <row r="652" spans="1:2" x14ac:dyDescent="0.25">
      <c r="A652" t="s">
        <v>1190</v>
      </c>
      <c r="B652" s="227">
        <v>430000000</v>
      </c>
    </row>
    <row r="653" spans="1:2" x14ac:dyDescent="0.25">
      <c r="A653" t="s">
        <v>482</v>
      </c>
      <c r="B653" s="227">
        <v>900000000</v>
      </c>
    </row>
    <row r="654" spans="1:2" x14ac:dyDescent="0.25">
      <c r="A654" t="s">
        <v>1191</v>
      </c>
      <c r="B654" s="227">
        <v>5000000000</v>
      </c>
    </row>
    <row r="655" spans="1:2" x14ac:dyDescent="0.25">
      <c r="A655" t="s">
        <v>1192</v>
      </c>
      <c r="B655" s="227">
        <v>4999950000</v>
      </c>
    </row>
    <row r="656" spans="1:2" x14ac:dyDescent="0.25">
      <c r="A656" t="s">
        <v>1193</v>
      </c>
      <c r="B656" s="227">
        <v>10000000000</v>
      </c>
    </row>
    <row r="657" spans="1:2" x14ac:dyDescent="0.25">
      <c r="A657" t="s">
        <v>1194</v>
      </c>
      <c r="B657" s="227">
        <v>10000000000</v>
      </c>
    </row>
    <row r="658" spans="1:2" x14ac:dyDescent="0.25">
      <c r="A658" t="s">
        <v>1195</v>
      </c>
      <c r="B658" s="227">
        <v>10000000000</v>
      </c>
    </row>
    <row r="659" spans="1:2" x14ac:dyDescent="0.25">
      <c r="A659" t="s">
        <v>487</v>
      </c>
      <c r="B659" s="227">
        <v>300000000</v>
      </c>
    </row>
    <row r="660" spans="1:2" x14ac:dyDescent="0.25">
      <c r="A660" t="s">
        <v>1196</v>
      </c>
      <c r="B660" s="227">
        <v>299999991000</v>
      </c>
    </row>
    <row r="661" spans="1:2" x14ac:dyDescent="0.25">
      <c r="A661" t="s">
        <v>1197</v>
      </c>
      <c r="B661" s="227">
        <v>161243380000</v>
      </c>
    </row>
    <row r="662" spans="1:2" x14ac:dyDescent="0.25">
      <c r="A662" t="s">
        <v>1198</v>
      </c>
      <c r="B662" s="227">
        <v>4000000000</v>
      </c>
    </row>
    <row r="663" spans="1:2" x14ac:dyDescent="0.25">
      <c r="A663" t="s">
        <v>530</v>
      </c>
      <c r="B663" s="227">
        <v>6000000000</v>
      </c>
    </row>
    <row r="664" spans="1:2" x14ac:dyDescent="0.25">
      <c r="A664" t="s">
        <v>1199</v>
      </c>
      <c r="B664" s="227">
        <v>25000000000</v>
      </c>
    </row>
    <row r="665" spans="1:2" x14ac:dyDescent="0.25">
      <c r="A665" t="s">
        <v>1200</v>
      </c>
      <c r="B665" s="227">
        <v>10000000000</v>
      </c>
    </row>
    <row r="666" spans="1:2" x14ac:dyDescent="0.25">
      <c r="A666" t="s">
        <v>1201</v>
      </c>
      <c r="B666" s="227">
        <v>15000000000</v>
      </c>
    </row>
    <row r="667" spans="1:2" x14ac:dyDescent="0.25">
      <c r="A667" t="s">
        <v>1202</v>
      </c>
      <c r="B667" s="227">
        <v>20000000000</v>
      </c>
    </row>
    <row r="668" spans="1:2" x14ac:dyDescent="0.25">
      <c r="A668" t="s">
        <v>1203</v>
      </c>
      <c r="B668" s="227">
        <v>20000000000</v>
      </c>
    </row>
    <row r="669" spans="1:2" x14ac:dyDescent="0.25">
      <c r="A669" t="s">
        <v>1204</v>
      </c>
      <c r="B669" s="227">
        <v>10000000000</v>
      </c>
    </row>
    <row r="670" spans="1:2" x14ac:dyDescent="0.25">
      <c r="A670" t="s">
        <v>1205</v>
      </c>
      <c r="B670" s="227">
        <v>10000000000</v>
      </c>
    </row>
    <row r="671" spans="1:2" x14ac:dyDescent="0.25">
      <c r="A671" t="s">
        <v>1206</v>
      </c>
      <c r="B671" s="227">
        <v>20000000000</v>
      </c>
    </row>
    <row r="672" spans="1:2" x14ac:dyDescent="0.25">
      <c r="A672" t="s">
        <v>531</v>
      </c>
      <c r="B672" s="227">
        <v>5000000000</v>
      </c>
    </row>
    <row r="673" spans="1:2" x14ac:dyDescent="0.25">
      <c r="A673" t="s">
        <v>532</v>
      </c>
      <c r="B673" s="227">
        <v>5000000000</v>
      </c>
    </row>
    <row r="674" spans="1:2" x14ac:dyDescent="0.25">
      <c r="A674" t="s">
        <v>1207</v>
      </c>
      <c r="B674" s="227">
        <v>720000000</v>
      </c>
    </row>
    <row r="675" spans="1:2" x14ac:dyDescent="0.25">
      <c r="A675" t="s">
        <v>1208</v>
      </c>
      <c r="B675" s="227">
        <v>5000000000</v>
      </c>
    </row>
    <row r="676" spans="1:2" x14ac:dyDescent="0.25">
      <c r="A676" t="s">
        <v>528</v>
      </c>
      <c r="B676" s="227">
        <v>5000000000</v>
      </c>
    </row>
    <row r="677" spans="1:2" x14ac:dyDescent="0.25">
      <c r="A677" t="s">
        <v>529</v>
      </c>
      <c r="B677" s="227">
        <v>5000000000</v>
      </c>
    </row>
    <row r="678" spans="1:2" x14ac:dyDescent="0.25">
      <c r="A678" t="s">
        <v>1209</v>
      </c>
      <c r="B678" s="227">
        <v>10000000000</v>
      </c>
    </row>
    <row r="679" spans="1:2" x14ac:dyDescent="0.25">
      <c r="A679" t="s">
        <v>1210</v>
      </c>
      <c r="B679" s="227">
        <v>10000000000</v>
      </c>
    </row>
    <row r="680" spans="1:2" x14ac:dyDescent="0.25">
      <c r="A680" t="s">
        <v>1211</v>
      </c>
      <c r="B680" s="227">
        <v>650000000</v>
      </c>
    </row>
    <row r="681" spans="1:2" x14ac:dyDescent="0.25">
      <c r="A681" t="s">
        <v>1212</v>
      </c>
      <c r="B681" s="227">
        <v>800000000</v>
      </c>
    </row>
    <row r="682" spans="1:2" x14ac:dyDescent="0.25">
      <c r="A682" t="s">
        <v>1213</v>
      </c>
      <c r="B682" s="227">
        <v>10000000000</v>
      </c>
    </row>
    <row r="683" spans="1:2" x14ac:dyDescent="0.25">
      <c r="A683" t="s">
        <v>1214</v>
      </c>
      <c r="B683" s="227">
        <v>10000000000</v>
      </c>
    </row>
    <row r="684" spans="1:2" x14ac:dyDescent="0.25">
      <c r="A684" t="s">
        <v>1215</v>
      </c>
      <c r="B684" s="227">
        <v>5000000000</v>
      </c>
    </row>
    <row r="685" spans="1:2" x14ac:dyDescent="0.25">
      <c r="A685" t="s">
        <v>1216</v>
      </c>
      <c r="B685" s="227">
        <v>5000000000</v>
      </c>
    </row>
    <row r="686" spans="1:2" x14ac:dyDescent="0.25">
      <c r="A686" t="s">
        <v>1217</v>
      </c>
      <c r="B686" s="227">
        <v>5000000000</v>
      </c>
    </row>
    <row r="687" spans="1:2" x14ac:dyDescent="0.25">
      <c r="A687" t="s">
        <v>1218</v>
      </c>
      <c r="B687" s="227">
        <v>1100000000</v>
      </c>
    </row>
    <row r="688" spans="1:2" x14ac:dyDescent="0.25">
      <c r="A688" t="s">
        <v>1219</v>
      </c>
      <c r="B688" s="227">
        <v>5000000000</v>
      </c>
    </row>
    <row r="689" spans="1:2" x14ac:dyDescent="0.25">
      <c r="A689" t="s">
        <v>1220</v>
      </c>
      <c r="B689" s="227">
        <v>5000000000</v>
      </c>
    </row>
    <row r="690" spans="1:2" x14ac:dyDescent="0.25">
      <c r="A690" t="s">
        <v>1221</v>
      </c>
      <c r="B690" s="227">
        <v>5000000000</v>
      </c>
    </row>
    <row r="691" spans="1:2" x14ac:dyDescent="0.25">
      <c r="A691" t="s">
        <v>1222</v>
      </c>
      <c r="B691" s="227">
        <v>5000000000</v>
      </c>
    </row>
    <row r="692" spans="1:2" x14ac:dyDescent="0.25">
      <c r="A692" t="s">
        <v>1223</v>
      </c>
      <c r="B692" s="227">
        <v>5000000000</v>
      </c>
    </row>
    <row r="693" spans="1:2" x14ac:dyDescent="0.25">
      <c r="A693" t="s">
        <v>1224</v>
      </c>
      <c r="B693" s="227">
        <v>5000000000</v>
      </c>
    </row>
    <row r="694" spans="1:2" x14ac:dyDescent="0.25">
      <c r="A694" t="s">
        <v>1225</v>
      </c>
      <c r="B694" s="227">
        <v>5000000000</v>
      </c>
    </row>
    <row r="695" spans="1:2" x14ac:dyDescent="0.25">
      <c r="A695" t="s">
        <v>1226</v>
      </c>
      <c r="B695" s="227">
        <v>5000000000</v>
      </c>
    </row>
    <row r="696" spans="1:2" x14ac:dyDescent="0.25">
      <c r="A696" t="s">
        <v>1227</v>
      </c>
      <c r="B696" s="227">
        <v>10000000000</v>
      </c>
    </row>
    <row r="697" spans="1:2" x14ac:dyDescent="0.25">
      <c r="A697" t="s">
        <v>1228</v>
      </c>
      <c r="B697" s="227">
        <v>3000000000</v>
      </c>
    </row>
    <row r="698" spans="1:2" x14ac:dyDescent="0.25">
      <c r="A698" t="s">
        <v>1229</v>
      </c>
      <c r="B698" s="227">
        <v>5000000000</v>
      </c>
    </row>
    <row r="699" spans="1:2" x14ac:dyDescent="0.25">
      <c r="A699" t="s">
        <v>1230</v>
      </c>
      <c r="B699" s="227">
        <v>5000000000</v>
      </c>
    </row>
    <row r="700" spans="1:2" x14ac:dyDescent="0.25">
      <c r="A700" t="s">
        <v>1231</v>
      </c>
      <c r="B700" s="227">
        <v>5000000000</v>
      </c>
    </row>
    <row r="701" spans="1:2" x14ac:dyDescent="0.25">
      <c r="A701" t="s">
        <v>515</v>
      </c>
      <c r="B701" s="227">
        <v>9000000000</v>
      </c>
    </row>
    <row r="702" spans="1:2" x14ac:dyDescent="0.25">
      <c r="A702" t="s">
        <v>1232</v>
      </c>
      <c r="B702" s="227">
        <v>9000000000</v>
      </c>
    </row>
    <row r="703" spans="1:2" x14ac:dyDescent="0.25">
      <c r="A703" t="s">
        <v>518</v>
      </c>
      <c r="B703" s="227">
        <v>13400000000</v>
      </c>
    </row>
    <row r="704" spans="1:2" x14ac:dyDescent="0.25">
      <c r="A704" t="s">
        <v>1233</v>
      </c>
      <c r="B704" s="227">
        <v>4500000000</v>
      </c>
    </row>
    <row r="705" spans="1:2" x14ac:dyDescent="0.25">
      <c r="A705" t="s">
        <v>1234</v>
      </c>
      <c r="B705" s="227">
        <v>1680000000</v>
      </c>
    </row>
    <row r="706" spans="1:2" x14ac:dyDescent="0.25">
      <c r="A706" t="s">
        <v>1235</v>
      </c>
      <c r="B706" s="227">
        <v>12000000000</v>
      </c>
    </row>
    <row r="707" spans="1:2" x14ac:dyDescent="0.25">
      <c r="A707" t="s">
        <v>522</v>
      </c>
      <c r="B707" s="227">
        <v>6500000000</v>
      </c>
    </row>
    <row r="708" spans="1:2" x14ac:dyDescent="0.25">
      <c r="A708" t="s">
        <v>1236</v>
      </c>
      <c r="B708" s="227">
        <v>5500000000</v>
      </c>
    </row>
    <row r="709" spans="1:2" x14ac:dyDescent="0.25">
      <c r="A709" t="s">
        <v>1237</v>
      </c>
      <c r="B709" s="227">
        <v>10000000000</v>
      </c>
    </row>
    <row r="710" spans="1:2" x14ac:dyDescent="0.25">
      <c r="A710" t="s">
        <v>526</v>
      </c>
      <c r="B710" s="227">
        <v>3000000000</v>
      </c>
    </row>
    <row r="711" spans="1:2" x14ac:dyDescent="0.25">
      <c r="A711" t="s">
        <v>1238</v>
      </c>
      <c r="B711" s="227">
        <v>4500000000</v>
      </c>
    </row>
    <row r="712" spans="1:2" x14ac:dyDescent="0.25">
      <c r="A712" t="s">
        <v>1239</v>
      </c>
      <c r="B712" s="227">
        <v>1000000000</v>
      </c>
    </row>
    <row r="713" spans="1:2" x14ac:dyDescent="0.25">
      <c r="A713" t="s">
        <v>1240</v>
      </c>
      <c r="B713" s="227">
        <v>2000000000</v>
      </c>
    </row>
    <row r="714" spans="1:2" x14ac:dyDescent="0.25">
      <c r="A714" t="s">
        <v>1241</v>
      </c>
      <c r="B714" s="227">
        <v>100000000</v>
      </c>
    </row>
    <row r="715" spans="1:2" x14ac:dyDescent="0.25">
      <c r="A715" t="s">
        <v>1242</v>
      </c>
      <c r="B715" s="227">
        <v>150000000</v>
      </c>
    </row>
    <row r="716" spans="1:2" x14ac:dyDescent="0.25">
      <c r="A716" t="s">
        <v>1243</v>
      </c>
      <c r="B716" s="227">
        <v>300000000</v>
      </c>
    </row>
    <row r="717" spans="1:2" x14ac:dyDescent="0.25">
      <c r="A717" t="s">
        <v>1244</v>
      </c>
      <c r="B717" s="227">
        <v>300000000</v>
      </c>
    </row>
    <row r="718" spans="1:2" x14ac:dyDescent="0.25">
      <c r="A718" t="s">
        <v>1245</v>
      </c>
      <c r="B718" s="227">
        <v>300000000</v>
      </c>
    </row>
    <row r="719" spans="1:2" x14ac:dyDescent="0.25">
      <c r="A719" t="s">
        <v>1246</v>
      </c>
      <c r="B719" s="227">
        <v>500000000</v>
      </c>
    </row>
    <row r="720" spans="1:2" x14ac:dyDescent="0.25">
      <c r="A720" t="s">
        <v>1247</v>
      </c>
      <c r="B720" s="227">
        <v>5000000000</v>
      </c>
    </row>
    <row r="721" spans="1:2" x14ac:dyDescent="0.25">
      <c r="A721" t="s">
        <v>1248</v>
      </c>
      <c r="B721" s="227">
        <v>10000000000</v>
      </c>
    </row>
    <row r="722" spans="1:2" x14ac:dyDescent="0.25">
      <c r="A722" t="s">
        <v>1249</v>
      </c>
      <c r="B722" s="227">
        <v>10000000000</v>
      </c>
    </row>
    <row r="723" spans="1:2" x14ac:dyDescent="0.25">
      <c r="A723" t="s">
        <v>1250</v>
      </c>
      <c r="B723" s="227">
        <v>12000000000</v>
      </c>
    </row>
    <row r="724" spans="1:2" x14ac:dyDescent="0.25">
      <c r="A724" t="s">
        <v>1251</v>
      </c>
      <c r="B724" s="227">
        <v>10000000000</v>
      </c>
    </row>
    <row r="725" spans="1:2" x14ac:dyDescent="0.25">
      <c r="A725" t="s">
        <v>1252</v>
      </c>
      <c r="B725" s="227">
        <v>10000000000</v>
      </c>
    </row>
    <row r="726" spans="1:2" x14ac:dyDescent="0.25">
      <c r="A726" t="s">
        <v>1253</v>
      </c>
      <c r="B726" s="227">
        <v>1000000000</v>
      </c>
    </row>
    <row r="727" spans="1:2" x14ac:dyDescent="0.25">
      <c r="A727" t="s">
        <v>1254</v>
      </c>
      <c r="B727" s="227">
        <v>10000000000</v>
      </c>
    </row>
    <row r="728" spans="1:2" x14ac:dyDescent="0.25">
      <c r="A728" t="s">
        <v>1255</v>
      </c>
      <c r="B728" s="227">
        <v>10000000000</v>
      </c>
    </row>
    <row r="729" spans="1:2" x14ac:dyDescent="0.25">
      <c r="A729" t="s">
        <v>1256</v>
      </c>
      <c r="B729" s="227">
        <v>10000000000</v>
      </c>
    </row>
    <row r="730" spans="1:2" x14ac:dyDescent="0.25">
      <c r="A730" t="s">
        <v>1257</v>
      </c>
      <c r="B730" s="227">
        <v>500000000</v>
      </c>
    </row>
    <row r="731" spans="1:2" x14ac:dyDescent="0.25">
      <c r="A731" t="s">
        <v>1258</v>
      </c>
      <c r="B731" s="227">
        <v>5000000000</v>
      </c>
    </row>
    <row r="732" spans="1:2" x14ac:dyDescent="0.25">
      <c r="A732" t="s">
        <v>1259</v>
      </c>
      <c r="B732" s="227">
        <v>5000000000</v>
      </c>
    </row>
    <row r="733" spans="1:2" x14ac:dyDescent="0.25">
      <c r="A733" t="s">
        <v>533</v>
      </c>
      <c r="B733" s="227">
        <v>10000000000</v>
      </c>
    </row>
    <row r="734" spans="1:2" x14ac:dyDescent="0.25">
      <c r="A734" t="s">
        <v>495</v>
      </c>
      <c r="B734" s="227">
        <v>350000000</v>
      </c>
    </row>
    <row r="735" spans="1:2" x14ac:dyDescent="0.25">
      <c r="A735" t="s">
        <v>483</v>
      </c>
      <c r="B735" s="227">
        <v>165000000</v>
      </c>
    </row>
    <row r="736" spans="1:2" x14ac:dyDescent="0.25">
      <c r="A736" t="s">
        <v>553</v>
      </c>
      <c r="B736" s="227">
        <v>1250000000</v>
      </c>
    </row>
    <row r="737" spans="1:2" x14ac:dyDescent="0.25">
      <c r="A737" t="s">
        <v>1260</v>
      </c>
      <c r="B737" s="227">
        <v>1000000000</v>
      </c>
    </row>
    <row r="738" spans="1:2" x14ac:dyDescent="0.25">
      <c r="A738" t="s">
        <v>1261</v>
      </c>
      <c r="B738" s="227">
        <v>900000000</v>
      </c>
    </row>
    <row r="739" spans="1:2" x14ac:dyDescent="0.25">
      <c r="A739" t="s">
        <v>1262</v>
      </c>
      <c r="B739" s="227">
        <v>1000000000</v>
      </c>
    </row>
    <row r="740" spans="1:2" x14ac:dyDescent="0.25">
      <c r="A740" t="s">
        <v>1263</v>
      </c>
      <c r="B740" s="227">
        <v>20000000000</v>
      </c>
    </row>
    <row r="741" spans="1:2" x14ac:dyDescent="0.25">
      <c r="A741" t="s">
        <v>1264</v>
      </c>
      <c r="B741" s="227">
        <v>10000000000</v>
      </c>
    </row>
    <row r="742" spans="1:2" x14ac:dyDescent="0.25">
      <c r="A742" t="s">
        <v>485</v>
      </c>
      <c r="B742" s="227">
        <v>700000000</v>
      </c>
    </row>
    <row r="743" spans="1:2" x14ac:dyDescent="0.25">
      <c r="A743" t="s">
        <v>1265</v>
      </c>
      <c r="B743" s="227">
        <v>1500000000</v>
      </c>
    </row>
    <row r="744" spans="1:2" x14ac:dyDescent="0.25">
      <c r="A744" t="s">
        <v>570</v>
      </c>
      <c r="B744" s="227">
        <v>20000000000</v>
      </c>
    </row>
    <row r="745" spans="1:2" x14ac:dyDescent="0.25">
      <c r="A745" t="s">
        <v>511</v>
      </c>
      <c r="B745" s="227">
        <v>5000000000</v>
      </c>
    </row>
    <row r="746" spans="1:2" x14ac:dyDescent="0.25">
      <c r="A746" t="s">
        <v>1266</v>
      </c>
      <c r="B746" s="227">
        <v>1700000000</v>
      </c>
    </row>
    <row r="747" spans="1:2" x14ac:dyDescent="0.25">
      <c r="A747" t="s">
        <v>513</v>
      </c>
      <c r="B747" s="227">
        <v>6500000000</v>
      </c>
    </row>
    <row r="748" spans="1:2" x14ac:dyDescent="0.25">
      <c r="A748" t="s">
        <v>1267</v>
      </c>
      <c r="B748" s="227">
        <v>10000000000</v>
      </c>
    </row>
    <row r="749" spans="1:2" x14ac:dyDescent="0.25">
      <c r="A749" t="s">
        <v>1268</v>
      </c>
      <c r="B749" s="227">
        <v>15000000000</v>
      </c>
    </row>
    <row r="750" spans="1:2" x14ac:dyDescent="0.25">
      <c r="A750" t="s">
        <v>1269</v>
      </c>
      <c r="B750" s="227">
        <v>10000000000</v>
      </c>
    </row>
    <row r="751" spans="1:2" x14ac:dyDescent="0.25">
      <c r="A751" t="s">
        <v>1270</v>
      </c>
      <c r="B751" s="227">
        <v>15000000000</v>
      </c>
    </row>
    <row r="752" spans="1:2" x14ac:dyDescent="0.25">
      <c r="A752" t="s">
        <v>1271</v>
      </c>
      <c r="B752" s="227">
        <v>10000000000</v>
      </c>
    </row>
    <row r="753" spans="1:2" x14ac:dyDescent="0.25">
      <c r="A753" t="s">
        <v>1272</v>
      </c>
      <c r="B753" s="227">
        <v>10000000000</v>
      </c>
    </row>
    <row r="754" spans="1:2" x14ac:dyDescent="0.25">
      <c r="A754" t="s">
        <v>1273</v>
      </c>
      <c r="B754" s="227">
        <v>10000000000</v>
      </c>
    </row>
    <row r="755" spans="1:2" x14ac:dyDescent="0.25">
      <c r="A755" t="s">
        <v>1274</v>
      </c>
      <c r="B755" s="227">
        <v>10000000000</v>
      </c>
    </row>
    <row r="756" spans="1:2" x14ac:dyDescent="0.25">
      <c r="A756" t="s">
        <v>1275</v>
      </c>
      <c r="B756" s="227">
        <v>15000000000</v>
      </c>
    </row>
    <row r="757" spans="1:2" x14ac:dyDescent="0.25">
      <c r="A757" t="s">
        <v>1276</v>
      </c>
      <c r="B757" s="227">
        <v>5000000000</v>
      </c>
    </row>
    <row r="758" spans="1:2" x14ac:dyDescent="0.25">
      <c r="A758" t="s">
        <v>1277</v>
      </c>
      <c r="B758" s="227">
        <v>14000000000</v>
      </c>
    </row>
    <row r="759" spans="1:2" x14ac:dyDescent="0.25">
      <c r="A759" t="s">
        <v>1278</v>
      </c>
      <c r="B759" s="227">
        <v>5000000000</v>
      </c>
    </row>
    <row r="760" spans="1:2" x14ac:dyDescent="0.25">
      <c r="A760" t="s">
        <v>1279</v>
      </c>
      <c r="B760" s="227">
        <v>12500000000</v>
      </c>
    </row>
    <row r="761" spans="1:2" x14ac:dyDescent="0.25">
      <c r="A761" t="s">
        <v>1280</v>
      </c>
      <c r="B761" s="227">
        <v>10000000000</v>
      </c>
    </row>
    <row r="762" spans="1:2" x14ac:dyDescent="0.25">
      <c r="A762" t="s">
        <v>1281</v>
      </c>
      <c r="B762" s="227">
        <v>15000000000</v>
      </c>
    </row>
    <row r="763" spans="1:2" x14ac:dyDescent="0.25">
      <c r="A763" t="s">
        <v>1282</v>
      </c>
      <c r="B763" s="227">
        <v>10000000000</v>
      </c>
    </row>
    <row r="764" spans="1:2" x14ac:dyDescent="0.25">
      <c r="A764" t="s">
        <v>559</v>
      </c>
      <c r="B764" s="227">
        <v>10000000000</v>
      </c>
    </row>
    <row r="765" spans="1:2" x14ac:dyDescent="0.25">
      <c r="A765" t="s">
        <v>1283</v>
      </c>
      <c r="B765" s="227">
        <v>15000000000</v>
      </c>
    </row>
    <row r="766" spans="1:2" x14ac:dyDescent="0.25">
      <c r="A766" t="s">
        <v>1284</v>
      </c>
      <c r="B766" s="227">
        <v>10000000000</v>
      </c>
    </row>
    <row r="767" spans="1:2" x14ac:dyDescent="0.25">
      <c r="A767" t="s">
        <v>1285</v>
      </c>
      <c r="B767" s="227">
        <v>10000000000</v>
      </c>
    </row>
    <row r="768" spans="1:2" x14ac:dyDescent="0.25">
      <c r="A768" t="s">
        <v>1286</v>
      </c>
      <c r="B768" s="227">
        <v>5000000000</v>
      </c>
    </row>
    <row r="769" spans="1:2" x14ac:dyDescent="0.25">
      <c r="A769" t="s">
        <v>1287</v>
      </c>
      <c r="B769" s="227">
        <v>10000000000</v>
      </c>
    </row>
    <row r="770" spans="1:2" x14ac:dyDescent="0.25">
      <c r="A770" t="s">
        <v>1288</v>
      </c>
      <c r="B770" s="227">
        <v>10000000000</v>
      </c>
    </row>
    <row r="771" spans="1:2" x14ac:dyDescent="0.25">
      <c r="A771" t="s">
        <v>557</v>
      </c>
      <c r="B771" s="227">
        <v>10000000000</v>
      </c>
    </row>
    <row r="772" spans="1:2" x14ac:dyDescent="0.25">
      <c r="A772" t="s">
        <v>1289</v>
      </c>
      <c r="B772" s="227">
        <v>5000000000</v>
      </c>
    </row>
    <row r="773" spans="1:2" x14ac:dyDescent="0.25">
      <c r="A773" t="s">
        <v>558</v>
      </c>
      <c r="B773" s="227">
        <v>5000000000</v>
      </c>
    </row>
    <row r="774" spans="1:2" x14ac:dyDescent="0.25">
      <c r="A774" t="s">
        <v>1290</v>
      </c>
      <c r="B774" s="227">
        <v>10000000000</v>
      </c>
    </row>
    <row r="775" spans="1:2" x14ac:dyDescent="0.25">
      <c r="A775" t="s">
        <v>1291</v>
      </c>
      <c r="B775" s="227">
        <v>5000000000</v>
      </c>
    </row>
    <row r="776" spans="1:2" x14ac:dyDescent="0.25">
      <c r="A776" t="s">
        <v>1292</v>
      </c>
      <c r="B776" s="227">
        <v>5000000000</v>
      </c>
    </row>
    <row r="777" spans="1:2" x14ac:dyDescent="0.25">
      <c r="A777" t="s">
        <v>1293</v>
      </c>
      <c r="B777" s="227">
        <v>10000000000</v>
      </c>
    </row>
    <row r="778" spans="1:2" x14ac:dyDescent="0.25">
      <c r="A778" t="s">
        <v>1294</v>
      </c>
      <c r="B778" s="227">
        <v>5000000000</v>
      </c>
    </row>
    <row r="779" spans="1:2" x14ac:dyDescent="0.25">
      <c r="A779" t="s">
        <v>1295</v>
      </c>
      <c r="B779" s="227">
        <v>5000000000</v>
      </c>
    </row>
    <row r="780" spans="1:2" x14ac:dyDescent="0.25">
      <c r="A780" t="s">
        <v>1296</v>
      </c>
      <c r="B780" s="227">
        <v>5000000000</v>
      </c>
    </row>
    <row r="781" spans="1:2" x14ac:dyDescent="0.25">
      <c r="A781" t="s">
        <v>1297</v>
      </c>
      <c r="B781" s="227">
        <v>5000000000</v>
      </c>
    </row>
    <row r="782" spans="1:2" x14ac:dyDescent="0.25">
      <c r="B782" s="227">
        <v>110000000</v>
      </c>
    </row>
    <row r="783" spans="1:2" x14ac:dyDescent="0.25">
      <c r="B783" s="227">
        <v>9504160</v>
      </c>
    </row>
    <row r="784" spans="1:2" x14ac:dyDescent="0.25">
      <c r="B784" s="227">
        <v>202930000</v>
      </c>
    </row>
    <row r="785" spans="1:2" x14ac:dyDescent="0.25">
      <c r="B785" s="227">
        <v>224000000</v>
      </c>
    </row>
    <row r="786" spans="1:2" x14ac:dyDescent="0.25">
      <c r="B786" s="227">
        <v>218400000</v>
      </c>
    </row>
    <row r="787" spans="1:2" x14ac:dyDescent="0.25">
      <c r="A787" t="s">
        <v>1298</v>
      </c>
      <c r="B787" s="227">
        <v>5000000000</v>
      </c>
    </row>
    <row r="788" spans="1:2" x14ac:dyDescent="0.25">
      <c r="A788" t="s">
        <v>1299</v>
      </c>
      <c r="B788" s="227">
        <v>5000000000</v>
      </c>
    </row>
    <row r="789" spans="1:2" x14ac:dyDescent="0.25">
      <c r="A789" t="s">
        <v>1300</v>
      </c>
      <c r="B789" s="227">
        <v>10000000000</v>
      </c>
    </row>
    <row r="790" spans="1:2" x14ac:dyDescent="0.25">
      <c r="A790" t="s">
        <v>1301</v>
      </c>
      <c r="B790" s="227">
        <v>10000000</v>
      </c>
    </row>
    <row r="791" spans="1:2" x14ac:dyDescent="0.25">
      <c r="A791" t="s">
        <v>1302</v>
      </c>
      <c r="B791" s="227">
        <v>40000000</v>
      </c>
    </row>
    <row r="792" spans="1:2" x14ac:dyDescent="0.25">
      <c r="A792" t="s">
        <v>1303</v>
      </c>
      <c r="B792" s="227">
        <v>100000000</v>
      </c>
    </row>
    <row r="793" spans="1:2" x14ac:dyDescent="0.25">
      <c r="A793" t="s">
        <v>1304</v>
      </c>
      <c r="B793" s="227">
        <v>30000000</v>
      </c>
    </row>
    <row r="794" spans="1:2" x14ac:dyDescent="0.25">
      <c r="A794" t="s">
        <v>1305</v>
      </c>
      <c r="B794" s="227">
        <v>70000000</v>
      </c>
    </row>
    <row r="795" spans="1:2" x14ac:dyDescent="0.25">
      <c r="A795" t="s">
        <v>1306</v>
      </c>
      <c r="B795" s="227">
        <v>100000000</v>
      </c>
    </row>
    <row r="796" spans="1:2" x14ac:dyDescent="0.25">
      <c r="A796" t="s">
        <v>1307</v>
      </c>
      <c r="B796" s="227">
        <v>60000000</v>
      </c>
    </row>
    <row r="797" spans="1:2" x14ac:dyDescent="0.25">
      <c r="A797" t="s">
        <v>1308</v>
      </c>
      <c r="B797" s="227">
        <v>50000000</v>
      </c>
    </row>
    <row r="798" spans="1:2" x14ac:dyDescent="0.25">
      <c r="A798" t="s">
        <v>1309</v>
      </c>
      <c r="B798" s="227">
        <v>50000000</v>
      </c>
    </row>
    <row r="799" spans="1:2" x14ac:dyDescent="0.25">
      <c r="A799" t="s">
        <v>1310</v>
      </c>
      <c r="B799" s="227">
        <v>20000000</v>
      </c>
    </row>
    <row r="800" spans="1:2" x14ac:dyDescent="0.25">
      <c r="A800" t="s">
        <v>1311</v>
      </c>
      <c r="B800" s="227">
        <v>50000000</v>
      </c>
    </row>
    <row r="801" spans="1:2" x14ac:dyDescent="0.25">
      <c r="A801" t="s">
        <v>1312</v>
      </c>
      <c r="B801" s="227">
        <v>50000000</v>
      </c>
    </row>
    <row r="802" spans="1:2" x14ac:dyDescent="0.25">
      <c r="B802" s="227">
        <v>50000000</v>
      </c>
    </row>
    <row r="803" spans="1:2" x14ac:dyDescent="0.25">
      <c r="A803" t="s">
        <v>1313</v>
      </c>
      <c r="B803" s="227">
        <v>11500000</v>
      </c>
    </row>
    <row r="804" spans="1:2" x14ac:dyDescent="0.25">
      <c r="A804" t="s">
        <v>1314</v>
      </c>
      <c r="B804" s="227">
        <v>60000000</v>
      </c>
    </row>
    <row r="805" spans="1:2" x14ac:dyDescent="0.25">
      <c r="A805" t="s">
        <v>1315</v>
      </c>
      <c r="B805" s="227">
        <v>200000000</v>
      </c>
    </row>
    <row r="806" spans="1:2" x14ac:dyDescent="0.25">
      <c r="A806" t="s">
        <v>1316</v>
      </c>
      <c r="B806" s="227">
        <v>50000000</v>
      </c>
    </row>
    <row r="807" spans="1:2" x14ac:dyDescent="0.25">
      <c r="A807" t="s">
        <v>1317</v>
      </c>
      <c r="B807" s="227">
        <v>50000000</v>
      </c>
    </row>
    <row r="808" spans="1:2" x14ac:dyDescent="0.25">
      <c r="A808" t="s">
        <v>1318</v>
      </c>
      <c r="B808" s="227">
        <v>50000000</v>
      </c>
    </row>
    <row r="809" spans="1:2" x14ac:dyDescent="0.25">
      <c r="A809" t="s">
        <v>1319</v>
      </c>
      <c r="B809" s="227">
        <v>50000000</v>
      </c>
    </row>
    <row r="810" spans="1:2" x14ac:dyDescent="0.25">
      <c r="A810" t="s">
        <v>1320</v>
      </c>
      <c r="B810" s="227">
        <v>50000000</v>
      </c>
    </row>
    <row r="811" spans="1:2" x14ac:dyDescent="0.25">
      <c r="A811" t="s">
        <v>1321</v>
      </c>
      <c r="B811" s="227">
        <v>25590000</v>
      </c>
    </row>
    <row r="812" spans="1:2" x14ac:dyDescent="0.25">
      <c r="A812" t="s">
        <v>1322</v>
      </c>
      <c r="B812" s="227">
        <v>50000000</v>
      </c>
    </row>
    <row r="813" spans="1:2" x14ac:dyDescent="0.25">
      <c r="A813" t="s">
        <v>1323</v>
      </c>
      <c r="B813" s="227">
        <v>50000000</v>
      </c>
    </row>
    <row r="814" spans="1:2" x14ac:dyDescent="0.25">
      <c r="A814" t="s">
        <v>1324</v>
      </c>
      <c r="B814" s="227">
        <v>50000000</v>
      </c>
    </row>
    <row r="815" spans="1:2" x14ac:dyDescent="0.25">
      <c r="A815" t="s">
        <v>504</v>
      </c>
      <c r="B815" s="227">
        <v>500000000</v>
      </c>
    </row>
    <row r="816" spans="1:2" x14ac:dyDescent="0.25">
      <c r="B816" s="227">
        <v>1592500</v>
      </c>
    </row>
    <row r="817" spans="1:2" x14ac:dyDescent="0.25">
      <c r="A817" t="s">
        <v>1325</v>
      </c>
      <c r="B817" s="227">
        <v>600000000</v>
      </c>
    </row>
    <row r="818" spans="1:2" x14ac:dyDescent="0.25">
      <c r="B818" s="227">
        <v>1710800</v>
      </c>
    </row>
    <row r="819" spans="1:2" x14ac:dyDescent="0.25">
      <c r="A819" t="s">
        <v>1326</v>
      </c>
      <c r="B819" s="227">
        <v>750000000</v>
      </c>
    </row>
    <row r="820" spans="1:2" x14ac:dyDescent="0.25">
      <c r="B820" s="227">
        <v>5478200</v>
      </c>
    </row>
    <row r="821" spans="1:2" x14ac:dyDescent="0.25">
      <c r="A821" t="s">
        <v>1327</v>
      </c>
      <c r="B821" s="227">
        <v>50000000</v>
      </c>
    </row>
    <row r="822" spans="1:2" x14ac:dyDescent="0.25">
      <c r="A822" t="s">
        <v>1328</v>
      </c>
      <c r="B822" s="227">
        <v>50000000</v>
      </c>
    </row>
    <row r="823" spans="1:2" x14ac:dyDescent="0.25">
      <c r="A823" t="s">
        <v>1329</v>
      </c>
      <c r="B823" s="227">
        <v>300000000</v>
      </c>
    </row>
    <row r="824" spans="1:2" x14ac:dyDescent="0.25">
      <c r="A824" t="s">
        <v>499</v>
      </c>
      <c r="B824" s="227">
        <v>800000000</v>
      </c>
    </row>
    <row r="825" spans="1:2" x14ac:dyDescent="0.25">
      <c r="A825" t="s">
        <v>1330</v>
      </c>
      <c r="B825" s="227">
        <v>20000000</v>
      </c>
    </row>
    <row r="826" spans="1:2" x14ac:dyDescent="0.25">
      <c r="B826" s="227">
        <v>100000000</v>
      </c>
    </row>
    <row r="827" spans="1:2" x14ac:dyDescent="0.25">
      <c r="B827" s="227">
        <v>364000000</v>
      </c>
    </row>
    <row r="828" spans="1:2" x14ac:dyDescent="0.25">
      <c r="B828" s="227">
        <v>28500000</v>
      </c>
    </row>
    <row r="829" spans="1:2" x14ac:dyDescent="0.25">
      <c r="B829" s="227">
        <v>18610000</v>
      </c>
    </row>
    <row r="830" spans="1:2" x14ac:dyDescent="0.25">
      <c r="B830" s="227">
        <v>12800000</v>
      </c>
    </row>
    <row r="831" spans="1:2" x14ac:dyDescent="0.25">
      <c r="A831" t="s">
        <v>1331</v>
      </c>
      <c r="B831" s="227">
        <v>600000000</v>
      </c>
    </row>
    <row r="832" spans="1:2" x14ac:dyDescent="0.25">
      <c r="A832" t="s">
        <v>1332</v>
      </c>
      <c r="B832" s="227">
        <v>200000000</v>
      </c>
    </row>
    <row r="833" spans="1:2" x14ac:dyDescent="0.25">
      <c r="B833" s="227">
        <v>9179170</v>
      </c>
    </row>
    <row r="834" spans="1:2" x14ac:dyDescent="0.25">
      <c r="B834" s="227">
        <v>6855940</v>
      </c>
    </row>
    <row r="835" spans="1:2" x14ac:dyDescent="0.25">
      <c r="B835" s="227">
        <v>37379251</v>
      </c>
    </row>
    <row r="836" spans="1:2" x14ac:dyDescent="0.25">
      <c r="B836" s="227">
        <v>35217910</v>
      </c>
    </row>
    <row r="837" spans="1:2" x14ac:dyDescent="0.25">
      <c r="B837" s="227">
        <v>16264430</v>
      </c>
    </row>
    <row r="838" spans="1:2" x14ac:dyDescent="0.25">
      <c r="B838" s="227">
        <v>19080880</v>
      </c>
    </row>
    <row r="839" spans="1:2" x14ac:dyDescent="0.25">
      <c r="B839" s="227">
        <v>22467900</v>
      </c>
    </row>
    <row r="840" spans="1:2" x14ac:dyDescent="0.25">
      <c r="B840" s="227">
        <v>32077500</v>
      </c>
    </row>
    <row r="841" spans="1:2" x14ac:dyDescent="0.25">
      <c r="B841" s="227">
        <v>23887500</v>
      </c>
    </row>
    <row r="842" spans="1:2" x14ac:dyDescent="0.25">
      <c r="B842" s="227">
        <v>24724700</v>
      </c>
    </row>
    <row r="843" spans="1:2" x14ac:dyDescent="0.25">
      <c r="B843" s="227">
        <v>30030000</v>
      </c>
    </row>
    <row r="844" spans="1:2" x14ac:dyDescent="0.25">
      <c r="B844" s="227">
        <v>1692600</v>
      </c>
    </row>
    <row r="845" spans="1:2" x14ac:dyDescent="0.25">
      <c r="B845" s="227">
        <v>26500000</v>
      </c>
    </row>
    <row r="846" spans="1:2" x14ac:dyDescent="0.25">
      <c r="B846" s="227">
        <v>135500000</v>
      </c>
    </row>
    <row r="847" spans="1:2" x14ac:dyDescent="0.25">
      <c r="A847" t="s">
        <v>1333</v>
      </c>
      <c r="B847" s="227">
        <v>75000000</v>
      </c>
    </row>
    <row r="848" spans="1:2" x14ac:dyDescent="0.25">
      <c r="B848" s="227">
        <v>53599000</v>
      </c>
    </row>
    <row r="849" spans="1:2" x14ac:dyDescent="0.25">
      <c r="A849" t="s">
        <v>1334</v>
      </c>
      <c r="B849" s="227">
        <v>41879000</v>
      </c>
    </row>
    <row r="850" spans="1:2" x14ac:dyDescent="0.25">
      <c r="A850" t="s">
        <v>1335</v>
      </c>
      <c r="B850" s="227">
        <v>22107000</v>
      </c>
    </row>
    <row r="851" spans="1:2" x14ac:dyDescent="0.25">
      <c r="A851" t="s">
        <v>1336</v>
      </c>
      <c r="B851" s="227">
        <v>37453000</v>
      </c>
    </row>
    <row r="852" spans="1:2" x14ac:dyDescent="0.25">
      <c r="A852" t="s">
        <v>1337</v>
      </c>
      <c r="B852" s="227">
        <v>372800000</v>
      </c>
    </row>
    <row r="853" spans="1:2" x14ac:dyDescent="0.25">
      <c r="A853" t="s">
        <v>1338</v>
      </c>
      <c r="B853" s="227">
        <v>122710000</v>
      </c>
    </row>
    <row r="854" spans="1:2" x14ac:dyDescent="0.25">
      <c r="A854" t="s">
        <v>1339</v>
      </c>
      <c r="B854" s="227">
        <v>64100000</v>
      </c>
    </row>
    <row r="855" spans="1:2" x14ac:dyDescent="0.25">
      <c r="A855" t="s">
        <v>1340</v>
      </c>
      <c r="B855" s="227">
        <v>21744000</v>
      </c>
    </row>
    <row r="856" spans="1:2" x14ac:dyDescent="0.25">
      <c r="A856" t="s">
        <v>1341</v>
      </c>
      <c r="B856" s="227">
        <v>38366000</v>
      </c>
    </row>
    <row r="857" spans="1:2" x14ac:dyDescent="0.25">
      <c r="A857" t="s">
        <v>1342</v>
      </c>
      <c r="B857" s="227">
        <v>11643000</v>
      </c>
    </row>
    <row r="858" spans="1:2" x14ac:dyDescent="0.25">
      <c r="A858" t="s">
        <v>1343</v>
      </c>
      <c r="B858" s="227">
        <v>17404000</v>
      </c>
    </row>
    <row r="859" spans="1:2" x14ac:dyDescent="0.25">
      <c r="A859" t="s">
        <v>1344</v>
      </c>
      <c r="B859" s="227">
        <v>50000000</v>
      </c>
    </row>
    <row r="860" spans="1:2" x14ac:dyDescent="0.25">
      <c r="A860" t="s">
        <v>1345</v>
      </c>
      <c r="B860" s="227">
        <v>150000000</v>
      </c>
    </row>
    <row r="861" spans="1:2" x14ac:dyDescent="0.25">
      <c r="A861" t="s">
        <v>1346</v>
      </c>
      <c r="B861" s="227">
        <v>50000000</v>
      </c>
    </row>
    <row r="862" spans="1:2" x14ac:dyDescent="0.25">
      <c r="B862" s="227">
        <v>80007200</v>
      </c>
    </row>
    <row r="863" spans="1:2" x14ac:dyDescent="0.25">
      <c r="B863" s="227">
        <v>297715600</v>
      </c>
    </row>
    <row r="864" spans="1:2" x14ac:dyDescent="0.25">
      <c r="B864" s="227">
        <v>17371900</v>
      </c>
    </row>
    <row r="865" spans="1:2" x14ac:dyDescent="0.25">
      <c r="A865" t="s">
        <v>1347</v>
      </c>
      <c r="B865" s="227">
        <v>100000000</v>
      </c>
    </row>
    <row r="866" spans="1:2" x14ac:dyDescent="0.25">
      <c r="A866" t="s">
        <v>1348</v>
      </c>
      <c r="B866" s="227">
        <v>87000000</v>
      </c>
    </row>
    <row r="867" spans="1:2" x14ac:dyDescent="0.25">
      <c r="A867" t="s">
        <v>1349</v>
      </c>
      <c r="B867" s="227">
        <v>100000000</v>
      </c>
    </row>
    <row r="868" spans="1:2" x14ac:dyDescent="0.25">
      <c r="A868" t="s">
        <v>1350</v>
      </c>
      <c r="B868" s="227">
        <v>54000000</v>
      </c>
    </row>
    <row r="869" spans="1:2" x14ac:dyDescent="0.25">
      <c r="A869" t="s">
        <v>1351</v>
      </c>
      <c r="B869" s="227">
        <v>100000000</v>
      </c>
    </row>
    <row r="870" spans="1:2" x14ac:dyDescent="0.25">
      <c r="A870" t="s">
        <v>1352</v>
      </c>
      <c r="B870" s="227">
        <v>15000000000</v>
      </c>
    </row>
    <row r="871" spans="1:2" x14ac:dyDescent="0.25">
      <c r="A871" t="s">
        <v>1353</v>
      </c>
      <c r="B871" s="227">
        <v>10000000000</v>
      </c>
    </row>
    <row r="872" spans="1:2" x14ac:dyDescent="0.25">
      <c r="A872" t="s">
        <v>1002</v>
      </c>
      <c r="B872" s="227">
        <v>2231000</v>
      </c>
    </row>
    <row r="873" spans="1:2" x14ac:dyDescent="0.25">
      <c r="A873" t="s">
        <v>1003</v>
      </c>
      <c r="B873" s="227">
        <v>3685000</v>
      </c>
    </row>
    <row r="874" spans="1:2" x14ac:dyDescent="0.25">
      <c r="A874" t="s">
        <v>1004</v>
      </c>
      <c r="B874" s="227">
        <v>590721000</v>
      </c>
    </row>
    <row r="875" spans="1:2" x14ac:dyDescent="0.25">
      <c r="A875" t="s">
        <v>1005</v>
      </c>
      <c r="B875" s="227">
        <v>10000000000</v>
      </c>
    </row>
    <row r="876" spans="1:2" x14ac:dyDescent="0.25">
      <c r="A876" t="s">
        <v>1006</v>
      </c>
      <c r="B876" s="227">
        <v>15000000000</v>
      </c>
    </row>
    <row r="877" spans="1:2" x14ac:dyDescent="0.25">
      <c r="A877" t="s">
        <v>1354</v>
      </c>
      <c r="B877" s="227">
        <v>15000000000</v>
      </c>
    </row>
    <row r="878" spans="1:2" x14ac:dyDescent="0.25">
      <c r="A878" t="s">
        <v>1355</v>
      </c>
      <c r="B878" s="227">
        <v>15000000000</v>
      </c>
    </row>
    <row r="879" spans="1:2" x14ac:dyDescent="0.25">
      <c r="A879" t="s">
        <v>1356</v>
      </c>
      <c r="B879" s="227">
        <v>25000000000</v>
      </c>
    </row>
    <row r="880" spans="1:2" x14ac:dyDescent="0.25">
      <c r="A880" t="s">
        <v>1357</v>
      </c>
      <c r="B880" s="227">
        <v>10000000000</v>
      </c>
    </row>
    <row r="881" spans="1:2" x14ac:dyDescent="0.25">
      <c r="A881" t="s">
        <v>1358</v>
      </c>
      <c r="B881" s="227">
        <v>5000000000</v>
      </c>
    </row>
    <row r="882" spans="1:2" x14ac:dyDescent="0.25">
      <c r="A882" t="s">
        <v>1359</v>
      </c>
      <c r="B882" s="227">
        <v>25000000000</v>
      </c>
    </row>
    <row r="883" spans="1:2" x14ac:dyDescent="0.25">
      <c r="A883" t="s">
        <v>1360</v>
      </c>
      <c r="B883" s="227">
        <v>25000000000</v>
      </c>
    </row>
    <row r="884" spans="1:2" x14ac:dyDescent="0.25">
      <c r="A884" t="s">
        <v>1361</v>
      </c>
      <c r="B884" s="227">
        <v>20000000000</v>
      </c>
    </row>
    <row r="885" spans="1:2" x14ac:dyDescent="0.25">
      <c r="A885" t="s">
        <v>1362</v>
      </c>
      <c r="B885" s="227">
        <v>10000000000</v>
      </c>
    </row>
    <row r="886" spans="1:2" x14ac:dyDescent="0.25">
      <c r="A886" t="s">
        <v>1363</v>
      </c>
      <c r="B886" s="227">
        <v>20000000000</v>
      </c>
    </row>
    <row r="887" spans="1:2" x14ac:dyDescent="0.25">
      <c r="A887" t="s">
        <v>494</v>
      </c>
      <c r="B887" s="227">
        <v>1500000000</v>
      </c>
    </row>
    <row r="888" spans="1:2" x14ac:dyDescent="0.25">
      <c r="A888" t="s">
        <v>1364</v>
      </c>
      <c r="B888" s="227">
        <v>1500000000</v>
      </c>
    </row>
    <row r="889" spans="1:2" x14ac:dyDescent="0.25">
      <c r="A889" t="s">
        <v>1365</v>
      </c>
      <c r="B889" s="227">
        <v>10000000000</v>
      </c>
    </row>
    <row r="890" spans="1:2" x14ac:dyDescent="0.25">
      <c r="A890" t="s">
        <v>1366</v>
      </c>
      <c r="B890" s="227">
        <v>700000000</v>
      </c>
    </row>
    <row r="891" spans="1:2" x14ac:dyDescent="0.25">
      <c r="A891" t="s">
        <v>503</v>
      </c>
      <c r="B891" s="227">
        <v>750000000</v>
      </c>
    </row>
    <row r="892" spans="1:2" x14ac:dyDescent="0.25">
      <c r="A892" t="s">
        <v>1367</v>
      </c>
      <c r="B892" s="227">
        <v>500000000</v>
      </c>
    </row>
    <row r="893" spans="1:2" x14ac:dyDescent="0.25">
      <c r="A893" t="s">
        <v>1368</v>
      </c>
      <c r="B893" s="227">
        <v>20000000000</v>
      </c>
    </row>
    <row r="894" spans="1:2" x14ac:dyDescent="0.25">
      <c r="A894" t="s">
        <v>1369</v>
      </c>
      <c r="B894" s="227">
        <v>70000000000</v>
      </c>
    </row>
    <row r="895" spans="1:2" x14ac:dyDescent="0.25">
      <c r="A895" t="s">
        <v>1370</v>
      </c>
      <c r="B895" s="227">
        <v>150000000000</v>
      </c>
    </row>
    <row r="896" spans="1:2" x14ac:dyDescent="0.25">
      <c r="A896" t="s">
        <v>1371</v>
      </c>
      <c r="B896" s="227">
        <v>10000000000</v>
      </c>
    </row>
    <row r="897" spans="1:2" x14ac:dyDescent="0.25">
      <c r="A897" t="s">
        <v>1372</v>
      </c>
      <c r="B897" s="227">
        <v>5000000000</v>
      </c>
    </row>
    <row r="898" spans="1:2" x14ac:dyDescent="0.25">
      <c r="A898" t="s">
        <v>1373</v>
      </c>
      <c r="B898" s="227">
        <v>18000000000</v>
      </c>
    </row>
    <row r="899" spans="1:2" x14ac:dyDescent="0.25">
      <c r="A899" t="s">
        <v>1374</v>
      </c>
      <c r="B899" s="227">
        <v>15000000000</v>
      </c>
    </row>
    <row r="900" spans="1:2" x14ac:dyDescent="0.25">
      <c r="A900" t="s">
        <v>1375</v>
      </c>
      <c r="B900" s="227">
        <v>10000000000</v>
      </c>
    </row>
    <row r="901" spans="1:2" x14ac:dyDescent="0.25">
      <c r="A901" t="s">
        <v>574</v>
      </c>
      <c r="B901" s="227">
        <v>10000000000</v>
      </c>
    </row>
    <row r="902" spans="1:2" x14ac:dyDescent="0.25">
      <c r="A902" t="s">
        <v>1376</v>
      </c>
      <c r="B902" s="227">
        <v>5000000000</v>
      </c>
    </row>
    <row r="903" spans="1:2" x14ac:dyDescent="0.25">
      <c r="A903" t="s">
        <v>1377</v>
      </c>
      <c r="B903" s="227">
        <v>50000000</v>
      </c>
    </row>
    <row r="904" spans="1:2" x14ac:dyDescent="0.25">
      <c r="A904" t="s">
        <v>1378</v>
      </c>
      <c r="B904" s="227">
        <v>2000000000</v>
      </c>
    </row>
    <row r="905" spans="1:2" x14ac:dyDescent="0.25">
      <c r="A905" t="s">
        <v>1379</v>
      </c>
      <c r="B905" s="227">
        <v>3000000000</v>
      </c>
    </row>
    <row r="906" spans="1:2" x14ac:dyDescent="0.25">
      <c r="A906" t="s">
        <v>1380</v>
      </c>
      <c r="B906" s="227">
        <v>10000000000</v>
      </c>
    </row>
    <row r="907" spans="1:2" x14ac:dyDescent="0.25">
      <c r="A907" t="s">
        <v>1381</v>
      </c>
      <c r="B907" s="227">
        <v>5000000000</v>
      </c>
    </row>
    <row r="908" spans="1:2" x14ac:dyDescent="0.25">
      <c r="A908" t="s">
        <v>1382</v>
      </c>
      <c r="B908" s="227">
        <v>25000000</v>
      </c>
    </row>
    <row r="909" spans="1:2" x14ac:dyDescent="0.25">
      <c r="A909" t="s">
        <v>1383</v>
      </c>
      <c r="B909" s="227">
        <v>30000000</v>
      </c>
    </row>
    <row r="910" spans="1:2" x14ac:dyDescent="0.25">
      <c r="A910" t="s">
        <v>1384</v>
      </c>
      <c r="B910" s="227">
        <v>22499980000</v>
      </c>
    </row>
    <row r="911" spans="1:2" x14ac:dyDescent="0.25">
      <c r="A911" t="s">
        <v>1385</v>
      </c>
      <c r="B911" s="227">
        <v>3750000000</v>
      </c>
    </row>
    <row r="912" spans="1:2" x14ac:dyDescent="0.25">
      <c r="A912" t="s">
        <v>1386</v>
      </c>
      <c r="B912" s="227">
        <v>8500000000</v>
      </c>
    </row>
    <row r="913" spans="1:2" x14ac:dyDescent="0.25">
      <c r="A913" t="s">
        <v>1387</v>
      </c>
      <c r="B913" s="227">
        <v>24700000000</v>
      </c>
    </row>
    <row r="914" spans="1:2" x14ac:dyDescent="0.25">
      <c r="A914" t="s">
        <v>1388</v>
      </c>
      <c r="B914" s="227">
        <v>15000000000</v>
      </c>
    </row>
    <row r="915" spans="1:2" x14ac:dyDescent="0.25">
      <c r="A915" t="s">
        <v>1389</v>
      </c>
      <c r="B915" s="227">
        <v>340000000</v>
      </c>
    </row>
    <row r="916" spans="1:2" x14ac:dyDescent="0.25">
      <c r="A916" t="s">
        <v>1390</v>
      </c>
      <c r="B916" s="227">
        <v>500000000</v>
      </c>
    </row>
    <row r="917" spans="1:2" x14ac:dyDescent="0.25">
      <c r="A917" t="s">
        <v>1391</v>
      </c>
      <c r="B917" s="227">
        <v>190000000</v>
      </c>
    </row>
    <row r="918" spans="1:2" x14ac:dyDescent="0.25">
      <c r="A918" t="s">
        <v>1392</v>
      </c>
      <c r="B918" s="227">
        <v>621000000</v>
      </c>
    </row>
    <row r="919" spans="1:2" x14ac:dyDescent="0.25">
      <c r="A919" t="s">
        <v>1393</v>
      </c>
      <c r="B919" s="227">
        <v>7000000000</v>
      </c>
    </row>
    <row r="920" spans="1:2" x14ac:dyDescent="0.25">
      <c r="A920" t="s">
        <v>1394</v>
      </c>
      <c r="B920" s="227">
        <v>5000000000</v>
      </c>
    </row>
    <row r="921" spans="1:2" x14ac:dyDescent="0.25">
      <c r="A921" t="s">
        <v>524</v>
      </c>
      <c r="B921" s="227">
        <v>7000000000</v>
      </c>
    </row>
    <row r="922" spans="1:2" x14ac:dyDescent="0.25">
      <c r="A922" t="s">
        <v>560</v>
      </c>
      <c r="B922" s="227">
        <v>7000000000</v>
      </c>
    </row>
    <row r="923" spans="1:2" x14ac:dyDescent="0.25">
      <c r="A923" t="s">
        <v>1395</v>
      </c>
      <c r="B923" s="227">
        <v>7000000000</v>
      </c>
    </row>
    <row r="924" spans="1:2" x14ac:dyDescent="0.25">
      <c r="A924" t="s">
        <v>1396</v>
      </c>
      <c r="B924" s="227">
        <v>5000000000</v>
      </c>
    </row>
    <row r="925" spans="1:2" x14ac:dyDescent="0.25">
      <c r="A925" t="s">
        <v>1397</v>
      </c>
      <c r="B925" s="227">
        <v>5000000000</v>
      </c>
    </row>
    <row r="926" spans="1:2" x14ac:dyDescent="0.25">
      <c r="A926" t="s">
        <v>1398</v>
      </c>
      <c r="B926" s="227">
        <v>7000000000</v>
      </c>
    </row>
    <row r="927" spans="1:2" x14ac:dyDescent="0.25">
      <c r="A927" t="s">
        <v>1399</v>
      </c>
      <c r="B927" s="227">
        <v>7000000000</v>
      </c>
    </row>
    <row r="928" spans="1:2" x14ac:dyDescent="0.25">
      <c r="A928" t="s">
        <v>1400</v>
      </c>
      <c r="B928" s="227">
        <v>3000000000</v>
      </c>
    </row>
    <row r="929" spans="1:2" x14ac:dyDescent="0.25">
      <c r="A929" t="s">
        <v>1401</v>
      </c>
      <c r="B929" s="227">
        <v>10000000000</v>
      </c>
    </row>
    <row r="930" spans="1:2" x14ac:dyDescent="0.25">
      <c r="A930" t="s">
        <v>1402</v>
      </c>
      <c r="B930" s="227">
        <v>15000000000</v>
      </c>
    </row>
    <row r="931" spans="1:2" x14ac:dyDescent="0.25">
      <c r="A931" t="s">
        <v>1403</v>
      </c>
      <c r="B931" s="227">
        <v>15000000000</v>
      </c>
    </row>
    <row r="932" spans="1:2" x14ac:dyDescent="0.25">
      <c r="A932" t="s">
        <v>1404</v>
      </c>
      <c r="B932" s="227">
        <v>20000000000</v>
      </c>
    </row>
    <row r="933" spans="1:2" x14ac:dyDescent="0.25">
      <c r="A933" t="s">
        <v>1405</v>
      </c>
      <c r="B933" s="227">
        <v>5000000000</v>
      </c>
    </row>
    <row r="934" spans="1:2" x14ac:dyDescent="0.25">
      <c r="A934" t="s">
        <v>1406</v>
      </c>
      <c r="B934" s="227">
        <v>5000000000</v>
      </c>
    </row>
    <row r="935" spans="1:2" x14ac:dyDescent="0.25">
      <c r="A935" t="s">
        <v>556</v>
      </c>
      <c r="B935" s="227">
        <v>5000000000</v>
      </c>
    </row>
    <row r="936" spans="1:2" x14ac:dyDescent="0.25">
      <c r="A936" t="s">
        <v>1407</v>
      </c>
      <c r="B936" s="227">
        <v>5000000000</v>
      </c>
    </row>
    <row r="937" spans="1:2" x14ac:dyDescent="0.25">
      <c r="A937" t="s">
        <v>1408</v>
      </c>
      <c r="B937" s="227">
        <v>7000000000</v>
      </c>
    </row>
    <row r="938" spans="1:2" x14ac:dyDescent="0.25">
      <c r="A938" t="s">
        <v>1409</v>
      </c>
      <c r="B938" s="227">
        <v>5000000000</v>
      </c>
    </row>
    <row r="939" spans="1:2" x14ac:dyDescent="0.25">
      <c r="A939" t="s">
        <v>1410</v>
      </c>
      <c r="B939" s="227">
        <v>5000000000</v>
      </c>
    </row>
    <row r="940" spans="1:2" x14ac:dyDescent="0.25">
      <c r="A940" t="s">
        <v>1411</v>
      </c>
      <c r="B940" s="227">
        <v>6000000000</v>
      </c>
    </row>
    <row r="941" spans="1:2" x14ac:dyDescent="0.25">
      <c r="A941" t="s">
        <v>1412</v>
      </c>
      <c r="B941" s="227">
        <v>7000000000</v>
      </c>
    </row>
    <row r="942" spans="1:2" x14ac:dyDescent="0.25">
      <c r="A942" t="s">
        <v>1413</v>
      </c>
      <c r="B942" s="227">
        <v>2000000000</v>
      </c>
    </row>
    <row r="943" spans="1:2" x14ac:dyDescent="0.25">
      <c r="A943" t="s">
        <v>1414</v>
      </c>
      <c r="B943" s="227">
        <v>2000000000</v>
      </c>
    </row>
    <row r="944" spans="1:2" x14ac:dyDescent="0.25">
      <c r="A944" t="s">
        <v>1415</v>
      </c>
      <c r="B944" s="227">
        <v>3000000000</v>
      </c>
    </row>
    <row r="945" spans="1:2" x14ac:dyDescent="0.25">
      <c r="A945" t="s">
        <v>1416</v>
      </c>
      <c r="B945" s="227">
        <v>3000000000</v>
      </c>
    </row>
    <row r="946" spans="1:2" x14ac:dyDescent="0.25">
      <c r="A946" t="s">
        <v>1417</v>
      </c>
      <c r="B946" s="227">
        <v>600000000000</v>
      </c>
    </row>
    <row r="947" spans="1:2" x14ac:dyDescent="0.25">
      <c r="A947" t="s">
        <v>1418</v>
      </c>
      <c r="B947" s="227">
        <v>30000000000</v>
      </c>
    </row>
    <row r="948" spans="1:2" x14ac:dyDescent="0.25">
      <c r="A948" t="s">
        <v>1419</v>
      </c>
      <c r="B948" s="227">
        <v>20000000000</v>
      </c>
    </row>
    <row r="949" spans="1:2" x14ac:dyDescent="0.25">
      <c r="A949" t="s">
        <v>1420</v>
      </c>
      <c r="B949" s="227">
        <v>40000000000</v>
      </c>
    </row>
    <row r="950" spans="1:2" x14ac:dyDescent="0.25">
      <c r="A950" t="s">
        <v>1421</v>
      </c>
      <c r="B950" s="227">
        <v>15000000000</v>
      </c>
    </row>
    <row r="951" spans="1:2" x14ac:dyDescent="0.25">
      <c r="A951" t="s">
        <v>1422</v>
      </c>
      <c r="B951" s="227">
        <v>90000000000</v>
      </c>
    </row>
    <row r="952" spans="1:2" x14ac:dyDescent="0.25">
      <c r="A952" t="s">
        <v>1423</v>
      </c>
      <c r="B952" s="227">
        <v>176000000000</v>
      </c>
    </row>
    <row r="953" spans="1:2" x14ac:dyDescent="0.25">
      <c r="A953" t="s">
        <v>1424</v>
      </c>
      <c r="B953" s="227">
        <v>100000000000</v>
      </c>
    </row>
    <row r="954" spans="1:2" x14ac:dyDescent="0.25">
      <c r="A954" t="s">
        <v>1425</v>
      </c>
      <c r="B954" s="227">
        <v>300000000000</v>
      </c>
    </row>
    <row r="955" spans="1:2" x14ac:dyDescent="0.25">
      <c r="A955" t="s">
        <v>1426</v>
      </c>
      <c r="B955" s="227">
        <v>300000000000</v>
      </c>
    </row>
    <row r="956" spans="1:2" x14ac:dyDescent="0.25">
      <c r="A956" t="s">
        <v>1427</v>
      </c>
      <c r="B956" s="227">
        <v>30000000000</v>
      </c>
    </row>
    <row r="957" spans="1:2" x14ac:dyDescent="0.25">
      <c r="A957" t="s">
        <v>1428</v>
      </c>
      <c r="B957" s="227">
        <v>50000000000</v>
      </c>
    </row>
    <row r="958" spans="1:2" x14ac:dyDescent="0.25">
      <c r="A958" t="s">
        <v>1429</v>
      </c>
      <c r="B958" s="227">
        <v>20000000000</v>
      </c>
    </row>
    <row r="959" spans="1:2" x14ac:dyDescent="0.25">
      <c r="A959" t="s">
        <v>1430</v>
      </c>
      <c r="B959" s="227">
        <v>10000000000</v>
      </c>
    </row>
    <row r="960" spans="1:2" x14ac:dyDescent="0.25">
      <c r="A960" t="s">
        <v>1431</v>
      </c>
      <c r="B960" s="227">
        <v>20000000000</v>
      </c>
    </row>
    <row r="961" spans="1:2" x14ac:dyDescent="0.25">
      <c r="A961" t="s">
        <v>1432</v>
      </c>
      <c r="B961" s="227">
        <v>25000000000</v>
      </c>
    </row>
    <row r="962" spans="1:2" x14ac:dyDescent="0.25">
      <c r="A962" t="s">
        <v>1433</v>
      </c>
      <c r="B962" s="227">
        <v>25000000000</v>
      </c>
    </row>
    <row r="963" spans="1:2" x14ac:dyDescent="0.25">
      <c r="A963" t="s">
        <v>1434</v>
      </c>
      <c r="B963" s="227">
        <v>15000000000</v>
      </c>
    </row>
    <row r="964" spans="1:2" x14ac:dyDescent="0.25">
      <c r="A964" t="s">
        <v>1435</v>
      </c>
      <c r="B964" s="227">
        <v>2500000000</v>
      </c>
    </row>
    <row r="965" spans="1:2" x14ac:dyDescent="0.25">
      <c r="A965" t="s">
        <v>1436</v>
      </c>
      <c r="B965" s="227">
        <v>400000000000</v>
      </c>
    </row>
    <row r="966" spans="1:2" x14ac:dyDescent="0.25">
      <c r="A966" t="s">
        <v>1437</v>
      </c>
      <c r="B966" s="227">
        <v>400000000000</v>
      </c>
    </row>
    <row r="967" spans="1:2" x14ac:dyDescent="0.25">
      <c r="A967" t="s">
        <v>1438</v>
      </c>
      <c r="B967" s="227">
        <v>10000000000</v>
      </c>
    </row>
    <row r="968" spans="1:2" x14ac:dyDescent="0.25">
      <c r="A968" t="s">
        <v>1439</v>
      </c>
      <c r="B968" s="227">
        <v>10000000000</v>
      </c>
    </row>
    <row r="969" spans="1:2" x14ac:dyDescent="0.25">
      <c r="A969" t="s">
        <v>1440</v>
      </c>
      <c r="B969" s="227">
        <v>10000000000</v>
      </c>
    </row>
    <row r="970" spans="1:2" x14ac:dyDescent="0.25">
      <c r="A970" t="s">
        <v>1441</v>
      </c>
      <c r="B970" s="227">
        <v>15000000000</v>
      </c>
    </row>
    <row r="971" spans="1:2" x14ac:dyDescent="0.25">
      <c r="A971" t="s">
        <v>1442</v>
      </c>
      <c r="B971" s="227">
        <v>15000000000</v>
      </c>
    </row>
    <row r="972" spans="1:2" x14ac:dyDescent="0.25">
      <c r="A972" t="s">
        <v>1443</v>
      </c>
      <c r="B972" s="227">
        <v>15000000000</v>
      </c>
    </row>
    <row r="973" spans="1:2" x14ac:dyDescent="0.25">
      <c r="A973" t="s">
        <v>1444</v>
      </c>
      <c r="B973" s="227">
        <v>15000000000</v>
      </c>
    </row>
    <row r="974" spans="1:2" x14ac:dyDescent="0.25">
      <c r="A974" t="s">
        <v>496</v>
      </c>
      <c r="B974" s="227">
        <v>2000000000</v>
      </c>
    </row>
    <row r="975" spans="1:2" x14ac:dyDescent="0.25">
      <c r="A975" t="s">
        <v>1445</v>
      </c>
      <c r="B975" s="227">
        <v>15000000000</v>
      </c>
    </row>
    <row r="976" spans="1:2" x14ac:dyDescent="0.25">
      <c r="A976" t="s">
        <v>1446</v>
      </c>
      <c r="B976" s="227">
        <v>15000000000</v>
      </c>
    </row>
    <row r="977" spans="1:2" x14ac:dyDescent="0.25">
      <c r="A977" t="s">
        <v>1447</v>
      </c>
      <c r="B977" s="227">
        <v>15000000000</v>
      </c>
    </row>
    <row r="978" spans="1:2" x14ac:dyDescent="0.25">
      <c r="A978" t="s">
        <v>1448</v>
      </c>
      <c r="B978" s="227">
        <v>15000000000</v>
      </c>
    </row>
    <row r="979" spans="1:2" x14ac:dyDescent="0.25">
      <c r="A979" t="s">
        <v>1449</v>
      </c>
      <c r="B979" s="227">
        <v>20000000000</v>
      </c>
    </row>
    <row r="980" spans="1:2" x14ac:dyDescent="0.25">
      <c r="A980" t="s">
        <v>1450</v>
      </c>
      <c r="B980" s="227">
        <v>20000000000</v>
      </c>
    </row>
    <row r="981" spans="1:2" x14ac:dyDescent="0.25">
      <c r="A981" t="s">
        <v>1451</v>
      </c>
      <c r="B981" s="227">
        <v>20000000000</v>
      </c>
    </row>
    <row r="982" spans="1:2" x14ac:dyDescent="0.25">
      <c r="A982" t="s">
        <v>1452</v>
      </c>
      <c r="B982" s="227">
        <v>20000000000</v>
      </c>
    </row>
    <row r="983" spans="1:2" x14ac:dyDescent="0.25">
      <c r="A983" t="s">
        <v>1453</v>
      </c>
      <c r="B983" s="227">
        <v>20000000000</v>
      </c>
    </row>
    <row r="984" spans="1:2" x14ac:dyDescent="0.25">
      <c r="A984" t="s">
        <v>1454</v>
      </c>
      <c r="B984" s="227">
        <v>20000000000</v>
      </c>
    </row>
    <row r="985" spans="1:2" x14ac:dyDescent="0.25">
      <c r="A985" t="s">
        <v>1455</v>
      </c>
      <c r="B985" s="227">
        <v>30000000000</v>
      </c>
    </row>
    <row r="986" spans="1:2" x14ac:dyDescent="0.25">
      <c r="A986" t="s">
        <v>1456</v>
      </c>
      <c r="B986" s="227">
        <v>30000000000</v>
      </c>
    </row>
    <row r="987" spans="1:2" x14ac:dyDescent="0.25">
      <c r="A987" t="s">
        <v>1457</v>
      </c>
      <c r="B987" s="227">
        <v>30000000000</v>
      </c>
    </row>
    <row r="988" spans="1:2" x14ac:dyDescent="0.25">
      <c r="A988" t="s">
        <v>1458</v>
      </c>
      <c r="B988" s="227">
        <v>30000000000</v>
      </c>
    </row>
    <row r="989" spans="1:2" x14ac:dyDescent="0.25">
      <c r="A989" t="s">
        <v>1459</v>
      </c>
      <c r="B989" s="227">
        <v>10000000000</v>
      </c>
    </row>
    <row r="990" spans="1:2" x14ac:dyDescent="0.25">
      <c r="A990" t="s">
        <v>1460</v>
      </c>
      <c r="B990" s="227">
        <v>10000000000</v>
      </c>
    </row>
    <row r="991" spans="1:2" x14ac:dyDescent="0.25">
      <c r="A991" t="s">
        <v>1461</v>
      </c>
      <c r="B991" s="227">
        <v>10000000000</v>
      </c>
    </row>
    <row r="992" spans="1:2" x14ac:dyDescent="0.25">
      <c r="A992" t="s">
        <v>1462</v>
      </c>
      <c r="B992" s="227">
        <v>1500000000</v>
      </c>
    </row>
    <row r="993" spans="1:2" x14ac:dyDescent="0.25">
      <c r="A993" t="s">
        <v>1463</v>
      </c>
      <c r="B993" s="227">
        <v>15000000000</v>
      </c>
    </row>
    <row r="994" spans="1:2" x14ac:dyDescent="0.25">
      <c r="A994" t="s">
        <v>527</v>
      </c>
      <c r="B994" s="227">
        <v>20000000000</v>
      </c>
    </row>
    <row r="995" spans="1:2" x14ac:dyDescent="0.25">
      <c r="A995" t="s">
        <v>1464</v>
      </c>
      <c r="B995" s="227">
        <v>15000000000</v>
      </c>
    </row>
    <row r="996" spans="1:2" x14ac:dyDescent="0.25">
      <c r="A996" t="s">
        <v>519</v>
      </c>
      <c r="B996" s="227">
        <v>20000000000</v>
      </c>
    </row>
    <row r="997" spans="1:2" x14ac:dyDescent="0.25">
      <c r="A997" t="s">
        <v>1465</v>
      </c>
      <c r="B997" s="227">
        <v>40000000000</v>
      </c>
    </row>
    <row r="998" spans="1:2" x14ac:dyDescent="0.25">
      <c r="A998" t="s">
        <v>1466</v>
      </c>
      <c r="B998" s="227">
        <v>50000000000</v>
      </c>
    </row>
    <row r="999" spans="1:2" x14ac:dyDescent="0.25">
      <c r="A999" t="s">
        <v>1467</v>
      </c>
      <c r="B999" s="227">
        <v>40000000000</v>
      </c>
    </row>
    <row r="1000" spans="1:2" x14ac:dyDescent="0.25">
      <c r="A1000" t="s">
        <v>1468</v>
      </c>
      <c r="B1000" s="227">
        <v>15000000000</v>
      </c>
    </row>
    <row r="1001" spans="1:2" x14ac:dyDescent="0.25">
      <c r="A1001" t="s">
        <v>1469</v>
      </c>
      <c r="B1001" s="227">
        <v>12000000000</v>
      </c>
    </row>
    <row r="1002" spans="1:2" x14ac:dyDescent="0.25">
      <c r="A1002" t="s">
        <v>1470</v>
      </c>
      <c r="B1002" s="227">
        <v>30000000000</v>
      </c>
    </row>
    <row r="1003" spans="1:2" x14ac:dyDescent="0.25">
      <c r="A1003" t="s">
        <v>1471</v>
      </c>
      <c r="B1003" s="227">
        <v>15000000000</v>
      </c>
    </row>
    <row r="1004" spans="1:2" x14ac:dyDescent="0.25">
      <c r="A1004" t="s">
        <v>1472</v>
      </c>
      <c r="B1004" s="227">
        <v>35000000000</v>
      </c>
    </row>
    <row r="1005" spans="1:2" x14ac:dyDescent="0.25">
      <c r="A1005" t="s">
        <v>1473</v>
      </c>
      <c r="B1005" s="227">
        <v>20000000000</v>
      </c>
    </row>
    <row r="1006" spans="1:2" x14ac:dyDescent="0.25">
      <c r="A1006" t="s">
        <v>1474</v>
      </c>
      <c r="B1006" s="227">
        <v>18000000000</v>
      </c>
    </row>
    <row r="1007" spans="1:2" x14ac:dyDescent="0.25">
      <c r="A1007" t="s">
        <v>1475</v>
      </c>
      <c r="B1007" s="227">
        <v>40000000000</v>
      </c>
    </row>
    <row r="1008" spans="1:2" x14ac:dyDescent="0.25">
      <c r="A1008" t="s">
        <v>1476</v>
      </c>
      <c r="B1008" s="227">
        <v>25000000000</v>
      </c>
    </row>
    <row r="1009" spans="1:2" x14ac:dyDescent="0.25">
      <c r="A1009" t="s">
        <v>1477</v>
      </c>
      <c r="B1009" s="227">
        <v>18000000000</v>
      </c>
    </row>
    <row r="1010" spans="1:2" x14ac:dyDescent="0.25">
      <c r="A1010" t="s">
        <v>1478</v>
      </c>
      <c r="B1010" s="227">
        <v>15000000000</v>
      </c>
    </row>
    <row r="1011" spans="1:2" x14ac:dyDescent="0.25">
      <c r="A1011" t="s">
        <v>1479</v>
      </c>
      <c r="B1011" s="227">
        <v>41000000000</v>
      </c>
    </row>
    <row r="1012" spans="1:2" x14ac:dyDescent="0.25">
      <c r="A1012" t="s">
        <v>1480</v>
      </c>
      <c r="B1012" s="227">
        <v>27000000000</v>
      </c>
    </row>
    <row r="1013" spans="1:2" x14ac:dyDescent="0.25">
      <c r="A1013" t="s">
        <v>1481</v>
      </c>
      <c r="B1013" s="227">
        <v>7000000000</v>
      </c>
    </row>
    <row r="1014" spans="1:2" x14ac:dyDescent="0.25">
      <c r="A1014" t="s">
        <v>1482</v>
      </c>
      <c r="B1014" s="227">
        <v>15000000000</v>
      </c>
    </row>
    <row r="1015" spans="1:2" x14ac:dyDescent="0.25">
      <c r="A1015" t="s">
        <v>1483</v>
      </c>
      <c r="B1015" s="227">
        <v>4000000000</v>
      </c>
    </row>
    <row r="1016" spans="1:2" x14ac:dyDescent="0.25">
      <c r="A1016" t="s">
        <v>1484</v>
      </c>
      <c r="B1016" s="227">
        <v>15000000000</v>
      </c>
    </row>
    <row r="1017" spans="1:2" x14ac:dyDescent="0.25">
      <c r="A1017" t="s">
        <v>1485</v>
      </c>
      <c r="B1017" s="227">
        <v>30000000000</v>
      </c>
    </row>
    <row r="1018" spans="1:2" x14ac:dyDescent="0.25">
      <c r="A1018" t="s">
        <v>1486</v>
      </c>
      <c r="B1018" s="227">
        <v>5000000000</v>
      </c>
    </row>
    <row r="1019" spans="1:2" x14ac:dyDescent="0.25">
      <c r="A1019" t="s">
        <v>1487</v>
      </c>
      <c r="B1019" s="227">
        <v>15000000000</v>
      </c>
    </row>
    <row r="1020" spans="1:2" x14ac:dyDescent="0.25">
      <c r="A1020" t="s">
        <v>1488</v>
      </c>
      <c r="B1020" s="227">
        <v>56000000000</v>
      </c>
    </row>
    <row r="1021" spans="1:2" x14ac:dyDescent="0.25">
      <c r="A1021" t="s">
        <v>1489</v>
      </c>
      <c r="B1021" s="227">
        <v>7610000000</v>
      </c>
    </row>
    <row r="1022" spans="1:2" x14ac:dyDescent="0.25">
      <c r="A1022" t="s">
        <v>1490</v>
      </c>
      <c r="B1022" s="227">
        <v>2000000000</v>
      </c>
    </row>
    <row r="1023" spans="1:2" x14ac:dyDescent="0.25">
      <c r="A1023" t="s">
        <v>1491</v>
      </c>
      <c r="B1023" s="227">
        <v>1000000000</v>
      </c>
    </row>
    <row r="1024" spans="1:2" x14ac:dyDescent="0.25">
      <c r="A1024" t="s">
        <v>498</v>
      </c>
      <c r="B1024" s="227">
        <v>1500000000</v>
      </c>
    </row>
    <row r="1025" spans="1:2" x14ac:dyDescent="0.25">
      <c r="A1025" t="s">
        <v>1492</v>
      </c>
      <c r="B1025" s="227">
        <v>368445000</v>
      </c>
    </row>
    <row r="1026" spans="1:2" x14ac:dyDescent="0.25">
      <c r="A1026" t="s">
        <v>1493</v>
      </c>
      <c r="B1026" s="227">
        <v>657512000</v>
      </c>
    </row>
    <row r="1027" spans="1:2" x14ac:dyDescent="0.25">
      <c r="A1027" t="s">
        <v>1494</v>
      </c>
      <c r="B1027" s="227">
        <v>280979000</v>
      </c>
    </row>
    <row r="1028" spans="1:2" x14ac:dyDescent="0.25">
      <c r="A1028" t="s">
        <v>1495</v>
      </c>
      <c r="B1028" s="227">
        <v>280181000</v>
      </c>
    </row>
    <row r="1029" spans="1:2" x14ac:dyDescent="0.25">
      <c r="A1029" t="s">
        <v>1496</v>
      </c>
      <c r="B1029" s="227">
        <v>27584000</v>
      </c>
    </row>
    <row r="1030" spans="1:2" x14ac:dyDescent="0.25">
      <c r="A1030" t="s">
        <v>1497</v>
      </c>
      <c r="B1030" s="227">
        <v>838410000</v>
      </c>
    </row>
    <row r="1031" spans="1:2" x14ac:dyDescent="0.25">
      <c r="A1031" t="s">
        <v>1498</v>
      </c>
      <c r="B1031" s="227">
        <v>567529000</v>
      </c>
    </row>
    <row r="1032" spans="1:2" x14ac:dyDescent="0.25">
      <c r="A1032" t="s">
        <v>1499</v>
      </c>
      <c r="B1032" s="227">
        <v>842177000</v>
      </c>
    </row>
    <row r="1033" spans="1:2" x14ac:dyDescent="0.25">
      <c r="A1033" t="s">
        <v>1500</v>
      </c>
      <c r="B1033" s="227">
        <v>1009360000</v>
      </c>
    </row>
    <row r="1034" spans="1:2" x14ac:dyDescent="0.25">
      <c r="A1034" t="s">
        <v>1501</v>
      </c>
      <c r="B1034" s="227">
        <v>980758000</v>
      </c>
    </row>
    <row r="1035" spans="1:2" x14ac:dyDescent="0.25">
      <c r="A1035" t="s">
        <v>1502</v>
      </c>
      <c r="B1035" s="227">
        <v>2468102000</v>
      </c>
    </row>
    <row r="1036" spans="1:2" x14ac:dyDescent="0.25">
      <c r="A1036" t="s">
        <v>1503</v>
      </c>
      <c r="B1036" s="227">
        <v>2725485000</v>
      </c>
    </row>
    <row r="1037" spans="1:2" x14ac:dyDescent="0.25">
      <c r="A1037" t="s">
        <v>1504</v>
      </c>
      <c r="B1037" s="227">
        <v>2401279000</v>
      </c>
    </row>
    <row r="1038" spans="1:2" x14ac:dyDescent="0.25">
      <c r="A1038" t="s">
        <v>1505</v>
      </c>
      <c r="B1038" s="227">
        <v>1051775000</v>
      </c>
    </row>
    <row r="1039" spans="1:2" x14ac:dyDescent="0.25">
      <c r="A1039" t="s">
        <v>1506</v>
      </c>
      <c r="B1039" s="227">
        <v>742092000</v>
      </c>
    </row>
    <row r="1040" spans="1:2" x14ac:dyDescent="0.25">
      <c r="A1040" t="s">
        <v>1507</v>
      </c>
      <c r="B1040" s="227">
        <v>1121087000</v>
      </c>
    </row>
    <row r="1041" spans="1:2" x14ac:dyDescent="0.25">
      <c r="A1041" t="s">
        <v>1508</v>
      </c>
      <c r="B1041" s="227">
        <v>960911000</v>
      </c>
    </row>
    <row r="1042" spans="1:2" x14ac:dyDescent="0.25">
      <c r="A1042" t="s">
        <v>1509</v>
      </c>
      <c r="B1042" s="227">
        <v>423078000</v>
      </c>
    </row>
    <row r="1043" spans="1:2" x14ac:dyDescent="0.25">
      <c r="A1043" t="s">
        <v>1510</v>
      </c>
      <c r="B1043" s="227">
        <v>92929000</v>
      </c>
    </row>
    <row r="1044" spans="1:2" x14ac:dyDescent="0.25">
      <c r="A1044" t="s">
        <v>1511</v>
      </c>
      <c r="B1044" s="227">
        <v>352274000</v>
      </c>
    </row>
    <row r="1045" spans="1:2" x14ac:dyDescent="0.25">
      <c r="A1045" t="s">
        <v>1512</v>
      </c>
      <c r="B1045" s="227">
        <v>522139000</v>
      </c>
    </row>
    <row r="1046" spans="1:2" x14ac:dyDescent="0.25">
      <c r="A1046" t="s">
        <v>1513</v>
      </c>
      <c r="B1046" s="227">
        <v>880175000</v>
      </c>
    </row>
    <row r="1047" spans="1:2" x14ac:dyDescent="0.25">
      <c r="A1047" t="s">
        <v>1514</v>
      </c>
      <c r="B1047" s="227">
        <v>50000000</v>
      </c>
    </row>
    <row r="1048" spans="1:2" x14ac:dyDescent="0.25">
      <c r="A1048" t="s">
        <v>1515</v>
      </c>
      <c r="B1048" s="227">
        <v>625627000</v>
      </c>
    </row>
    <row r="1049" spans="1:2" x14ac:dyDescent="0.25">
      <c r="A1049" t="s">
        <v>1516</v>
      </c>
      <c r="B1049" s="227">
        <v>628738000</v>
      </c>
    </row>
    <row r="1050" spans="1:2" x14ac:dyDescent="0.25">
      <c r="A1050" t="s">
        <v>1517</v>
      </c>
      <c r="B1050" s="227">
        <v>824718000</v>
      </c>
    </row>
    <row r="1051" spans="1:2" x14ac:dyDescent="0.25">
      <c r="A1051" t="s">
        <v>1518</v>
      </c>
      <c r="B1051" s="227">
        <v>360344000</v>
      </c>
    </row>
    <row r="1052" spans="1:2" x14ac:dyDescent="0.25">
      <c r="A1052" t="s">
        <v>1519</v>
      </c>
      <c r="B1052" s="227">
        <v>311077000</v>
      </c>
    </row>
    <row r="1053" spans="1:2" x14ac:dyDescent="0.25">
      <c r="A1053" t="s">
        <v>1520</v>
      </c>
      <c r="B1053" s="227">
        <v>294098000</v>
      </c>
    </row>
    <row r="1054" spans="1:2" x14ac:dyDescent="0.25">
      <c r="A1054" t="s">
        <v>1521</v>
      </c>
      <c r="B1054" s="227">
        <v>130496000</v>
      </c>
    </row>
    <row r="1055" spans="1:2" x14ac:dyDescent="0.25">
      <c r="A1055" t="s">
        <v>1522</v>
      </c>
      <c r="B1055" s="227">
        <v>95554000</v>
      </c>
    </row>
    <row r="1056" spans="1:2" x14ac:dyDescent="0.25">
      <c r="A1056" t="s">
        <v>1523</v>
      </c>
      <c r="B1056" s="227">
        <v>172368000</v>
      </c>
    </row>
    <row r="1057" spans="1:2" x14ac:dyDescent="0.25">
      <c r="A1057" t="s">
        <v>1524</v>
      </c>
      <c r="B1057" s="227">
        <v>89167000</v>
      </c>
    </row>
    <row r="1058" spans="1:2" x14ac:dyDescent="0.25">
      <c r="A1058" t="s">
        <v>1525</v>
      </c>
      <c r="B1058" s="227">
        <v>261989000</v>
      </c>
    </row>
    <row r="1059" spans="1:2" x14ac:dyDescent="0.25">
      <c r="A1059" t="s">
        <v>1526</v>
      </c>
      <c r="B1059" s="227">
        <v>263539000</v>
      </c>
    </row>
    <row r="1060" spans="1:2" x14ac:dyDescent="0.25">
      <c r="A1060" t="s">
        <v>1527</v>
      </c>
      <c r="B1060" s="227">
        <v>438476000</v>
      </c>
    </row>
    <row r="1061" spans="1:2" x14ac:dyDescent="0.25">
      <c r="A1061" t="s">
        <v>1528</v>
      </c>
      <c r="B1061" s="227">
        <v>2999999000</v>
      </c>
    </row>
    <row r="1062" spans="1:2" x14ac:dyDescent="0.25">
      <c r="A1062" t="s">
        <v>1529</v>
      </c>
      <c r="B1062" s="227">
        <v>2400271000</v>
      </c>
    </row>
    <row r="1063" spans="1:2" x14ac:dyDescent="0.25">
      <c r="A1063" t="s">
        <v>1530</v>
      </c>
      <c r="B1063" s="227">
        <v>1317762000</v>
      </c>
    </row>
    <row r="1064" spans="1:2" x14ac:dyDescent="0.25">
      <c r="A1064" t="s">
        <v>1531</v>
      </c>
      <c r="B1064" s="227">
        <v>529466000</v>
      </c>
    </row>
    <row r="1065" spans="1:2" x14ac:dyDescent="0.25">
      <c r="A1065" t="s">
        <v>1532</v>
      </c>
      <c r="B1065" s="227">
        <v>2000000000</v>
      </c>
    </row>
    <row r="1066" spans="1:2" x14ac:dyDescent="0.25">
      <c r="A1066" t="s">
        <v>1533</v>
      </c>
      <c r="B1066" s="227">
        <v>2000000000</v>
      </c>
    </row>
    <row r="1067" spans="1:2" x14ac:dyDescent="0.25">
      <c r="A1067" t="s">
        <v>1534</v>
      </c>
      <c r="B1067" s="227">
        <v>544342000</v>
      </c>
    </row>
    <row r="1068" spans="1:2" x14ac:dyDescent="0.25">
      <c r="A1068" t="s">
        <v>1535</v>
      </c>
      <c r="B1068" s="227">
        <v>2681937000</v>
      </c>
    </row>
    <row r="1069" spans="1:2" x14ac:dyDescent="0.25">
      <c r="A1069" t="s">
        <v>1536</v>
      </c>
      <c r="B1069" s="227">
        <v>2368577000</v>
      </c>
    </row>
    <row r="1070" spans="1:2" x14ac:dyDescent="0.25">
      <c r="A1070" t="s">
        <v>1537</v>
      </c>
      <c r="B1070" s="227">
        <v>1517412000</v>
      </c>
    </row>
    <row r="1071" spans="1:2" x14ac:dyDescent="0.25">
      <c r="A1071" t="s">
        <v>1538</v>
      </c>
      <c r="B1071" s="227">
        <v>1680656000</v>
      </c>
    </row>
    <row r="1072" spans="1:2" x14ac:dyDescent="0.25">
      <c r="A1072" t="s">
        <v>1539</v>
      </c>
      <c r="B1072" s="227">
        <v>1889613000</v>
      </c>
    </row>
    <row r="1073" spans="1:2" x14ac:dyDescent="0.25">
      <c r="A1073" t="s">
        <v>1540</v>
      </c>
      <c r="B1073" s="227">
        <v>427453000</v>
      </c>
    </row>
    <row r="1074" spans="1:2" x14ac:dyDescent="0.25">
      <c r="A1074" t="s">
        <v>1541</v>
      </c>
      <c r="B1074" s="227">
        <v>1193336000</v>
      </c>
    </row>
    <row r="1075" spans="1:2" x14ac:dyDescent="0.25">
      <c r="A1075" t="s">
        <v>1542</v>
      </c>
      <c r="B1075" s="227">
        <v>146667000</v>
      </c>
    </row>
    <row r="1076" spans="1:2" x14ac:dyDescent="0.25">
      <c r="A1076" t="s">
        <v>1543</v>
      </c>
      <c r="B1076" s="227">
        <v>297463000</v>
      </c>
    </row>
    <row r="1077" spans="1:2" x14ac:dyDescent="0.25">
      <c r="A1077" t="s">
        <v>1544</v>
      </c>
      <c r="B1077" s="227">
        <v>783745000</v>
      </c>
    </row>
    <row r="1078" spans="1:2" x14ac:dyDescent="0.25">
      <c r="A1078" t="s">
        <v>1545</v>
      </c>
      <c r="B1078" s="227">
        <v>1825271000</v>
      </c>
    </row>
    <row r="1079" spans="1:2" x14ac:dyDescent="0.25">
      <c r="A1079" t="s">
        <v>1546</v>
      </c>
      <c r="B1079" s="227">
        <v>1994992000</v>
      </c>
    </row>
    <row r="1080" spans="1:2" x14ac:dyDescent="0.25">
      <c r="A1080" t="s">
        <v>1547</v>
      </c>
      <c r="B1080" s="227">
        <v>1932059000</v>
      </c>
    </row>
    <row r="1081" spans="1:2" x14ac:dyDescent="0.25">
      <c r="A1081" t="s">
        <v>1548</v>
      </c>
      <c r="B1081" s="227">
        <v>1996199000</v>
      </c>
    </row>
    <row r="1082" spans="1:2" x14ac:dyDescent="0.25">
      <c r="A1082" t="s">
        <v>1549</v>
      </c>
      <c r="B1082" s="227">
        <v>1057544000</v>
      </c>
    </row>
    <row r="1083" spans="1:2" x14ac:dyDescent="0.25">
      <c r="A1083" t="s">
        <v>1550</v>
      </c>
      <c r="B1083" s="227">
        <v>1923284000</v>
      </c>
    </row>
    <row r="1084" spans="1:2" x14ac:dyDescent="0.25">
      <c r="A1084" t="s">
        <v>1551</v>
      </c>
      <c r="B1084" s="227">
        <v>1776544000</v>
      </c>
    </row>
    <row r="1085" spans="1:2" x14ac:dyDescent="0.25">
      <c r="A1085" t="s">
        <v>1552</v>
      </c>
      <c r="B1085" s="227">
        <v>1991295000</v>
      </c>
    </row>
    <row r="1086" spans="1:2" x14ac:dyDescent="0.25">
      <c r="A1086" t="s">
        <v>1553</v>
      </c>
      <c r="B1086" s="227">
        <v>1935872000</v>
      </c>
    </row>
    <row r="1087" spans="1:2" x14ac:dyDescent="0.25">
      <c r="A1087" t="s">
        <v>1554</v>
      </c>
      <c r="B1087" s="227">
        <v>1950961000</v>
      </c>
    </row>
    <row r="1088" spans="1:2" x14ac:dyDescent="0.25">
      <c r="A1088" t="s">
        <v>1555</v>
      </c>
      <c r="B1088" s="227">
        <v>1908060000</v>
      </c>
    </row>
    <row r="1089" spans="1:2" x14ac:dyDescent="0.25">
      <c r="A1089" t="s">
        <v>1556</v>
      </c>
      <c r="B1089" s="227">
        <v>1577617000</v>
      </c>
    </row>
    <row r="1090" spans="1:2" x14ac:dyDescent="0.25">
      <c r="A1090" t="s">
        <v>1557</v>
      </c>
      <c r="B1090" s="227">
        <v>350835000</v>
      </c>
    </row>
    <row r="1091" spans="1:2" x14ac:dyDescent="0.25">
      <c r="A1091" t="s">
        <v>1558</v>
      </c>
      <c r="B1091" s="227">
        <v>1886147000</v>
      </c>
    </row>
    <row r="1092" spans="1:2" x14ac:dyDescent="0.25">
      <c r="A1092" t="s">
        <v>1559</v>
      </c>
      <c r="B1092" s="227">
        <v>435460000</v>
      </c>
    </row>
    <row r="1093" spans="1:2" x14ac:dyDescent="0.25">
      <c r="A1093" t="s">
        <v>1560</v>
      </c>
      <c r="B1093" s="227">
        <v>1462111000</v>
      </c>
    </row>
    <row r="1094" spans="1:2" x14ac:dyDescent="0.25">
      <c r="A1094" t="s">
        <v>1561</v>
      </c>
      <c r="B1094" s="227">
        <v>345424000</v>
      </c>
    </row>
    <row r="1095" spans="1:2" x14ac:dyDescent="0.25">
      <c r="A1095" t="s">
        <v>1562</v>
      </c>
      <c r="B1095" s="227">
        <v>1666456000</v>
      </c>
    </row>
    <row r="1096" spans="1:2" x14ac:dyDescent="0.25">
      <c r="A1096" t="s">
        <v>1563</v>
      </c>
      <c r="B1096" s="227">
        <v>728204000</v>
      </c>
    </row>
    <row r="1097" spans="1:2" x14ac:dyDescent="0.25">
      <c r="A1097" t="s">
        <v>1564</v>
      </c>
      <c r="B1097" s="227">
        <v>715550000</v>
      </c>
    </row>
    <row r="1098" spans="1:2" x14ac:dyDescent="0.25">
      <c r="A1098" t="s">
        <v>1565</v>
      </c>
      <c r="B1098" s="227">
        <v>591493000</v>
      </c>
    </row>
    <row r="1099" spans="1:2" x14ac:dyDescent="0.25">
      <c r="A1099" t="s">
        <v>1566</v>
      </c>
      <c r="B1099" s="227">
        <v>639128000</v>
      </c>
    </row>
    <row r="1100" spans="1:2" x14ac:dyDescent="0.25">
      <c r="A1100" t="s">
        <v>1567</v>
      </c>
      <c r="B1100" s="227">
        <v>517127000</v>
      </c>
    </row>
    <row r="1101" spans="1:2" x14ac:dyDescent="0.25">
      <c r="A1101" t="s">
        <v>1568</v>
      </c>
      <c r="B1101" s="227">
        <v>601853000</v>
      </c>
    </row>
    <row r="1102" spans="1:2" x14ac:dyDescent="0.25">
      <c r="A1102" t="s">
        <v>1569</v>
      </c>
      <c r="B1102" s="227">
        <v>1925722000</v>
      </c>
    </row>
    <row r="1103" spans="1:2" x14ac:dyDescent="0.25">
      <c r="A1103" t="s">
        <v>1570</v>
      </c>
      <c r="B1103" s="227">
        <v>862477000</v>
      </c>
    </row>
    <row r="1104" spans="1:2" x14ac:dyDescent="0.25">
      <c r="A1104" t="s">
        <v>1571</v>
      </c>
      <c r="B1104" s="227">
        <v>599466000</v>
      </c>
    </row>
    <row r="1105" spans="1:2" x14ac:dyDescent="0.25">
      <c r="A1105" t="s">
        <v>1572</v>
      </c>
      <c r="B1105" s="227">
        <v>129362000</v>
      </c>
    </row>
    <row r="1106" spans="1:2" x14ac:dyDescent="0.25">
      <c r="A1106" t="s">
        <v>1573</v>
      </c>
      <c r="B1106" s="227">
        <v>218178000</v>
      </c>
    </row>
    <row r="1107" spans="1:2" x14ac:dyDescent="0.25">
      <c r="A1107" t="s">
        <v>1574</v>
      </c>
      <c r="B1107" s="227">
        <v>1546336000</v>
      </c>
    </row>
    <row r="1108" spans="1:2" x14ac:dyDescent="0.25">
      <c r="A1108" t="s">
        <v>1575</v>
      </c>
      <c r="B1108" s="227">
        <v>497539000</v>
      </c>
    </row>
    <row r="1109" spans="1:2" x14ac:dyDescent="0.25">
      <c r="A1109" t="s">
        <v>1576</v>
      </c>
      <c r="B1109" s="227">
        <v>504249000</v>
      </c>
    </row>
    <row r="1110" spans="1:2" x14ac:dyDescent="0.25">
      <c r="A1110" t="s">
        <v>1577</v>
      </c>
      <c r="B1110" s="227">
        <v>642987000</v>
      </c>
    </row>
    <row r="1111" spans="1:2" x14ac:dyDescent="0.25">
      <c r="A1111" t="s">
        <v>1578</v>
      </c>
      <c r="B1111" s="227">
        <v>1994356000</v>
      </c>
    </row>
    <row r="1112" spans="1:2" x14ac:dyDescent="0.25">
      <c r="A1112" t="s">
        <v>1579</v>
      </c>
      <c r="B1112" s="227">
        <v>1930313000</v>
      </c>
    </row>
    <row r="1113" spans="1:2" x14ac:dyDescent="0.25">
      <c r="A1113" t="s">
        <v>1580</v>
      </c>
      <c r="B1113" s="227">
        <v>986817000</v>
      </c>
    </row>
    <row r="1114" spans="1:2" x14ac:dyDescent="0.25">
      <c r="A1114" t="s">
        <v>1581</v>
      </c>
      <c r="B1114" s="227">
        <v>999070000</v>
      </c>
    </row>
    <row r="1115" spans="1:2" x14ac:dyDescent="0.25">
      <c r="A1115" t="s">
        <v>1582</v>
      </c>
      <c r="B1115" s="227">
        <v>553275000</v>
      </c>
    </row>
    <row r="1116" spans="1:2" x14ac:dyDescent="0.25">
      <c r="A1116" t="s">
        <v>1583</v>
      </c>
      <c r="B1116" s="227">
        <v>573589000</v>
      </c>
    </row>
    <row r="1117" spans="1:2" x14ac:dyDescent="0.25">
      <c r="A1117" t="s">
        <v>1584</v>
      </c>
      <c r="B1117" s="227">
        <v>528876000</v>
      </c>
    </row>
    <row r="1118" spans="1:2" x14ac:dyDescent="0.25">
      <c r="A1118" t="s">
        <v>1585</v>
      </c>
      <c r="B1118" s="227">
        <v>548428000</v>
      </c>
    </row>
    <row r="1119" spans="1:2" x14ac:dyDescent="0.25">
      <c r="A1119" t="s">
        <v>1586</v>
      </c>
      <c r="B1119" s="227">
        <v>391602000</v>
      </c>
    </row>
    <row r="1120" spans="1:2" x14ac:dyDescent="0.25">
      <c r="A1120" t="s">
        <v>1587</v>
      </c>
      <c r="B1120" s="227">
        <v>500393000</v>
      </c>
    </row>
    <row r="1121" spans="1:2" x14ac:dyDescent="0.25">
      <c r="A1121" t="s">
        <v>1588</v>
      </c>
      <c r="B1121" s="227">
        <v>1678937000</v>
      </c>
    </row>
    <row r="1122" spans="1:2" x14ac:dyDescent="0.25">
      <c r="A1122" t="s">
        <v>1589</v>
      </c>
      <c r="B1122" s="227">
        <v>2785260000</v>
      </c>
    </row>
    <row r="1123" spans="1:2" x14ac:dyDescent="0.25">
      <c r="A1123" t="s">
        <v>1590</v>
      </c>
      <c r="B1123" s="227">
        <v>4414358000</v>
      </c>
    </row>
    <row r="1124" spans="1:2" x14ac:dyDescent="0.25">
      <c r="A1124" t="s">
        <v>1591</v>
      </c>
      <c r="B1124" s="227">
        <v>4990214000</v>
      </c>
    </row>
    <row r="1125" spans="1:2" x14ac:dyDescent="0.25">
      <c r="A1125" t="s">
        <v>1592</v>
      </c>
      <c r="B1125" s="227">
        <v>2999398000</v>
      </c>
    </row>
    <row r="1126" spans="1:2" x14ac:dyDescent="0.25">
      <c r="A1126" t="s">
        <v>1593</v>
      </c>
      <c r="B1126" s="227">
        <v>4330359000</v>
      </c>
    </row>
    <row r="1127" spans="1:2" x14ac:dyDescent="0.25">
      <c r="A1127" t="s">
        <v>1594</v>
      </c>
      <c r="B1127" s="227">
        <v>2999995000</v>
      </c>
    </row>
    <row r="1128" spans="1:2" x14ac:dyDescent="0.25">
      <c r="A1128" t="s">
        <v>1595</v>
      </c>
      <c r="B1128" s="227">
        <v>3000000000</v>
      </c>
    </row>
    <row r="1129" spans="1:2" x14ac:dyDescent="0.25">
      <c r="A1129" t="s">
        <v>1596</v>
      </c>
      <c r="B1129" s="227">
        <v>1489795000</v>
      </c>
    </row>
    <row r="1130" spans="1:2" x14ac:dyDescent="0.25">
      <c r="A1130" t="s">
        <v>1597</v>
      </c>
      <c r="B1130" s="227">
        <v>1652602000</v>
      </c>
    </row>
    <row r="1131" spans="1:2" x14ac:dyDescent="0.25">
      <c r="A1131" t="s">
        <v>1598</v>
      </c>
      <c r="B1131" s="227">
        <v>836409000</v>
      </c>
    </row>
    <row r="1132" spans="1:2" x14ac:dyDescent="0.25">
      <c r="A1132" t="s">
        <v>1599</v>
      </c>
      <c r="B1132" s="227">
        <v>546879000</v>
      </c>
    </row>
    <row r="1133" spans="1:2" x14ac:dyDescent="0.25">
      <c r="A1133" t="s">
        <v>1600</v>
      </c>
      <c r="B1133" s="227">
        <v>16580000</v>
      </c>
    </row>
    <row r="1134" spans="1:2" x14ac:dyDescent="0.25">
      <c r="A1134" t="s">
        <v>1601</v>
      </c>
      <c r="B1134" s="227">
        <v>2054350000</v>
      </c>
    </row>
    <row r="1135" spans="1:2" x14ac:dyDescent="0.25">
      <c r="A1135" t="s">
        <v>1602</v>
      </c>
      <c r="B1135" s="227">
        <v>2999714000</v>
      </c>
    </row>
    <row r="1136" spans="1:2" x14ac:dyDescent="0.25">
      <c r="A1136" t="s">
        <v>1603</v>
      </c>
      <c r="B1136" s="227">
        <v>2958285000</v>
      </c>
    </row>
    <row r="1137" spans="1:2" x14ac:dyDescent="0.25">
      <c r="A1137" t="s">
        <v>1604</v>
      </c>
      <c r="B1137" s="227">
        <v>835768000</v>
      </c>
    </row>
    <row r="1138" spans="1:2" x14ac:dyDescent="0.25">
      <c r="A1138" t="s">
        <v>1605</v>
      </c>
      <c r="B1138" s="227">
        <v>1235781000</v>
      </c>
    </row>
    <row r="1139" spans="1:2" x14ac:dyDescent="0.25">
      <c r="A1139" t="s">
        <v>1606</v>
      </c>
      <c r="B1139" s="227">
        <v>16300000</v>
      </c>
    </row>
    <row r="1140" spans="1:2" x14ac:dyDescent="0.25">
      <c r="A1140" t="s">
        <v>1607</v>
      </c>
      <c r="B1140" s="227">
        <v>811262000</v>
      </c>
    </row>
    <row r="1141" spans="1:2" x14ac:dyDescent="0.25">
      <c r="A1141" t="s">
        <v>1608</v>
      </c>
      <c r="B1141" s="227">
        <v>809663000</v>
      </c>
    </row>
    <row r="1142" spans="1:2" x14ac:dyDescent="0.25">
      <c r="A1142" t="s">
        <v>1609</v>
      </c>
      <c r="B1142" s="227">
        <v>1511775000</v>
      </c>
    </row>
    <row r="1143" spans="1:2" x14ac:dyDescent="0.25">
      <c r="A1143" t="s">
        <v>1610</v>
      </c>
      <c r="B1143" s="227">
        <v>1436720000</v>
      </c>
    </row>
    <row r="1144" spans="1:2" x14ac:dyDescent="0.25">
      <c r="A1144" t="s">
        <v>1611</v>
      </c>
      <c r="B1144" s="227">
        <v>149352000</v>
      </c>
    </row>
    <row r="1145" spans="1:2" x14ac:dyDescent="0.25">
      <c r="A1145" t="s">
        <v>1612</v>
      </c>
      <c r="B1145" s="227">
        <v>60377000</v>
      </c>
    </row>
    <row r="1146" spans="1:2" x14ac:dyDescent="0.25">
      <c r="A1146" t="s">
        <v>1613</v>
      </c>
      <c r="B1146" s="227">
        <v>346131000</v>
      </c>
    </row>
    <row r="1147" spans="1:2" x14ac:dyDescent="0.25">
      <c r="A1147" t="s">
        <v>1614</v>
      </c>
      <c r="B1147" s="227">
        <v>106187000</v>
      </c>
    </row>
    <row r="1148" spans="1:2" x14ac:dyDescent="0.25">
      <c r="A1148" t="s">
        <v>1615</v>
      </c>
      <c r="B1148" s="227">
        <v>446457000</v>
      </c>
    </row>
    <row r="1149" spans="1:2" x14ac:dyDescent="0.25">
      <c r="A1149" t="s">
        <v>1616</v>
      </c>
      <c r="B1149" s="227">
        <v>550129000</v>
      </c>
    </row>
    <row r="1150" spans="1:2" x14ac:dyDescent="0.25">
      <c r="A1150" t="s">
        <v>1617</v>
      </c>
      <c r="B1150" s="227">
        <v>1902233000</v>
      </c>
    </row>
    <row r="1151" spans="1:2" x14ac:dyDescent="0.25">
      <c r="A1151" t="s">
        <v>1618</v>
      </c>
      <c r="B1151" s="227">
        <v>752942000</v>
      </c>
    </row>
    <row r="1152" spans="1:2" x14ac:dyDescent="0.25">
      <c r="A1152" t="s">
        <v>1619</v>
      </c>
      <c r="B1152" s="227">
        <v>385219000</v>
      </c>
    </row>
    <row r="1153" spans="1:2" x14ac:dyDescent="0.25">
      <c r="A1153" t="s">
        <v>1620</v>
      </c>
      <c r="B1153" s="227">
        <v>171373000</v>
      </c>
    </row>
    <row r="1154" spans="1:2" x14ac:dyDescent="0.25">
      <c r="A1154" t="s">
        <v>1621</v>
      </c>
      <c r="B1154" s="227">
        <v>397172000</v>
      </c>
    </row>
    <row r="1155" spans="1:2" x14ac:dyDescent="0.25">
      <c r="A1155" t="s">
        <v>1622</v>
      </c>
      <c r="B1155" s="227">
        <v>411954000</v>
      </c>
    </row>
    <row r="1156" spans="1:2" x14ac:dyDescent="0.25">
      <c r="A1156" t="s">
        <v>1623</v>
      </c>
      <c r="B1156" s="227">
        <v>423937000</v>
      </c>
    </row>
    <row r="1157" spans="1:2" x14ac:dyDescent="0.25">
      <c r="A1157" t="s">
        <v>1624</v>
      </c>
      <c r="B1157" s="227">
        <v>375513000</v>
      </c>
    </row>
    <row r="1158" spans="1:2" x14ac:dyDescent="0.25">
      <c r="A1158" t="s">
        <v>1625</v>
      </c>
      <c r="B1158" s="227">
        <v>507578000</v>
      </c>
    </row>
    <row r="1159" spans="1:2" x14ac:dyDescent="0.25">
      <c r="A1159" t="s">
        <v>1626</v>
      </c>
      <c r="B1159" s="227">
        <v>184265000</v>
      </c>
    </row>
    <row r="1160" spans="1:2" x14ac:dyDescent="0.25">
      <c r="A1160" t="s">
        <v>1627</v>
      </c>
      <c r="B1160" s="227">
        <v>51740000</v>
      </c>
    </row>
    <row r="1161" spans="1:2" x14ac:dyDescent="0.25">
      <c r="A1161" t="s">
        <v>1628</v>
      </c>
      <c r="B1161" s="227">
        <v>76522000</v>
      </c>
    </row>
    <row r="1162" spans="1:2" x14ac:dyDescent="0.25">
      <c r="A1162" t="s">
        <v>1629</v>
      </c>
      <c r="B1162" s="227">
        <v>678726000</v>
      </c>
    </row>
    <row r="1163" spans="1:2" x14ac:dyDescent="0.25">
      <c r="A1163" t="s">
        <v>1630</v>
      </c>
      <c r="B1163" s="227">
        <v>1972125000</v>
      </c>
    </row>
    <row r="1164" spans="1:2" x14ac:dyDescent="0.25">
      <c r="A1164" t="s">
        <v>1631</v>
      </c>
      <c r="B1164" s="227">
        <v>1007772000</v>
      </c>
    </row>
    <row r="1165" spans="1:2" x14ac:dyDescent="0.25">
      <c r="A1165" t="s">
        <v>1632</v>
      </c>
      <c r="B1165" s="227">
        <v>229904000</v>
      </c>
    </row>
    <row r="1166" spans="1:2" x14ac:dyDescent="0.25">
      <c r="A1166" t="s">
        <v>1633</v>
      </c>
      <c r="B1166" s="227">
        <v>134678000</v>
      </c>
    </row>
    <row r="1167" spans="1:2" x14ac:dyDescent="0.25">
      <c r="A1167" t="s">
        <v>1634</v>
      </c>
      <c r="B1167" s="227">
        <v>2138306000</v>
      </c>
    </row>
    <row r="1168" spans="1:2" x14ac:dyDescent="0.25">
      <c r="A1168" t="s">
        <v>1635</v>
      </c>
      <c r="B1168" s="227">
        <v>10829000</v>
      </c>
    </row>
    <row r="1169" spans="1:2" x14ac:dyDescent="0.25">
      <c r="A1169" t="s">
        <v>1636</v>
      </c>
      <c r="B1169" s="227">
        <v>257974000</v>
      </c>
    </row>
    <row r="1170" spans="1:2" x14ac:dyDescent="0.25">
      <c r="A1170" t="s">
        <v>1637</v>
      </c>
      <c r="B1170" s="227">
        <v>633727000</v>
      </c>
    </row>
    <row r="1171" spans="1:2" x14ac:dyDescent="0.25">
      <c r="A1171" t="s">
        <v>1638</v>
      </c>
      <c r="B1171" s="227">
        <v>955613000</v>
      </c>
    </row>
    <row r="1172" spans="1:2" x14ac:dyDescent="0.25">
      <c r="A1172" t="s">
        <v>1639</v>
      </c>
      <c r="B1172" s="227">
        <v>827358000</v>
      </c>
    </row>
    <row r="1173" spans="1:2" x14ac:dyDescent="0.25">
      <c r="A1173" t="s">
        <v>1640</v>
      </c>
      <c r="B1173" s="227">
        <v>490512000</v>
      </c>
    </row>
    <row r="1174" spans="1:2" x14ac:dyDescent="0.25">
      <c r="A1174" t="s">
        <v>1641</v>
      </c>
      <c r="B1174" s="227">
        <v>57876000</v>
      </c>
    </row>
    <row r="1175" spans="1:2" x14ac:dyDescent="0.25">
      <c r="A1175" t="s">
        <v>1642</v>
      </c>
      <c r="B1175" s="227">
        <v>628518000</v>
      </c>
    </row>
    <row r="1176" spans="1:2" x14ac:dyDescent="0.25">
      <c r="A1176" t="s">
        <v>1643</v>
      </c>
      <c r="B1176" s="227">
        <v>189345000</v>
      </c>
    </row>
    <row r="1177" spans="1:2" x14ac:dyDescent="0.25">
      <c r="A1177" t="s">
        <v>1644</v>
      </c>
      <c r="B1177" s="227">
        <v>121042000</v>
      </c>
    </row>
    <row r="1178" spans="1:2" x14ac:dyDescent="0.25">
      <c r="A1178" t="s">
        <v>1645</v>
      </c>
      <c r="B1178" s="227">
        <v>71203000</v>
      </c>
    </row>
    <row r="1179" spans="1:2" x14ac:dyDescent="0.25">
      <c r="A1179" t="s">
        <v>1646</v>
      </c>
      <c r="B1179" s="227">
        <v>40992000</v>
      </c>
    </row>
    <row r="1180" spans="1:2" x14ac:dyDescent="0.25">
      <c r="A1180" t="s">
        <v>1647</v>
      </c>
      <c r="B1180" s="227">
        <v>563737000</v>
      </c>
    </row>
    <row r="1181" spans="1:2" x14ac:dyDescent="0.25">
      <c r="A1181" t="s">
        <v>1648</v>
      </c>
      <c r="B1181" s="227">
        <v>93615000</v>
      </c>
    </row>
    <row r="1182" spans="1:2" x14ac:dyDescent="0.25">
      <c r="A1182" t="s">
        <v>1649</v>
      </c>
      <c r="B1182" s="227">
        <v>163871000</v>
      </c>
    </row>
    <row r="1183" spans="1:2" x14ac:dyDescent="0.25">
      <c r="A1183" t="s">
        <v>1650</v>
      </c>
      <c r="B1183" s="227">
        <v>82140000</v>
      </c>
    </row>
    <row r="1184" spans="1:2" x14ac:dyDescent="0.25">
      <c r="A1184" t="s">
        <v>1651</v>
      </c>
      <c r="B1184" s="227">
        <v>136025000</v>
      </c>
    </row>
    <row r="1185" spans="1:2" x14ac:dyDescent="0.25">
      <c r="A1185" t="s">
        <v>1652</v>
      </c>
      <c r="B1185" s="227">
        <v>120347000</v>
      </c>
    </row>
    <row r="1186" spans="1:2" x14ac:dyDescent="0.25">
      <c r="A1186" t="s">
        <v>1653</v>
      </c>
      <c r="B1186" s="227">
        <v>163039000</v>
      </c>
    </row>
    <row r="1187" spans="1:2" x14ac:dyDescent="0.25">
      <c r="A1187" t="s">
        <v>1654</v>
      </c>
      <c r="B1187" s="227">
        <v>1754454000</v>
      </c>
    </row>
    <row r="1188" spans="1:2" x14ac:dyDescent="0.25">
      <c r="A1188" t="s">
        <v>1655</v>
      </c>
      <c r="B1188" s="227">
        <v>4366947000</v>
      </c>
    </row>
    <row r="1189" spans="1:2" x14ac:dyDescent="0.25">
      <c r="A1189" t="s">
        <v>1656</v>
      </c>
      <c r="B1189" s="227">
        <v>3999831000</v>
      </c>
    </row>
    <row r="1190" spans="1:2" x14ac:dyDescent="0.25">
      <c r="A1190" t="s">
        <v>1657</v>
      </c>
      <c r="B1190" s="227">
        <v>1999735000</v>
      </c>
    </row>
    <row r="1191" spans="1:2" x14ac:dyDescent="0.25">
      <c r="A1191" t="s">
        <v>1658</v>
      </c>
      <c r="B1191" s="227">
        <v>1998683000</v>
      </c>
    </row>
    <row r="1192" spans="1:2" x14ac:dyDescent="0.25">
      <c r="A1192" t="s">
        <v>1659</v>
      </c>
      <c r="B1192" s="227">
        <v>380307000</v>
      </c>
    </row>
    <row r="1193" spans="1:2" x14ac:dyDescent="0.25">
      <c r="A1193" t="s">
        <v>1660</v>
      </c>
      <c r="B1193" s="227">
        <v>307077000</v>
      </c>
    </row>
    <row r="1194" spans="1:2" x14ac:dyDescent="0.25">
      <c r="A1194" t="s">
        <v>1661</v>
      </c>
      <c r="B1194" s="227">
        <v>419949000</v>
      </c>
    </row>
    <row r="1195" spans="1:2" x14ac:dyDescent="0.25">
      <c r="A1195" t="s">
        <v>1662</v>
      </c>
      <c r="B1195" s="227">
        <v>41442000</v>
      </c>
    </row>
    <row r="1196" spans="1:2" x14ac:dyDescent="0.25">
      <c r="A1196" t="s">
        <v>1663</v>
      </c>
      <c r="B1196" s="227">
        <v>1302942000</v>
      </c>
    </row>
    <row r="1197" spans="1:2" x14ac:dyDescent="0.25">
      <c r="A1197" t="s">
        <v>1664</v>
      </c>
      <c r="B1197" s="227">
        <v>1799770000</v>
      </c>
    </row>
    <row r="1198" spans="1:2" x14ac:dyDescent="0.25">
      <c r="A1198" t="s">
        <v>1665</v>
      </c>
      <c r="B1198" s="227">
        <v>628101000</v>
      </c>
    </row>
    <row r="1199" spans="1:2" x14ac:dyDescent="0.25">
      <c r="A1199" t="s">
        <v>1666</v>
      </c>
      <c r="B1199" s="227">
        <v>674286000</v>
      </c>
    </row>
    <row r="1200" spans="1:2" x14ac:dyDescent="0.25">
      <c r="A1200" t="s">
        <v>1667</v>
      </c>
      <c r="B1200" s="227">
        <v>451527000</v>
      </c>
    </row>
    <row r="1201" spans="1:2" x14ac:dyDescent="0.25">
      <c r="A1201" t="s">
        <v>1668</v>
      </c>
      <c r="B1201" s="227">
        <v>491934000</v>
      </c>
    </row>
    <row r="1202" spans="1:2" x14ac:dyDescent="0.25">
      <c r="A1202" t="s">
        <v>1669</v>
      </c>
      <c r="B1202" s="227">
        <v>977768000</v>
      </c>
    </row>
    <row r="1203" spans="1:2" x14ac:dyDescent="0.25">
      <c r="A1203" t="s">
        <v>1670</v>
      </c>
      <c r="B1203" s="227">
        <v>947021000</v>
      </c>
    </row>
    <row r="1204" spans="1:2" x14ac:dyDescent="0.25">
      <c r="A1204" t="s">
        <v>1671</v>
      </c>
      <c r="B1204" s="227">
        <v>1824180000</v>
      </c>
    </row>
    <row r="1205" spans="1:2" x14ac:dyDescent="0.25">
      <c r="A1205" t="s">
        <v>1672</v>
      </c>
      <c r="B1205" s="227">
        <v>1998996000</v>
      </c>
    </row>
    <row r="1206" spans="1:2" x14ac:dyDescent="0.25">
      <c r="A1206" t="s">
        <v>1673</v>
      </c>
      <c r="B1206" s="227">
        <v>603105000</v>
      </c>
    </row>
    <row r="1207" spans="1:2" x14ac:dyDescent="0.25">
      <c r="A1207" t="s">
        <v>1674</v>
      </c>
      <c r="B1207" s="227">
        <v>999991000</v>
      </c>
    </row>
    <row r="1208" spans="1:2" x14ac:dyDescent="0.25">
      <c r="A1208" t="s">
        <v>1675</v>
      </c>
      <c r="B1208" s="227">
        <v>299911000</v>
      </c>
    </row>
    <row r="1209" spans="1:2" x14ac:dyDescent="0.25">
      <c r="A1209" t="s">
        <v>1676</v>
      </c>
      <c r="B1209" s="227">
        <v>636529000</v>
      </c>
    </row>
    <row r="1210" spans="1:2" x14ac:dyDescent="0.25">
      <c r="A1210" t="s">
        <v>1677</v>
      </c>
      <c r="B1210" s="227">
        <v>933198000</v>
      </c>
    </row>
    <row r="1211" spans="1:2" x14ac:dyDescent="0.25">
      <c r="A1211" t="s">
        <v>1678</v>
      </c>
      <c r="B1211" s="227">
        <v>659517000</v>
      </c>
    </row>
    <row r="1212" spans="1:2" x14ac:dyDescent="0.25">
      <c r="A1212" t="s">
        <v>1679</v>
      </c>
      <c r="B1212" s="227">
        <v>1583199000</v>
      </c>
    </row>
    <row r="1213" spans="1:2" x14ac:dyDescent="0.25">
      <c r="A1213" t="s">
        <v>1680</v>
      </c>
      <c r="B1213" s="227">
        <v>1042919000</v>
      </c>
    </row>
    <row r="1214" spans="1:2" x14ac:dyDescent="0.25">
      <c r="A1214" t="s">
        <v>1681</v>
      </c>
      <c r="B1214" s="227">
        <v>63358000</v>
      </c>
    </row>
    <row r="1215" spans="1:2" x14ac:dyDescent="0.25">
      <c r="A1215" t="s">
        <v>1682</v>
      </c>
      <c r="B1215" s="227">
        <v>816078000</v>
      </c>
    </row>
    <row r="1216" spans="1:2" x14ac:dyDescent="0.25">
      <c r="A1216" t="s">
        <v>1683</v>
      </c>
      <c r="B1216" s="227">
        <v>322325000</v>
      </c>
    </row>
    <row r="1217" spans="1:2" x14ac:dyDescent="0.25">
      <c r="A1217" t="s">
        <v>1684</v>
      </c>
      <c r="B1217" s="227">
        <v>1938717000</v>
      </c>
    </row>
    <row r="1218" spans="1:2" x14ac:dyDescent="0.25">
      <c r="A1218" t="s">
        <v>1685</v>
      </c>
      <c r="B1218" s="227">
        <v>2871734000</v>
      </c>
    </row>
    <row r="1219" spans="1:2" x14ac:dyDescent="0.25">
      <c r="A1219" t="s">
        <v>1686</v>
      </c>
      <c r="B1219" s="227">
        <v>166040000</v>
      </c>
    </row>
    <row r="1220" spans="1:2" x14ac:dyDescent="0.25">
      <c r="A1220" t="s">
        <v>1687</v>
      </c>
      <c r="B1220" s="227">
        <v>83625000</v>
      </c>
    </row>
    <row r="1221" spans="1:2" x14ac:dyDescent="0.25">
      <c r="A1221" t="s">
        <v>1688</v>
      </c>
      <c r="B1221" s="227">
        <v>40193000</v>
      </c>
    </row>
    <row r="1222" spans="1:2" x14ac:dyDescent="0.25">
      <c r="A1222" t="s">
        <v>1689</v>
      </c>
      <c r="B1222" s="227">
        <v>1981404000</v>
      </c>
    </row>
    <row r="1223" spans="1:2" x14ac:dyDescent="0.25">
      <c r="A1223" t="s">
        <v>1690</v>
      </c>
      <c r="B1223" s="227">
        <v>30089000</v>
      </c>
    </row>
    <row r="1224" spans="1:2" x14ac:dyDescent="0.25">
      <c r="A1224" t="s">
        <v>1691</v>
      </c>
      <c r="B1224" s="227">
        <v>621752000</v>
      </c>
    </row>
    <row r="1225" spans="1:2" x14ac:dyDescent="0.25">
      <c r="A1225" t="s">
        <v>1692</v>
      </c>
      <c r="B1225" s="227">
        <v>616902000</v>
      </c>
    </row>
    <row r="1226" spans="1:2" x14ac:dyDescent="0.25">
      <c r="A1226" t="s">
        <v>1693</v>
      </c>
      <c r="B1226" s="227">
        <v>530834000</v>
      </c>
    </row>
    <row r="1227" spans="1:2" x14ac:dyDescent="0.25">
      <c r="A1227" t="s">
        <v>1694</v>
      </c>
      <c r="B1227" s="227">
        <v>512691000</v>
      </c>
    </row>
    <row r="1228" spans="1:2" x14ac:dyDescent="0.25">
      <c r="A1228" t="s">
        <v>1695</v>
      </c>
      <c r="B1228" s="227">
        <v>976059000</v>
      </c>
    </row>
    <row r="1229" spans="1:2" x14ac:dyDescent="0.25">
      <c r="A1229" t="s">
        <v>1696</v>
      </c>
      <c r="B1229" s="227">
        <v>335818000</v>
      </c>
    </row>
    <row r="1230" spans="1:2" x14ac:dyDescent="0.25">
      <c r="A1230" t="s">
        <v>1697</v>
      </c>
      <c r="B1230" s="227">
        <v>276328000</v>
      </c>
    </row>
    <row r="1231" spans="1:2" x14ac:dyDescent="0.25">
      <c r="A1231" t="s">
        <v>1698</v>
      </c>
      <c r="B1231" s="227">
        <v>218597000</v>
      </c>
    </row>
    <row r="1232" spans="1:2" x14ac:dyDescent="0.25">
      <c r="A1232" t="s">
        <v>1699</v>
      </c>
      <c r="B1232" s="227">
        <v>132889000</v>
      </c>
    </row>
    <row r="1233" spans="1:2" x14ac:dyDescent="0.25">
      <c r="A1233" t="s">
        <v>1700</v>
      </c>
      <c r="B1233" s="227">
        <v>3998192000</v>
      </c>
    </row>
    <row r="1234" spans="1:2" x14ac:dyDescent="0.25">
      <c r="A1234" t="s">
        <v>1701</v>
      </c>
      <c r="B1234" s="227">
        <v>2435897000</v>
      </c>
    </row>
    <row r="1235" spans="1:2" x14ac:dyDescent="0.25">
      <c r="A1235" t="s">
        <v>1702</v>
      </c>
      <c r="B1235" s="227">
        <v>1622122000</v>
      </c>
    </row>
    <row r="1236" spans="1:2" x14ac:dyDescent="0.25">
      <c r="A1236" t="s">
        <v>1703</v>
      </c>
      <c r="B1236" s="227">
        <v>1950043000</v>
      </c>
    </row>
    <row r="1237" spans="1:2" x14ac:dyDescent="0.25">
      <c r="A1237" t="s">
        <v>1704</v>
      </c>
      <c r="B1237" s="227">
        <v>1627683000</v>
      </c>
    </row>
    <row r="1238" spans="1:2" x14ac:dyDescent="0.25">
      <c r="A1238" t="s">
        <v>1705</v>
      </c>
      <c r="B1238" s="227">
        <v>1489715000</v>
      </c>
    </row>
    <row r="1239" spans="1:2" x14ac:dyDescent="0.25">
      <c r="A1239" t="s">
        <v>1706</v>
      </c>
      <c r="B1239" s="227">
        <v>1184026000</v>
      </c>
    </row>
    <row r="1240" spans="1:2" x14ac:dyDescent="0.25">
      <c r="A1240" t="s">
        <v>1707</v>
      </c>
      <c r="B1240" s="227">
        <v>595403000</v>
      </c>
    </row>
    <row r="1241" spans="1:2" x14ac:dyDescent="0.25">
      <c r="A1241" t="s">
        <v>1708</v>
      </c>
      <c r="B1241" s="227">
        <v>229394000</v>
      </c>
    </row>
    <row r="1242" spans="1:2" x14ac:dyDescent="0.25">
      <c r="A1242" t="s">
        <v>1709</v>
      </c>
      <c r="B1242" s="227">
        <v>473703000</v>
      </c>
    </row>
    <row r="1243" spans="1:2" x14ac:dyDescent="0.25">
      <c r="A1243" t="s">
        <v>1710</v>
      </c>
      <c r="B1243" s="227">
        <v>473007000</v>
      </c>
    </row>
    <row r="1244" spans="1:2" x14ac:dyDescent="0.25">
      <c r="A1244" t="s">
        <v>1711</v>
      </c>
      <c r="B1244" s="227">
        <v>458881000</v>
      </c>
    </row>
    <row r="1245" spans="1:2" x14ac:dyDescent="0.25">
      <c r="A1245" t="s">
        <v>1712</v>
      </c>
      <c r="B1245" s="227">
        <v>338374000</v>
      </c>
    </row>
    <row r="1246" spans="1:2" x14ac:dyDescent="0.25">
      <c r="A1246" t="s">
        <v>1713</v>
      </c>
      <c r="B1246" s="227">
        <v>327922000</v>
      </c>
    </row>
    <row r="1247" spans="1:2" x14ac:dyDescent="0.25">
      <c r="A1247" t="s">
        <v>1714</v>
      </c>
      <c r="B1247" s="227">
        <v>221669000</v>
      </c>
    </row>
    <row r="1248" spans="1:2" x14ac:dyDescent="0.25">
      <c r="A1248" t="s">
        <v>1715</v>
      </c>
      <c r="B1248" s="227">
        <v>31528000</v>
      </c>
    </row>
    <row r="1249" spans="1:2" x14ac:dyDescent="0.25">
      <c r="A1249" t="s">
        <v>1716</v>
      </c>
      <c r="B1249" s="227">
        <v>341320000</v>
      </c>
    </row>
    <row r="1250" spans="1:2" x14ac:dyDescent="0.25">
      <c r="A1250" t="s">
        <v>1717</v>
      </c>
      <c r="B1250" s="227">
        <v>236576000</v>
      </c>
    </row>
    <row r="1251" spans="1:2" x14ac:dyDescent="0.25">
      <c r="A1251" t="s">
        <v>1718</v>
      </c>
      <c r="B1251" s="227">
        <v>427821000</v>
      </c>
    </row>
    <row r="1252" spans="1:2" x14ac:dyDescent="0.25">
      <c r="A1252" t="s">
        <v>1719</v>
      </c>
      <c r="B1252" s="227">
        <v>727095000</v>
      </c>
    </row>
    <row r="1253" spans="1:2" x14ac:dyDescent="0.25">
      <c r="A1253" t="s">
        <v>1720</v>
      </c>
      <c r="B1253" s="227">
        <v>131808000</v>
      </c>
    </row>
    <row r="1254" spans="1:2" x14ac:dyDescent="0.25">
      <c r="A1254" t="s">
        <v>1721</v>
      </c>
      <c r="B1254" s="227">
        <v>5571000</v>
      </c>
    </row>
    <row r="1255" spans="1:2" x14ac:dyDescent="0.25">
      <c r="A1255" t="s">
        <v>1722</v>
      </c>
      <c r="B1255" s="227">
        <v>1025651000</v>
      </c>
    </row>
    <row r="1256" spans="1:2" x14ac:dyDescent="0.25">
      <c r="A1256" t="s">
        <v>1723</v>
      </c>
      <c r="B1256" s="227">
        <v>517559000</v>
      </c>
    </row>
    <row r="1257" spans="1:2" x14ac:dyDescent="0.25">
      <c r="A1257" t="s">
        <v>1724</v>
      </c>
      <c r="B1257" s="227">
        <v>1945887000</v>
      </c>
    </row>
    <row r="1258" spans="1:2" x14ac:dyDescent="0.25">
      <c r="A1258" t="s">
        <v>1725</v>
      </c>
      <c r="B1258" s="227">
        <v>1496170000</v>
      </c>
    </row>
    <row r="1259" spans="1:2" x14ac:dyDescent="0.25">
      <c r="A1259" t="s">
        <v>1726</v>
      </c>
      <c r="B1259" s="227">
        <v>1288225000</v>
      </c>
    </row>
    <row r="1260" spans="1:2" x14ac:dyDescent="0.25">
      <c r="A1260" t="s">
        <v>1727</v>
      </c>
      <c r="B1260" s="227">
        <v>1499968000</v>
      </c>
    </row>
    <row r="1261" spans="1:2" x14ac:dyDescent="0.25">
      <c r="A1261" t="s">
        <v>1728</v>
      </c>
      <c r="B1261" s="227">
        <v>1499449000</v>
      </c>
    </row>
    <row r="1262" spans="1:2" x14ac:dyDescent="0.25">
      <c r="A1262" t="s">
        <v>1729</v>
      </c>
      <c r="B1262" s="227">
        <v>274584000</v>
      </c>
    </row>
    <row r="1263" spans="1:2" x14ac:dyDescent="0.25">
      <c r="A1263" t="s">
        <v>1730</v>
      </c>
      <c r="B1263" s="227">
        <v>39984000</v>
      </c>
    </row>
    <row r="1264" spans="1:2" x14ac:dyDescent="0.25">
      <c r="A1264" t="s">
        <v>1731</v>
      </c>
      <c r="B1264" s="227">
        <v>808809000</v>
      </c>
    </row>
    <row r="1265" spans="1:2" x14ac:dyDescent="0.25">
      <c r="A1265" t="s">
        <v>1732</v>
      </c>
      <c r="B1265" s="227">
        <v>722446000</v>
      </c>
    </row>
    <row r="1266" spans="1:2" x14ac:dyDescent="0.25">
      <c r="A1266" t="s">
        <v>1733</v>
      </c>
      <c r="B1266" s="227">
        <v>993793000</v>
      </c>
    </row>
    <row r="1267" spans="1:2" x14ac:dyDescent="0.25">
      <c r="A1267" t="s">
        <v>1734</v>
      </c>
      <c r="B1267" s="227">
        <v>480185000</v>
      </c>
    </row>
    <row r="1268" spans="1:2" x14ac:dyDescent="0.25">
      <c r="A1268" t="s">
        <v>1735</v>
      </c>
      <c r="B1268" s="227">
        <v>359005000</v>
      </c>
    </row>
    <row r="1269" spans="1:2" x14ac:dyDescent="0.25">
      <c r="A1269" t="s">
        <v>1736</v>
      </c>
      <c r="B1269" s="227">
        <v>205356000</v>
      </c>
    </row>
    <row r="1270" spans="1:2" x14ac:dyDescent="0.25">
      <c r="A1270" t="s">
        <v>1737</v>
      </c>
      <c r="B1270" s="227">
        <v>495532000</v>
      </c>
    </row>
    <row r="1271" spans="1:2" x14ac:dyDescent="0.25">
      <c r="A1271" t="s">
        <v>1738</v>
      </c>
      <c r="B1271" s="227">
        <v>294260000</v>
      </c>
    </row>
    <row r="1272" spans="1:2" x14ac:dyDescent="0.25">
      <c r="A1272" t="s">
        <v>1739</v>
      </c>
      <c r="B1272" s="227">
        <v>786844000</v>
      </c>
    </row>
    <row r="1273" spans="1:2" x14ac:dyDescent="0.25">
      <c r="A1273" t="s">
        <v>1740</v>
      </c>
      <c r="B1273" s="227">
        <v>234808000</v>
      </c>
    </row>
    <row r="1274" spans="1:2" x14ac:dyDescent="0.25">
      <c r="A1274" t="s">
        <v>1741</v>
      </c>
      <c r="B1274" s="227">
        <v>716100000</v>
      </c>
    </row>
    <row r="1275" spans="1:2" x14ac:dyDescent="0.25">
      <c r="A1275" t="s">
        <v>1742</v>
      </c>
      <c r="B1275" s="227">
        <v>542869000</v>
      </c>
    </row>
    <row r="1276" spans="1:2" x14ac:dyDescent="0.25">
      <c r="A1276" t="s">
        <v>1743</v>
      </c>
      <c r="B1276" s="227">
        <v>379581000</v>
      </c>
    </row>
    <row r="1277" spans="1:2" x14ac:dyDescent="0.25">
      <c r="A1277" t="s">
        <v>1744</v>
      </c>
      <c r="B1277" s="227">
        <v>159056000</v>
      </c>
    </row>
    <row r="1278" spans="1:2" x14ac:dyDescent="0.25">
      <c r="A1278" t="s">
        <v>1745</v>
      </c>
      <c r="B1278" s="227">
        <v>137221000</v>
      </c>
    </row>
    <row r="1279" spans="1:2" x14ac:dyDescent="0.25">
      <c r="A1279" t="s">
        <v>1746</v>
      </c>
      <c r="B1279" s="227">
        <v>463226000</v>
      </c>
    </row>
    <row r="1280" spans="1:2" x14ac:dyDescent="0.25">
      <c r="A1280" t="s">
        <v>1747</v>
      </c>
      <c r="B1280" s="227">
        <v>307572000</v>
      </c>
    </row>
    <row r="1281" spans="1:2" x14ac:dyDescent="0.25">
      <c r="A1281" t="s">
        <v>1748</v>
      </c>
      <c r="B1281" s="227">
        <v>640343000</v>
      </c>
    </row>
    <row r="1282" spans="1:2" x14ac:dyDescent="0.25">
      <c r="A1282" t="s">
        <v>1749</v>
      </c>
      <c r="B1282" s="227">
        <v>338685000</v>
      </c>
    </row>
    <row r="1283" spans="1:2" x14ac:dyDescent="0.25">
      <c r="A1283" t="s">
        <v>1750</v>
      </c>
      <c r="B1283" s="227">
        <v>502838000</v>
      </c>
    </row>
    <row r="1284" spans="1:2" x14ac:dyDescent="0.25">
      <c r="A1284" t="s">
        <v>1751</v>
      </c>
      <c r="B1284" s="227">
        <v>71480000</v>
      </c>
    </row>
    <row r="1285" spans="1:2" x14ac:dyDescent="0.25">
      <c r="A1285" t="s">
        <v>1752</v>
      </c>
      <c r="B1285" s="227">
        <v>354714000</v>
      </c>
    </row>
    <row r="1286" spans="1:2" x14ac:dyDescent="0.25">
      <c r="A1286" t="s">
        <v>1753</v>
      </c>
      <c r="B1286" s="227">
        <v>434236000</v>
      </c>
    </row>
    <row r="1287" spans="1:2" x14ac:dyDescent="0.25">
      <c r="A1287" t="s">
        <v>1754</v>
      </c>
      <c r="B1287" s="227">
        <v>63440000</v>
      </c>
    </row>
    <row r="1288" spans="1:2" x14ac:dyDescent="0.25">
      <c r="A1288" t="s">
        <v>1755</v>
      </c>
      <c r="B1288" s="227">
        <v>62780000</v>
      </c>
    </row>
    <row r="1289" spans="1:2" x14ac:dyDescent="0.25">
      <c r="A1289" t="s">
        <v>1756</v>
      </c>
      <c r="B1289" s="227">
        <v>216261000</v>
      </c>
    </row>
    <row r="1290" spans="1:2" x14ac:dyDescent="0.25">
      <c r="A1290" t="s">
        <v>1757</v>
      </c>
      <c r="B1290" s="227">
        <v>105362000</v>
      </c>
    </row>
    <row r="1291" spans="1:2" x14ac:dyDescent="0.25">
      <c r="A1291" t="s">
        <v>1758</v>
      </c>
      <c r="B1291" s="227">
        <v>160138000</v>
      </c>
    </row>
    <row r="1292" spans="1:2" x14ac:dyDescent="0.25">
      <c r="A1292" t="s">
        <v>1759</v>
      </c>
      <c r="B1292" s="227">
        <v>345562000</v>
      </c>
    </row>
    <row r="1293" spans="1:2" x14ac:dyDescent="0.25">
      <c r="A1293" t="s">
        <v>1760</v>
      </c>
      <c r="B1293" s="227">
        <v>494157000</v>
      </c>
    </row>
    <row r="1294" spans="1:2" x14ac:dyDescent="0.25">
      <c r="A1294" t="s">
        <v>1761</v>
      </c>
      <c r="B1294" s="227">
        <v>177939000</v>
      </c>
    </row>
    <row r="1295" spans="1:2" x14ac:dyDescent="0.25">
      <c r="A1295" t="s">
        <v>1762</v>
      </c>
      <c r="B1295" s="227">
        <v>1035633000</v>
      </c>
    </row>
    <row r="1296" spans="1:2" x14ac:dyDescent="0.25">
      <c r="A1296" t="s">
        <v>1763</v>
      </c>
      <c r="B1296" s="227">
        <v>331753000</v>
      </c>
    </row>
    <row r="1297" spans="1:2" x14ac:dyDescent="0.25">
      <c r="A1297" t="s">
        <v>1764</v>
      </c>
      <c r="B1297" s="227">
        <v>96696000</v>
      </c>
    </row>
    <row r="1298" spans="1:2" x14ac:dyDescent="0.25">
      <c r="A1298" t="s">
        <v>1765</v>
      </c>
      <c r="B1298" s="227">
        <v>138471000</v>
      </c>
    </row>
    <row r="1299" spans="1:2" x14ac:dyDescent="0.25">
      <c r="A1299" t="s">
        <v>1766</v>
      </c>
      <c r="B1299" s="227">
        <v>175389000</v>
      </c>
    </row>
    <row r="1300" spans="1:2" x14ac:dyDescent="0.25">
      <c r="A1300" t="s">
        <v>1767</v>
      </c>
      <c r="B1300" s="227">
        <v>12695000</v>
      </c>
    </row>
    <row r="1301" spans="1:2" x14ac:dyDescent="0.25">
      <c r="A1301" t="s">
        <v>1768</v>
      </c>
      <c r="B1301" s="227">
        <v>644776000</v>
      </c>
    </row>
    <row r="1302" spans="1:2" x14ac:dyDescent="0.25">
      <c r="A1302" t="s">
        <v>1769</v>
      </c>
      <c r="B1302" s="227">
        <v>734860000</v>
      </c>
    </row>
    <row r="1303" spans="1:2" x14ac:dyDescent="0.25">
      <c r="A1303" t="s">
        <v>1770</v>
      </c>
      <c r="B1303" s="227">
        <v>469938000</v>
      </c>
    </row>
    <row r="1304" spans="1:2" x14ac:dyDescent="0.25">
      <c r="A1304" t="s">
        <v>1771</v>
      </c>
      <c r="B1304" s="227">
        <v>532592000</v>
      </c>
    </row>
    <row r="1305" spans="1:2" x14ac:dyDescent="0.25">
      <c r="A1305" t="s">
        <v>1772</v>
      </c>
      <c r="B1305" s="227">
        <v>615952000</v>
      </c>
    </row>
    <row r="1306" spans="1:2" x14ac:dyDescent="0.25">
      <c r="A1306" t="s">
        <v>1773</v>
      </c>
      <c r="B1306" s="227">
        <v>626698000</v>
      </c>
    </row>
    <row r="1307" spans="1:2" x14ac:dyDescent="0.25">
      <c r="A1307" t="s">
        <v>1774</v>
      </c>
      <c r="B1307" s="227">
        <v>377611000</v>
      </c>
    </row>
    <row r="1308" spans="1:2" x14ac:dyDescent="0.25">
      <c r="A1308" t="s">
        <v>1775</v>
      </c>
      <c r="B1308" s="227">
        <v>424010000</v>
      </c>
    </row>
    <row r="1309" spans="1:2" x14ac:dyDescent="0.25">
      <c r="A1309" t="s">
        <v>1776</v>
      </c>
      <c r="B1309" s="227">
        <v>772751000</v>
      </c>
    </row>
    <row r="1310" spans="1:2" x14ac:dyDescent="0.25">
      <c r="A1310" t="s">
        <v>1777</v>
      </c>
      <c r="B1310" s="227">
        <v>588441000</v>
      </c>
    </row>
    <row r="1311" spans="1:2" x14ac:dyDescent="0.25">
      <c r="A1311" t="s">
        <v>1778</v>
      </c>
      <c r="B1311" s="227">
        <v>1344079000</v>
      </c>
    </row>
    <row r="1312" spans="1:2" x14ac:dyDescent="0.25">
      <c r="A1312" t="s">
        <v>1779</v>
      </c>
      <c r="B1312" s="227">
        <v>576803000</v>
      </c>
    </row>
    <row r="1313" spans="1:2" x14ac:dyDescent="0.25">
      <c r="A1313" t="s">
        <v>1780</v>
      </c>
      <c r="B1313" s="227">
        <v>633559000</v>
      </c>
    </row>
    <row r="1314" spans="1:2" x14ac:dyDescent="0.25">
      <c r="A1314" t="s">
        <v>1781</v>
      </c>
      <c r="B1314" s="227">
        <v>1999878000</v>
      </c>
    </row>
    <row r="1315" spans="1:2" x14ac:dyDescent="0.25">
      <c r="A1315" t="s">
        <v>1782</v>
      </c>
      <c r="B1315" s="227">
        <v>999709000</v>
      </c>
    </row>
    <row r="1316" spans="1:2" x14ac:dyDescent="0.25">
      <c r="A1316" t="s">
        <v>1783</v>
      </c>
      <c r="B1316" s="227">
        <v>1104825000</v>
      </c>
    </row>
    <row r="1317" spans="1:2" x14ac:dyDescent="0.25">
      <c r="A1317" t="s">
        <v>1784</v>
      </c>
      <c r="B1317" s="227">
        <v>2365597000</v>
      </c>
    </row>
    <row r="1318" spans="1:2" x14ac:dyDescent="0.25">
      <c r="A1318" t="s">
        <v>1785</v>
      </c>
      <c r="B1318" s="227">
        <v>1980662000</v>
      </c>
    </row>
    <row r="1319" spans="1:2" x14ac:dyDescent="0.25">
      <c r="A1319" t="s">
        <v>1786</v>
      </c>
      <c r="B1319" s="227">
        <v>1347783000</v>
      </c>
    </row>
    <row r="1320" spans="1:2" x14ac:dyDescent="0.25">
      <c r="A1320" t="s">
        <v>1787</v>
      </c>
      <c r="B1320" s="227">
        <v>600818000</v>
      </c>
    </row>
    <row r="1321" spans="1:2" x14ac:dyDescent="0.25">
      <c r="A1321" t="s">
        <v>1788</v>
      </c>
      <c r="B1321" s="227">
        <v>210503000</v>
      </c>
    </row>
    <row r="1322" spans="1:2" x14ac:dyDescent="0.25">
      <c r="A1322" t="s">
        <v>1789</v>
      </c>
      <c r="B1322" s="227">
        <v>360088000</v>
      </c>
    </row>
    <row r="1323" spans="1:2" x14ac:dyDescent="0.25">
      <c r="A1323" t="s">
        <v>1790</v>
      </c>
      <c r="B1323" s="227">
        <v>744152000</v>
      </c>
    </row>
    <row r="1324" spans="1:2" x14ac:dyDescent="0.25">
      <c r="A1324" t="s">
        <v>1791</v>
      </c>
      <c r="B1324" s="227">
        <v>294653000</v>
      </c>
    </row>
    <row r="1325" spans="1:2" x14ac:dyDescent="0.25">
      <c r="A1325" t="s">
        <v>1792</v>
      </c>
      <c r="B1325" s="227">
        <v>611626000</v>
      </c>
    </row>
    <row r="1326" spans="1:2" x14ac:dyDescent="0.25">
      <c r="A1326" t="s">
        <v>1793</v>
      </c>
      <c r="B1326" s="227">
        <v>1159132000</v>
      </c>
    </row>
    <row r="1327" spans="1:2" x14ac:dyDescent="0.25">
      <c r="A1327" t="s">
        <v>1794</v>
      </c>
      <c r="B1327" s="227">
        <v>626451000</v>
      </c>
    </row>
    <row r="1328" spans="1:2" x14ac:dyDescent="0.25">
      <c r="A1328" t="s">
        <v>1795</v>
      </c>
      <c r="B1328" s="227">
        <v>591383000</v>
      </c>
    </row>
    <row r="1329" spans="1:2" x14ac:dyDescent="0.25">
      <c r="A1329" t="s">
        <v>1796</v>
      </c>
      <c r="B1329" s="227">
        <v>79021000</v>
      </c>
    </row>
    <row r="1330" spans="1:2" x14ac:dyDescent="0.25">
      <c r="A1330" t="s">
        <v>1797</v>
      </c>
      <c r="B1330" s="227">
        <v>173078000</v>
      </c>
    </row>
    <row r="1331" spans="1:2" x14ac:dyDescent="0.25">
      <c r="A1331" t="s">
        <v>1798</v>
      </c>
      <c r="B1331" s="227">
        <v>982068000</v>
      </c>
    </row>
    <row r="1332" spans="1:2" x14ac:dyDescent="0.25">
      <c r="A1332" t="s">
        <v>1799</v>
      </c>
      <c r="B1332" s="227">
        <v>889568000</v>
      </c>
    </row>
    <row r="1333" spans="1:2" x14ac:dyDescent="0.25">
      <c r="A1333" t="s">
        <v>1800</v>
      </c>
      <c r="B1333" s="227">
        <v>1965929000</v>
      </c>
    </row>
    <row r="1334" spans="1:2" x14ac:dyDescent="0.25">
      <c r="A1334" t="s">
        <v>1801</v>
      </c>
      <c r="B1334" s="227">
        <v>58413000</v>
      </c>
    </row>
    <row r="1335" spans="1:2" x14ac:dyDescent="0.25">
      <c r="A1335" t="s">
        <v>1802</v>
      </c>
      <c r="B1335" s="227">
        <v>379865000</v>
      </c>
    </row>
    <row r="1336" spans="1:2" x14ac:dyDescent="0.25">
      <c r="A1336" t="s">
        <v>1803</v>
      </c>
      <c r="B1336" s="227">
        <v>834650000</v>
      </c>
    </row>
    <row r="1337" spans="1:2" x14ac:dyDescent="0.25">
      <c r="A1337" t="s">
        <v>1804</v>
      </c>
      <c r="B1337" s="227">
        <v>766098000</v>
      </c>
    </row>
    <row r="1338" spans="1:2" x14ac:dyDescent="0.25">
      <c r="A1338" t="s">
        <v>1805</v>
      </c>
      <c r="B1338" s="227">
        <v>104180000</v>
      </c>
    </row>
    <row r="1339" spans="1:2" x14ac:dyDescent="0.25">
      <c r="A1339" t="s">
        <v>1806</v>
      </c>
      <c r="B1339" s="227">
        <v>220858000</v>
      </c>
    </row>
    <row r="1340" spans="1:2" x14ac:dyDescent="0.25">
      <c r="A1340" t="s">
        <v>1807</v>
      </c>
      <c r="B1340" s="227">
        <v>288417000</v>
      </c>
    </row>
    <row r="1341" spans="1:2" x14ac:dyDescent="0.25">
      <c r="A1341" t="s">
        <v>1808</v>
      </c>
      <c r="B1341" s="227">
        <v>581763000</v>
      </c>
    </row>
    <row r="1342" spans="1:2" x14ac:dyDescent="0.25">
      <c r="A1342" t="s">
        <v>1809</v>
      </c>
      <c r="B1342" s="227">
        <v>193215000</v>
      </c>
    </row>
    <row r="1343" spans="1:2" x14ac:dyDescent="0.25">
      <c r="A1343" t="s">
        <v>1810</v>
      </c>
      <c r="B1343" s="227">
        <v>650611000</v>
      </c>
    </row>
    <row r="1344" spans="1:2" x14ac:dyDescent="0.25">
      <c r="A1344" t="s">
        <v>1811</v>
      </c>
      <c r="B1344" s="227">
        <v>512676000</v>
      </c>
    </row>
    <row r="1345" spans="1:2" x14ac:dyDescent="0.25">
      <c r="A1345" t="s">
        <v>1812</v>
      </c>
      <c r="B1345" s="227">
        <v>660159000</v>
      </c>
    </row>
    <row r="1346" spans="1:2" x14ac:dyDescent="0.25">
      <c r="A1346" t="s">
        <v>1813</v>
      </c>
      <c r="B1346" s="227">
        <v>472581000</v>
      </c>
    </row>
    <row r="1347" spans="1:2" x14ac:dyDescent="0.25">
      <c r="A1347" t="s">
        <v>1814</v>
      </c>
      <c r="B1347" s="227">
        <v>582300000</v>
      </c>
    </row>
    <row r="1348" spans="1:2" x14ac:dyDescent="0.25">
      <c r="A1348" t="s">
        <v>1815</v>
      </c>
      <c r="B1348" s="227">
        <v>147720000</v>
      </c>
    </row>
    <row r="1349" spans="1:2" x14ac:dyDescent="0.25">
      <c r="A1349" t="s">
        <v>1816</v>
      </c>
      <c r="B1349" s="227">
        <v>284434000</v>
      </c>
    </row>
    <row r="1350" spans="1:2" x14ac:dyDescent="0.25">
      <c r="A1350" t="s">
        <v>1817</v>
      </c>
      <c r="B1350" s="227">
        <v>942396000</v>
      </c>
    </row>
    <row r="1351" spans="1:2" x14ac:dyDescent="0.25">
      <c r="A1351" t="s">
        <v>1818</v>
      </c>
      <c r="B1351" s="227">
        <v>877904000</v>
      </c>
    </row>
    <row r="1352" spans="1:2" x14ac:dyDescent="0.25">
      <c r="A1352" t="s">
        <v>1819</v>
      </c>
      <c r="B1352" s="227">
        <v>1791823000</v>
      </c>
    </row>
    <row r="1353" spans="1:2" x14ac:dyDescent="0.25">
      <c r="A1353" t="s">
        <v>1820</v>
      </c>
      <c r="B1353" s="227">
        <v>332165000</v>
      </c>
    </row>
    <row r="1354" spans="1:2" x14ac:dyDescent="0.25">
      <c r="A1354" t="s">
        <v>1821</v>
      </c>
      <c r="B1354" s="227">
        <v>517416000</v>
      </c>
    </row>
    <row r="1355" spans="1:2" x14ac:dyDescent="0.25">
      <c r="A1355" t="s">
        <v>1822</v>
      </c>
      <c r="B1355" s="227">
        <v>587714000</v>
      </c>
    </row>
    <row r="1356" spans="1:2" x14ac:dyDescent="0.25">
      <c r="A1356" t="s">
        <v>1823</v>
      </c>
      <c r="B1356" s="227">
        <v>663984000</v>
      </c>
    </row>
    <row r="1357" spans="1:2" x14ac:dyDescent="0.25">
      <c r="A1357" t="s">
        <v>1824</v>
      </c>
      <c r="B1357" s="227">
        <v>127915000</v>
      </c>
    </row>
    <row r="1358" spans="1:2" x14ac:dyDescent="0.25">
      <c r="A1358" t="s">
        <v>1825</v>
      </c>
      <c r="B1358" s="227">
        <v>437268000</v>
      </c>
    </row>
    <row r="1359" spans="1:2" x14ac:dyDescent="0.25">
      <c r="A1359" t="s">
        <v>1826</v>
      </c>
      <c r="B1359" s="227">
        <v>393509000</v>
      </c>
    </row>
    <row r="1360" spans="1:2" x14ac:dyDescent="0.25">
      <c r="A1360" t="s">
        <v>1827</v>
      </c>
      <c r="B1360" s="227">
        <v>999902000</v>
      </c>
    </row>
    <row r="1361" spans="1:2" x14ac:dyDescent="0.25">
      <c r="A1361" t="s">
        <v>1828</v>
      </c>
      <c r="B1361" s="227">
        <v>431179000</v>
      </c>
    </row>
    <row r="1362" spans="1:2" x14ac:dyDescent="0.25">
      <c r="A1362" t="s">
        <v>1829</v>
      </c>
      <c r="B1362" s="227">
        <v>53301000</v>
      </c>
    </row>
    <row r="1363" spans="1:2" x14ac:dyDescent="0.25">
      <c r="A1363" t="s">
        <v>1830</v>
      </c>
      <c r="B1363" s="227">
        <v>920441000</v>
      </c>
    </row>
    <row r="1364" spans="1:2" x14ac:dyDescent="0.25">
      <c r="A1364" t="s">
        <v>1831</v>
      </c>
      <c r="B1364" s="227">
        <v>347033000</v>
      </c>
    </row>
    <row r="1365" spans="1:2" x14ac:dyDescent="0.25">
      <c r="A1365" t="s">
        <v>1832</v>
      </c>
      <c r="B1365" s="227">
        <v>565340000</v>
      </c>
    </row>
    <row r="1366" spans="1:2" x14ac:dyDescent="0.25">
      <c r="A1366" t="s">
        <v>1833</v>
      </c>
      <c r="B1366" s="227">
        <v>436179000</v>
      </c>
    </row>
    <row r="1367" spans="1:2" x14ac:dyDescent="0.25">
      <c r="A1367" t="s">
        <v>1834</v>
      </c>
      <c r="B1367" s="227">
        <v>198913000</v>
      </c>
    </row>
    <row r="1368" spans="1:2" x14ac:dyDescent="0.25">
      <c r="A1368" t="s">
        <v>1835</v>
      </c>
      <c r="B1368" s="227">
        <v>548283000</v>
      </c>
    </row>
    <row r="1369" spans="1:2" x14ac:dyDescent="0.25">
      <c r="A1369" t="s">
        <v>1836</v>
      </c>
      <c r="B1369" s="227">
        <v>273627000</v>
      </c>
    </row>
    <row r="1370" spans="1:2" x14ac:dyDescent="0.25">
      <c r="A1370" t="s">
        <v>1837</v>
      </c>
      <c r="B1370" s="227">
        <v>14275000</v>
      </c>
    </row>
    <row r="1371" spans="1:2" x14ac:dyDescent="0.25">
      <c r="A1371" t="s">
        <v>1838</v>
      </c>
      <c r="B1371" s="227">
        <v>13862000</v>
      </c>
    </row>
    <row r="1372" spans="1:2" x14ac:dyDescent="0.25">
      <c r="A1372" t="s">
        <v>1839</v>
      </c>
      <c r="B1372" s="227">
        <v>209360000</v>
      </c>
    </row>
    <row r="1373" spans="1:2" x14ac:dyDescent="0.25">
      <c r="A1373" t="s">
        <v>1840</v>
      </c>
      <c r="B1373" s="227">
        <v>53917000</v>
      </c>
    </row>
    <row r="1374" spans="1:2" x14ac:dyDescent="0.25">
      <c r="A1374" t="s">
        <v>1841</v>
      </c>
      <c r="B1374" s="227">
        <v>82761000</v>
      </c>
    </row>
    <row r="1375" spans="1:2" x14ac:dyDescent="0.25">
      <c r="A1375" t="s">
        <v>520</v>
      </c>
      <c r="B1375" s="227">
        <v>10000000000</v>
      </c>
    </row>
    <row r="1376" spans="1:2" x14ac:dyDescent="0.25">
      <c r="A1376" t="s">
        <v>1842</v>
      </c>
      <c r="B1376" s="227">
        <v>5000000000</v>
      </c>
    </row>
    <row r="1377" spans="1:2" x14ac:dyDescent="0.25">
      <c r="A1377" t="s">
        <v>1843</v>
      </c>
      <c r="B1377" s="227">
        <v>10000000000</v>
      </c>
    </row>
    <row r="1378" spans="1:2" x14ac:dyDescent="0.25">
      <c r="A1378" t="s">
        <v>555</v>
      </c>
      <c r="B1378" s="227">
        <v>10000000000</v>
      </c>
    </row>
    <row r="1379" spans="1:2" x14ac:dyDescent="0.25">
      <c r="A1379" t="s">
        <v>1844</v>
      </c>
      <c r="B1379" s="227">
        <v>600000000</v>
      </c>
    </row>
    <row r="1380" spans="1:2" x14ac:dyDescent="0.25">
      <c r="A1380" t="s">
        <v>1845</v>
      </c>
      <c r="B1380" s="227">
        <v>300000000</v>
      </c>
    </row>
    <row r="1381" spans="1:2" x14ac:dyDescent="0.25">
      <c r="A1381" t="s">
        <v>1846</v>
      </c>
      <c r="B1381" s="227">
        <v>110000000</v>
      </c>
    </row>
    <row r="1382" spans="1:2" x14ac:dyDescent="0.25">
      <c r="A1382" t="s">
        <v>1847</v>
      </c>
      <c r="B1382" s="227">
        <v>86001000</v>
      </c>
    </row>
    <row r="1383" spans="1:2" x14ac:dyDescent="0.25">
      <c r="A1383" t="s">
        <v>1848</v>
      </c>
      <c r="B1383" s="227">
        <v>135153000</v>
      </c>
    </row>
    <row r="1384" spans="1:2" x14ac:dyDescent="0.25">
      <c r="A1384" t="s">
        <v>1849</v>
      </c>
      <c r="B1384" s="227">
        <v>200000000</v>
      </c>
    </row>
    <row r="1385" spans="1:2" x14ac:dyDescent="0.25">
      <c r="A1385" t="s">
        <v>1850</v>
      </c>
      <c r="B1385" s="227">
        <v>4000000000</v>
      </c>
    </row>
    <row r="1386" spans="1:2" x14ac:dyDescent="0.25">
      <c r="A1386" t="s">
        <v>1851</v>
      </c>
      <c r="B1386" s="227">
        <v>5000000000</v>
      </c>
    </row>
    <row r="1387" spans="1:2" x14ac:dyDescent="0.25">
      <c r="A1387" t="s">
        <v>562</v>
      </c>
      <c r="B1387" s="227">
        <v>5000000000</v>
      </c>
    </row>
    <row r="1388" spans="1:2" x14ac:dyDescent="0.25">
      <c r="A1388" t="s">
        <v>561</v>
      </c>
      <c r="B1388" s="227">
        <v>4000000000</v>
      </c>
    </row>
    <row r="1389" spans="1:2" x14ac:dyDescent="0.25">
      <c r="A1389" t="s">
        <v>505</v>
      </c>
      <c r="B1389" s="227">
        <v>400000000</v>
      </c>
    </row>
    <row r="1390" spans="1:2" x14ac:dyDescent="0.25">
      <c r="A1390" t="s">
        <v>1852</v>
      </c>
      <c r="B1390" s="227">
        <v>291146000</v>
      </c>
    </row>
    <row r="1391" spans="1:2" x14ac:dyDescent="0.25">
      <c r="A1391" t="s">
        <v>1853</v>
      </c>
      <c r="B1391" s="227">
        <v>191666000</v>
      </c>
    </row>
    <row r="1392" spans="1:2" x14ac:dyDescent="0.25">
      <c r="A1392" t="s">
        <v>1854</v>
      </c>
      <c r="B1392" s="227">
        <v>456818000</v>
      </c>
    </row>
    <row r="1393" spans="1:2" x14ac:dyDescent="0.25">
      <c r="A1393" t="s">
        <v>1855</v>
      </c>
      <c r="B1393" s="227">
        <v>297471000</v>
      </c>
    </row>
    <row r="1394" spans="1:2" x14ac:dyDescent="0.25">
      <c r="A1394" t="s">
        <v>1856</v>
      </c>
      <c r="B1394" s="227">
        <v>347538000</v>
      </c>
    </row>
    <row r="1395" spans="1:2" x14ac:dyDescent="0.25">
      <c r="A1395" t="s">
        <v>1857</v>
      </c>
      <c r="B1395" s="227">
        <v>300703000</v>
      </c>
    </row>
    <row r="1396" spans="1:2" x14ac:dyDescent="0.25">
      <c r="A1396" t="s">
        <v>1858</v>
      </c>
      <c r="B1396" s="227">
        <v>256556000</v>
      </c>
    </row>
    <row r="1397" spans="1:2" x14ac:dyDescent="0.25">
      <c r="A1397" t="s">
        <v>1859</v>
      </c>
      <c r="B1397" s="227">
        <v>241366000</v>
      </c>
    </row>
    <row r="1398" spans="1:2" x14ac:dyDescent="0.25">
      <c r="A1398" t="s">
        <v>1860</v>
      </c>
      <c r="B1398" s="227">
        <v>48619000</v>
      </c>
    </row>
    <row r="1399" spans="1:2" x14ac:dyDescent="0.25">
      <c r="A1399" t="s">
        <v>1861</v>
      </c>
      <c r="B1399" s="227">
        <v>209245000</v>
      </c>
    </row>
    <row r="1400" spans="1:2" x14ac:dyDescent="0.25">
      <c r="A1400" t="s">
        <v>1862</v>
      </c>
      <c r="B1400" s="227">
        <v>318338000</v>
      </c>
    </row>
    <row r="1401" spans="1:2" x14ac:dyDescent="0.25">
      <c r="A1401" t="s">
        <v>1863</v>
      </c>
      <c r="B1401" s="227">
        <v>201607000</v>
      </c>
    </row>
    <row r="1402" spans="1:2" x14ac:dyDescent="0.25">
      <c r="A1402" t="s">
        <v>1864</v>
      </c>
      <c r="B1402" s="227">
        <v>270558000</v>
      </c>
    </row>
    <row r="1403" spans="1:2" x14ac:dyDescent="0.25">
      <c r="A1403" t="s">
        <v>1865</v>
      </c>
      <c r="B1403" s="227">
        <v>176044000</v>
      </c>
    </row>
    <row r="1404" spans="1:2" x14ac:dyDescent="0.25">
      <c r="A1404" t="s">
        <v>1866</v>
      </c>
      <c r="B1404" s="227">
        <v>240746000</v>
      </c>
    </row>
    <row r="1405" spans="1:2" x14ac:dyDescent="0.25">
      <c r="A1405" t="s">
        <v>1867</v>
      </c>
      <c r="B1405" s="227">
        <v>36212000</v>
      </c>
    </row>
    <row r="1406" spans="1:2" x14ac:dyDescent="0.25">
      <c r="A1406" t="s">
        <v>1868</v>
      </c>
      <c r="B1406" s="227">
        <v>519830000</v>
      </c>
    </row>
    <row r="1407" spans="1:2" x14ac:dyDescent="0.25">
      <c r="A1407" t="s">
        <v>1869</v>
      </c>
      <c r="B1407" s="227">
        <v>5000000000</v>
      </c>
    </row>
    <row r="1408" spans="1:2" x14ac:dyDescent="0.25">
      <c r="A1408" t="s">
        <v>1870</v>
      </c>
      <c r="B1408" s="227">
        <v>24000000000</v>
      </c>
    </row>
    <row r="1409" spans="1:2" x14ac:dyDescent="0.25">
      <c r="A1409" t="s">
        <v>1871</v>
      </c>
      <c r="B1409" s="227">
        <v>18000000000</v>
      </c>
    </row>
    <row r="1410" spans="1:2" x14ac:dyDescent="0.25">
      <c r="A1410" t="s">
        <v>1872</v>
      </c>
      <c r="B1410" s="227">
        <v>5000000000</v>
      </c>
    </row>
    <row r="1411" spans="1:2" x14ac:dyDescent="0.25">
      <c r="A1411" t="s">
        <v>1873</v>
      </c>
      <c r="B1411" s="227">
        <v>5000000000</v>
      </c>
    </row>
    <row r="1412" spans="1:2" x14ac:dyDescent="0.25">
      <c r="A1412" t="s">
        <v>1874</v>
      </c>
      <c r="B1412" s="227">
        <v>98786000</v>
      </c>
    </row>
    <row r="1413" spans="1:2" x14ac:dyDescent="0.25">
      <c r="A1413" t="s">
        <v>1875</v>
      </c>
      <c r="B1413" s="227">
        <v>79047000</v>
      </c>
    </row>
    <row r="1414" spans="1:2" x14ac:dyDescent="0.25">
      <c r="A1414" t="s">
        <v>1876</v>
      </c>
      <c r="B1414" s="227">
        <v>178628000</v>
      </c>
    </row>
    <row r="1415" spans="1:2" x14ac:dyDescent="0.25">
      <c r="A1415" t="s">
        <v>1877</v>
      </c>
      <c r="B1415" s="227">
        <v>115000000</v>
      </c>
    </row>
    <row r="1416" spans="1:2" x14ac:dyDescent="0.25">
      <c r="A1416" t="s">
        <v>1878</v>
      </c>
      <c r="B1416" s="227">
        <v>39375000</v>
      </c>
    </row>
    <row r="1417" spans="1:2" x14ac:dyDescent="0.25">
      <c r="A1417" t="s">
        <v>1879</v>
      </c>
      <c r="B1417" s="227">
        <v>57412000</v>
      </c>
    </row>
    <row r="1418" spans="1:2" x14ac:dyDescent="0.25">
      <c r="A1418" t="s">
        <v>1880</v>
      </c>
      <c r="B1418" s="227">
        <v>206937000</v>
      </c>
    </row>
    <row r="1419" spans="1:2" x14ac:dyDescent="0.25">
      <c r="A1419" t="s">
        <v>1881</v>
      </c>
      <c r="B1419" s="227">
        <v>120415000</v>
      </c>
    </row>
    <row r="1420" spans="1:2" x14ac:dyDescent="0.25">
      <c r="A1420" t="s">
        <v>1882</v>
      </c>
      <c r="B1420" s="227">
        <v>151631000</v>
      </c>
    </row>
    <row r="1421" spans="1:2" x14ac:dyDescent="0.25">
      <c r="A1421" t="s">
        <v>1883</v>
      </c>
      <c r="B1421" s="227">
        <v>153043000</v>
      </c>
    </row>
    <row r="1422" spans="1:2" x14ac:dyDescent="0.25">
      <c r="A1422" t="s">
        <v>1884</v>
      </c>
      <c r="B1422" s="227">
        <v>2000000000</v>
      </c>
    </row>
    <row r="1423" spans="1:2" x14ac:dyDescent="0.25">
      <c r="A1423" t="s">
        <v>1885</v>
      </c>
      <c r="B1423" s="227">
        <v>10000000000</v>
      </c>
    </row>
    <row r="1424" spans="1:2" x14ac:dyDescent="0.25">
      <c r="A1424" t="s">
        <v>1886</v>
      </c>
      <c r="B1424" s="227">
        <v>10000000000</v>
      </c>
    </row>
    <row r="1425" spans="1:2" x14ac:dyDescent="0.25">
      <c r="A1425" t="s">
        <v>1887</v>
      </c>
      <c r="B1425" s="227">
        <v>15000000000</v>
      </c>
    </row>
    <row r="1426" spans="1:2" x14ac:dyDescent="0.25">
      <c r="A1426" t="s">
        <v>1888</v>
      </c>
      <c r="B1426" s="227">
        <v>15000000000</v>
      </c>
    </row>
    <row r="1427" spans="1:2" x14ac:dyDescent="0.25">
      <c r="A1427" t="s">
        <v>1889</v>
      </c>
      <c r="B1427" s="227">
        <v>10000000000</v>
      </c>
    </row>
    <row r="1428" spans="1:2" x14ac:dyDescent="0.25">
      <c r="A1428" t="s">
        <v>1890</v>
      </c>
      <c r="B1428" s="227">
        <v>15000000000</v>
      </c>
    </row>
    <row r="1429" spans="1:2" x14ac:dyDescent="0.25">
      <c r="A1429" t="s">
        <v>517</v>
      </c>
      <c r="B1429" s="227">
        <v>7000000000</v>
      </c>
    </row>
    <row r="1430" spans="1:2" x14ac:dyDescent="0.25">
      <c r="A1430" t="s">
        <v>1891</v>
      </c>
      <c r="B1430" s="227">
        <v>5000000000</v>
      </c>
    </row>
    <row r="1431" spans="1:2" x14ac:dyDescent="0.25">
      <c r="A1431" t="s">
        <v>1892</v>
      </c>
      <c r="B1431" s="227">
        <v>68000000</v>
      </c>
    </row>
    <row r="1432" spans="1:2" x14ac:dyDescent="0.25">
      <c r="A1432" t="s">
        <v>1893</v>
      </c>
      <c r="B1432" s="227">
        <v>5000000000</v>
      </c>
    </row>
    <row r="1433" spans="1:2" x14ac:dyDescent="0.25">
      <c r="A1433" t="s">
        <v>1894</v>
      </c>
      <c r="B1433" s="227">
        <v>7000000000</v>
      </c>
    </row>
    <row r="1434" spans="1:2" x14ac:dyDescent="0.25">
      <c r="A1434" t="s">
        <v>1895</v>
      </c>
      <c r="B1434" s="227">
        <v>5000000000</v>
      </c>
    </row>
    <row r="1435" spans="1:2" x14ac:dyDescent="0.25">
      <c r="A1435" t="s">
        <v>554</v>
      </c>
      <c r="B1435" s="227">
        <v>5000000000</v>
      </c>
    </row>
    <row r="1436" spans="1:2" x14ac:dyDescent="0.25">
      <c r="A1436" t="s">
        <v>1896</v>
      </c>
      <c r="B1436" s="227">
        <v>5000000000</v>
      </c>
    </row>
    <row r="1437" spans="1:2" x14ac:dyDescent="0.25">
      <c r="A1437" t="s">
        <v>1897</v>
      </c>
      <c r="B1437" s="227">
        <v>18000000000</v>
      </c>
    </row>
    <row r="1438" spans="1:2" x14ac:dyDescent="0.25">
      <c r="A1438" t="s">
        <v>1898</v>
      </c>
      <c r="B1438" s="227">
        <v>5000000000</v>
      </c>
    </row>
    <row r="1439" spans="1:2" x14ac:dyDescent="0.25">
      <c r="A1439" t="s">
        <v>1899</v>
      </c>
      <c r="B1439" s="227">
        <v>20000000000</v>
      </c>
    </row>
    <row r="1440" spans="1:2" x14ac:dyDescent="0.25">
      <c r="A1440" t="s">
        <v>1900</v>
      </c>
      <c r="B1440" s="227">
        <v>7000000000</v>
      </c>
    </row>
    <row r="1441" spans="1:2" x14ac:dyDescent="0.25">
      <c r="A1441" t="s">
        <v>1901</v>
      </c>
      <c r="B1441" s="227">
        <v>42000000000</v>
      </c>
    </row>
    <row r="1442" spans="1:2" x14ac:dyDescent="0.25">
      <c r="A1442" t="s">
        <v>1902</v>
      </c>
      <c r="B1442" s="227">
        <v>60000000000</v>
      </c>
    </row>
    <row r="1443" spans="1:2" x14ac:dyDescent="0.25">
      <c r="A1443" t="s">
        <v>1903</v>
      </c>
      <c r="B1443" s="227">
        <v>3000000000</v>
      </c>
    </row>
    <row r="1444" spans="1:2" x14ac:dyDescent="0.25">
      <c r="A1444" t="s">
        <v>1904</v>
      </c>
      <c r="B1444" s="227">
        <v>25000000000</v>
      </c>
    </row>
    <row r="1445" spans="1:2" x14ac:dyDescent="0.25">
      <c r="A1445" t="s">
        <v>1905</v>
      </c>
      <c r="B1445" s="227">
        <v>35000000000</v>
      </c>
    </row>
    <row r="1446" spans="1:2" x14ac:dyDescent="0.25">
      <c r="A1446" t="s">
        <v>1906</v>
      </c>
      <c r="B1446" s="227">
        <v>5000000000</v>
      </c>
    </row>
    <row r="1447" spans="1:2" x14ac:dyDescent="0.25">
      <c r="A1447" t="s">
        <v>1907</v>
      </c>
      <c r="B1447" s="227">
        <v>10000000000</v>
      </c>
    </row>
    <row r="1448" spans="1:2" x14ac:dyDescent="0.25">
      <c r="A1448" t="s">
        <v>1908</v>
      </c>
      <c r="B1448" s="227">
        <v>15000000000</v>
      </c>
    </row>
    <row r="1449" spans="1:2" x14ac:dyDescent="0.25">
      <c r="A1449" t="s">
        <v>2038</v>
      </c>
      <c r="B1449" s="227">
        <v>1250000000</v>
      </c>
    </row>
    <row r="1450" spans="1:2" x14ac:dyDescent="0.25">
      <c r="A1450" t="s">
        <v>535</v>
      </c>
      <c r="B1450" s="227">
        <v>1250000000</v>
      </c>
    </row>
    <row r="1451" spans="1:2" x14ac:dyDescent="0.25">
      <c r="A1451" t="s">
        <v>2039</v>
      </c>
      <c r="B1451" s="227">
        <v>2500000000</v>
      </c>
    </row>
    <row r="1452" spans="1:2" x14ac:dyDescent="0.25">
      <c r="A1452" t="s">
        <v>2040</v>
      </c>
      <c r="B1452" s="227">
        <v>1000000000</v>
      </c>
    </row>
    <row r="1453" spans="1:2" x14ac:dyDescent="0.25">
      <c r="A1453" t="s">
        <v>2041</v>
      </c>
      <c r="B1453" s="227">
        <v>1750000000</v>
      </c>
    </row>
    <row r="1454" spans="1:2" x14ac:dyDescent="0.25">
      <c r="A1454" t="s">
        <v>2042</v>
      </c>
      <c r="B1454" s="227">
        <v>100000000000</v>
      </c>
    </row>
    <row r="1455" spans="1:2" x14ac:dyDescent="0.25">
      <c r="A1455" t="s">
        <v>2043</v>
      </c>
      <c r="B1455" s="227">
        <v>300000000000</v>
      </c>
    </row>
    <row r="1456" spans="1:2" x14ac:dyDescent="0.25">
      <c r="A1456" t="s">
        <v>2044</v>
      </c>
      <c r="B1456" s="227">
        <v>350000000000</v>
      </c>
    </row>
    <row r="1457" spans="1:2" x14ac:dyDescent="0.25">
      <c r="A1457" t="s">
        <v>2045</v>
      </c>
      <c r="B1457" s="227">
        <v>151476252000</v>
      </c>
    </row>
    <row r="1458" spans="1:2" x14ac:dyDescent="0.25">
      <c r="A1458" t="s">
        <v>2046</v>
      </c>
      <c r="B1458" s="227">
        <v>15000000000</v>
      </c>
    </row>
    <row r="1459" spans="1:2" x14ac:dyDescent="0.25">
      <c r="A1459" t="s">
        <v>2047</v>
      </c>
      <c r="B1459" s="227">
        <v>350000000000</v>
      </c>
    </row>
    <row r="1460" spans="1:2" x14ac:dyDescent="0.25">
      <c r="A1460" t="s">
        <v>2048</v>
      </c>
      <c r="B1460" s="227">
        <v>293579016000</v>
      </c>
    </row>
    <row r="1461" spans="1:2" x14ac:dyDescent="0.25">
      <c r="A1461" t="s">
        <v>2049</v>
      </c>
      <c r="B1461" s="227">
        <v>150000000000</v>
      </c>
    </row>
    <row r="1462" spans="1:2" x14ac:dyDescent="0.25">
      <c r="A1462" t="s">
        <v>2050</v>
      </c>
      <c r="B1462" s="227">
        <v>349999998000</v>
      </c>
    </row>
    <row r="1463" spans="1:2" x14ac:dyDescent="0.25">
      <c r="A1463" t="s">
        <v>2051</v>
      </c>
      <c r="B1463" s="227">
        <v>250000000000</v>
      </c>
    </row>
    <row r="1464" spans="1:2" x14ac:dyDescent="0.25">
      <c r="A1464" t="s">
        <v>2052</v>
      </c>
      <c r="B1464" s="227">
        <v>250000000000</v>
      </c>
    </row>
    <row r="1465" spans="1:2" x14ac:dyDescent="0.25">
      <c r="A1465" t="s">
        <v>2053</v>
      </c>
      <c r="B1465" s="227">
        <v>350000000000</v>
      </c>
    </row>
    <row r="1466" spans="1:2" x14ac:dyDescent="0.25">
      <c r="A1466" t="s">
        <v>2054</v>
      </c>
      <c r="B1466" s="227">
        <v>350000000000</v>
      </c>
    </row>
    <row r="1467" spans="1:2" x14ac:dyDescent="0.25">
      <c r="A1467" t="s">
        <v>2055</v>
      </c>
      <c r="B1467" s="227">
        <v>350000000000</v>
      </c>
    </row>
    <row r="1468" spans="1:2" x14ac:dyDescent="0.25">
      <c r="A1468" t="s">
        <v>2056</v>
      </c>
      <c r="B1468" s="227">
        <v>350000000000</v>
      </c>
    </row>
    <row r="1469" spans="1:2" x14ac:dyDescent="0.25">
      <c r="A1469" t="s">
        <v>2057</v>
      </c>
      <c r="B1469" s="227">
        <v>339422797000</v>
      </c>
    </row>
    <row r="1470" spans="1:2" x14ac:dyDescent="0.25">
      <c r="A1470" t="s">
        <v>2058</v>
      </c>
      <c r="B1470" s="227">
        <v>350000000000</v>
      </c>
    </row>
    <row r="1471" spans="1:2" x14ac:dyDescent="0.25">
      <c r="A1471" t="s">
        <v>2059</v>
      </c>
      <c r="B1471" s="227">
        <v>350000000000</v>
      </c>
    </row>
    <row r="1472" spans="1:2" x14ac:dyDescent="0.25">
      <c r="A1472" t="s">
        <v>2060</v>
      </c>
      <c r="B1472" s="227">
        <v>350000000000</v>
      </c>
    </row>
    <row r="1473" spans="1:2" x14ac:dyDescent="0.25">
      <c r="A1473" t="s">
        <v>2061</v>
      </c>
      <c r="B1473" s="227">
        <v>400000000000</v>
      </c>
    </row>
    <row r="1474" spans="1:2" x14ac:dyDescent="0.25">
      <c r="A1474" t="s">
        <v>2062</v>
      </c>
      <c r="B1474" s="227">
        <v>450000000000</v>
      </c>
    </row>
    <row r="1475" spans="1:2" x14ac:dyDescent="0.25">
      <c r="A1475" t="s">
        <v>2063</v>
      </c>
      <c r="B1475" s="227">
        <v>450000000000</v>
      </c>
    </row>
    <row r="1476" spans="1:2" x14ac:dyDescent="0.25">
      <c r="A1476" t="s">
        <v>2064</v>
      </c>
      <c r="B1476" s="227">
        <v>300000000000</v>
      </c>
    </row>
    <row r="1477" spans="1:2" x14ac:dyDescent="0.25">
      <c r="A1477" t="s">
        <v>2065</v>
      </c>
      <c r="B1477" s="227">
        <v>212636000000</v>
      </c>
    </row>
    <row r="1478" spans="1:2" x14ac:dyDescent="0.25">
      <c r="A1478" t="s">
        <v>564</v>
      </c>
      <c r="B1478" s="227">
        <v>450000000000</v>
      </c>
    </row>
    <row r="1479" spans="1:2" x14ac:dyDescent="0.25">
      <c r="A1479" t="s">
        <v>2066</v>
      </c>
      <c r="B1479" s="227">
        <v>450000000000</v>
      </c>
    </row>
    <row r="1480" spans="1:2" x14ac:dyDescent="0.25">
      <c r="A1480" t="s">
        <v>2067</v>
      </c>
      <c r="B1480" s="227">
        <v>496714266000</v>
      </c>
    </row>
    <row r="1481" spans="1:2" x14ac:dyDescent="0.25">
      <c r="A1481" t="s">
        <v>2068</v>
      </c>
      <c r="B1481" s="227">
        <v>483816503000</v>
      </c>
    </row>
    <row r="1482" spans="1:2" x14ac:dyDescent="0.25">
      <c r="A1482" t="s">
        <v>2069</v>
      </c>
      <c r="B1482" s="227">
        <v>500000000000</v>
      </c>
    </row>
    <row r="1483" spans="1:2" x14ac:dyDescent="0.25">
      <c r="A1483" t="s">
        <v>2070</v>
      </c>
      <c r="B1483" s="227">
        <v>224149624000</v>
      </c>
    </row>
    <row r="1484" spans="1:2" x14ac:dyDescent="0.25">
      <c r="A1484" t="s">
        <v>2071</v>
      </c>
      <c r="B1484" s="227">
        <v>106268821000</v>
      </c>
    </row>
    <row r="1485" spans="1:2" x14ac:dyDescent="0.25">
      <c r="A1485" t="s">
        <v>2072</v>
      </c>
      <c r="B1485" s="227">
        <v>345339874000</v>
      </c>
    </row>
    <row r="1486" spans="1:2" x14ac:dyDescent="0.25">
      <c r="A1486" t="s">
        <v>2073</v>
      </c>
      <c r="B1486" s="227">
        <v>155819641000</v>
      </c>
    </row>
    <row r="1487" spans="1:2" x14ac:dyDescent="0.25">
      <c r="A1487" t="s">
        <v>1990</v>
      </c>
      <c r="B1487" s="227">
        <v>390287001000</v>
      </c>
    </row>
    <row r="1488" spans="1:2" x14ac:dyDescent="0.25">
      <c r="A1488" t="s">
        <v>534</v>
      </c>
      <c r="B1488" s="227">
        <v>200000000000</v>
      </c>
    </row>
    <row r="1489" spans="1:2" x14ac:dyDescent="0.25">
      <c r="A1489" t="s">
        <v>1993</v>
      </c>
      <c r="B1489" s="227">
        <v>200000000000</v>
      </c>
    </row>
    <row r="1490" spans="1:2" x14ac:dyDescent="0.25">
      <c r="A1490" t="s">
        <v>1995</v>
      </c>
      <c r="B1490" s="227">
        <v>200000000000</v>
      </c>
    </row>
    <row r="1491" spans="1:2" x14ac:dyDescent="0.25">
      <c r="A1491" t="s">
        <v>1997</v>
      </c>
      <c r="B1491" s="227">
        <v>200000000000</v>
      </c>
    </row>
    <row r="1492" spans="1:2" x14ac:dyDescent="0.25">
      <c r="A1492" t="s">
        <v>2074</v>
      </c>
      <c r="B1492" s="227">
        <v>212415496000</v>
      </c>
    </row>
    <row r="1493" spans="1:2" x14ac:dyDescent="0.25">
      <c r="A1493" t="s">
        <v>2075</v>
      </c>
      <c r="B1493" s="227">
        <v>427467173000</v>
      </c>
    </row>
    <row r="1494" spans="1:2" x14ac:dyDescent="0.25">
      <c r="A1494" t="s">
        <v>2076</v>
      </c>
      <c r="B1494" s="227">
        <v>450000000000</v>
      </c>
    </row>
    <row r="1495" spans="1:2" x14ac:dyDescent="0.25">
      <c r="A1495" t="s">
        <v>2077</v>
      </c>
      <c r="B1495" s="227">
        <v>409796724000</v>
      </c>
    </row>
    <row r="1496" spans="1:2" x14ac:dyDescent="0.25">
      <c r="A1496" t="s">
        <v>2078</v>
      </c>
      <c r="B1496" s="227">
        <v>155059582000</v>
      </c>
    </row>
    <row r="1497" spans="1:2" x14ac:dyDescent="0.25">
      <c r="A1497" t="s">
        <v>2079</v>
      </c>
      <c r="B1497" s="227">
        <v>350607135000</v>
      </c>
    </row>
    <row r="1498" spans="1:2" x14ac:dyDescent="0.25">
      <c r="A1498" t="s">
        <v>2080</v>
      </c>
      <c r="B1498" s="227">
        <v>427747115000</v>
      </c>
    </row>
    <row r="1499" spans="1:2" x14ac:dyDescent="0.25">
      <c r="A1499" t="s">
        <v>2081</v>
      </c>
      <c r="B1499" s="227">
        <v>430194756000</v>
      </c>
    </row>
    <row r="1500" spans="1:2" x14ac:dyDescent="0.25">
      <c r="A1500" t="s">
        <v>2082</v>
      </c>
      <c r="B1500" s="227">
        <v>294544699000</v>
      </c>
    </row>
    <row r="1501" spans="1:2" x14ac:dyDescent="0.25">
      <c r="B1501" s="227">
        <v>50250000000</v>
      </c>
    </row>
    <row r="1502" spans="1:2" x14ac:dyDescent="0.25">
      <c r="B1502" s="227">
        <v>40000000000</v>
      </c>
    </row>
    <row r="1503" spans="1:2" x14ac:dyDescent="0.25">
      <c r="B1503" s="227">
        <v>30400000000</v>
      </c>
    </row>
    <row r="1504" spans="1:2" x14ac:dyDescent="0.25">
      <c r="B1504" s="227">
        <v>24000000000</v>
      </c>
    </row>
    <row r="1505" spans="1:2" x14ac:dyDescent="0.25">
      <c r="B1505" s="227">
        <v>52000000000</v>
      </c>
    </row>
    <row r="1506" spans="1:2" x14ac:dyDescent="0.25">
      <c r="B1506" s="227">
        <v>39000000000</v>
      </c>
    </row>
    <row r="1507" spans="1:2" x14ac:dyDescent="0.25">
      <c r="B1507" s="227">
        <v>33000000000</v>
      </c>
    </row>
    <row r="1508" spans="1:2" x14ac:dyDescent="0.25">
      <c r="B1508" s="227">
        <v>8000000000</v>
      </c>
    </row>
    <row r="1509" spans="1:2" x14ac:dyDescent="0.25">
      <c r="A1509" t="s">
        <v>2083</v>
      </c>
      <c r="B1509" s="227">
        <v>2404600000</v>
      </c>
    </row>
    <row r="1510" spans="1:2" x14ac:dyDescent="0.25">
      <c r="A1510" t="s">
        <v>2084</v>
      </c>
      <c r="B1510" s="227">
        <v>3000000000</v>
      </c>
    </row>
    <row r="1511" spans="1:2" x14ac:dyDescent="0.25">
      <c r="A1511" t="s">
        <v>2085</v>
      </c>
      <c r="B1511" s="227">
        <v>2000000000</v>
      </c>
    </row>
    <row r="1512" spans="1:2" x14ac:dyDescent="0.25">
      <c r="A1512" t="s">
        <v>2086</v>
      </c>
      <c r="B1512" s="227">
        <v>3000000000</v>
      </c>
    </row>
    <row r="1513" spans="1:2" x14ac:dyDescent="0.25">
      <c r="A1513" t="s">
        <v>2087</v>
      </c>
      <c r="B1513" s="227">
        <v>3000000000</v>
      </c>
    </row>
    <row r="1514" spans="1:2" x14ac:dyDescent="0.25">
      <c r="A1514" t="s">
        <v>2088</v>
      </c>
      <c r="B1514" s="227">
        <v>30000000000</v>
      </c>
    </row>
    <row r="1515" spans="1:2" x14ac:dyDescent="0.25">
      <c r="A1515" t="s">
        <v>2089</v>
      </c>
      <c r="B1515" s="227">
        <v>40000000000</v>
      </c>
    </row>
    <row r="1516" spans="1:2" x14ac:dyDescent="0.25">
      <c r="A1516" t="s">
        <v>2090</v>
      </c>
      <c r="B1516" s="227">
        <v>128974521000</v>
      </c>
    </row>
    <row r="1517" spans="1:2" x14ac:dyDescent="0.25">
      <c r="A1517" t="s">
        <v>2091</v>
      </c>
      <c r="B1517" s="227">
        <v>117213255000</v>
      </c>
    </row>
    <row r="1518" spans="1:2" x14ac:dyDescent="0.25">
      <c r="A1518" t="s">
        <v>2092</v>
      </c>
      <c r="B1518" s="227">
        <v>28222707000</v>
      </c>
    </row>
    <row r="1519" spans="1:2" x14ac:dyDescent="0.25">
      <c r="A1519" t="s">
        <v>2093</v>
      </c>
      <c r="B1519" s="227">
        <v>295000000000</v>
      </c>
    </row>
    <row r="1520" spans="1:2" x14ac:dyDescent="0.25">
      <c r="A1520" t="s">
        <v>2094</v>
      </c>
      <c r="B1520" s="227">
        <v>4000000000</v>
      </c>
    </row>
    <row r="1521" spans="1:2" x14ac:dyDescent="0.25">
      <c r="A1521" t="s">
        <v>2095</v>
      </c>
      <c r="B1521" s="227">
        <v>7000000000</v>
      </c>
    </row>
    <row r="1522" spans="1:2" x14ac:dyDescent="0.25">
      <c r="A1522" t="s">
        <v>2096</v>
      </c>
      <c r="B1522" s="227">
        <v>3000000000</v>
      </c>
    </row>
    <row r="1523" spans="1:2" x14ac:dyDescent="0.25">
      <c r="A1523" t="s">
        <v>2097</v>
      </c>
      <c r="B1523" s="227">
        <v>1500000000</v>
      </c>
    </row>
    <row r="1524" spans="1:2" x14ac:dyDescent="0.25">
      <c r="A1524" t="s">
        <v>2098</v>
      </c>
      <c r="B1524" s="227">
        <v>150000000000</v>
      </c>
    </row>
    <row r="1525" spans="1:2" x14ac:dyDescent="0.25">
      <c r="A1525" t="s">
        <v>563</v>
      </c>
      <c r="B1525" s="227">
        <v>250000000000</v>
      </c>
    </row>
    <row r="1526" spans="1:2" x14ac:dyDescent="0.25">
      <c r="A1526" t="s">
        <v>2099</v>
      </c>
      <c r="B1526" s="227">
        <v>219049757955</v>
      </c>
    </row>
    <row r="1527" spans="1:2" x14ac:dyDescent="0.25">
      <c r="A1527" t="s">
        <v>2100</v>
      </c>
      <c r="B1527" s="227">
        <v>20123795000</v>
      </c>
    </row>
    <row r="1528" spans="1:2" x14ac:dyDescent="0.25">
      <c r="A1528" t="s">
        <v>2101</v>
      </c>
      <c r="B1528" s="227">
        <v>7571637000</v>
      </c>
    </row>
    <row r="1529" spans="1:2" x14ac:dyDescent="0.25">
      <c r="A1529" t="s">
        <v>2102</v>
      </c>
      <c r="B1529" s="227">
        <v>5799552000</v>
      </c>
    </row>
    <row r="1530" spans="1:2" x14ac:dyDescent="0.25">
      <c r="A1530" t="s">
        <v>2103</v>
      </c>
      <c r="B1530" s="227">
        <v>11340355000</v>
      </c>
    </row>
    <row r="1531" spans="1:2" x14ac:dyDescent="0.25">
      <c r="A1531" t="s">
        <v>2104</v>
      </c>
      <c r="B1531" s="227">
        <v>11409669000</v>
      </c>
    </row>
    <row r="1532" spans="1:2" x14ac:dyDescent="0.25">
      <c r="A1532" t="s">
        <v>2105</v>
      </c>
      <c r="B1532" s="227">
        <v>5509918000</v>
      </c>
    </row>
    <row r="1533" spans="1:2" x14ac:dyDescent="0.25">
      <c r="A1533" t="s">
        <v>2106</v>
      </c>
      <c r="B1533" s="227">
        <v>21218176656</v>
      </c>
    </row>
    <row r="1534" spans="1:2" x14ac:dyDescent="0.25">
      <c r="B1534" s="227">
        <v>17500000</v>
      </c>
    </row>
    <row r="1535" spans="1:2" x14ac:dyDescent="0.25">
      <c r="A1535" t="s">
        <v>603</v>
      </c>
      <c r="B1535" s="227">
        <v>49999827000</v>
      </c>
    </row>
    <row r="1536" spans="1:2" x14ac:dyDescent="0.25">
      <c r="A1536" t="s">
        <v>541</v>
      </c>
      <c r="B1536" s="227">
        <v>48197806000</v>
      </c>
    </row>
    <row r="1537" spans="1:2" x14ac:dyDescent="0.25">
      <c r="A1537" t="s">
        <v>604</v>
      </c>
      <c r="B1537" s="227">
        <v>7557011000</v>
      </c>
    </row>
    <row r="1538" spans="1:2" x14ac:dyDescent="0.25">
      <c r="A1538" t="s">
        <v>605</v>
      </c>
      <c r="B1538" s="227">
        <v>4751314000</v>
      </c>
    </row>
    <row r="1539" spans="1:2" x14ac:dyDescent="0.25">
      <c r="A1539" t="s">
        <v>606</v>
      </c>
      <c r="B1539" s="227">
        <v>6187764000</v>
      </c>
    </row>
    <row r="1540" spans="1:2" x14ac:dyDescent="0.25">
      <c r="A1540" t="s">
        <v>542</v>
      </c>
      <c r="B1540" s="227">
        <v>74263788000</v>
      </c>
    </row>
    <row r="1541" spans="1:2" x14ac:dyDescent="0.25">
      <c r="A1541" t="s">
        <v>607</v>
      </c>
      <c r="B1541" s="227">
        <v>46088517000</v>
      </c>
    </row>
    <row r="1542" spans="1:2" x14ac:dyDescent="0.25">
      <c r="A1542" t="s">
        <v>547</v>
      </c>
      <c r="B1542" s="227">
        <v>1961303530</v>
      </c>
    </row>
    <row r="1543" spans="1:2" x14ac:dyDescent="0.25">
      <c r="A1543" t="s">
        <v>543</v>
      </c>
      <c r="B1543" s="227">
        <v>72973525000</v>
      </c>
    </row>
    <row r="1544" spans="1:2" x14ac:dyDescent="0.25">
      <c r="A1544" t="s">
        <v>608</v>
      </c>
      <c r="B1544" s="227">
        <v>2108581000</v>
      </c>
    </row>
    <row r="1545" spans="1:2" x14ac:dyDescent="0.25">
      <c r="A1545" t="s">
        <v>544</v>
      </c>
      <c r="B1545" s="227">
        <v>95652798000</v>
      </c>
    </row>
    <row r="1546" spans="1:2" x14ac:dyDescent="0.25">
      <c r="A1546" t="s">
        <v>609</v>
      </c>
      <c r="B1546" s="227">
        <v>4923727000</v>
      </c>
    </row>
    <row r="1547" spans="1:2" x14ac:dyDescent="0.25">
      <c r="A1547" t="s">
        <v>610</v>
      </c>
      <c r="B1547" s="227">
        <v>24085632000</v>
      </c>
    </row>
    <row r="1548" spans="1:2" x14ac:dyDescent="0.25">
      <c r="A1548" t="s">
        <v>611</v>
      </c>
      <c r="B1548" s="227">
        <v>96608082000</v>
      </c>
    </row>
    <row r="1549" spans="1:2" x14ac:dyDescent="0.25">
      <c r="A1549" t="s">
        <v>612</v>
      </c>
      <c r="B1549" s="227">
        <v>6652643000</v>
      </c>
    </row>
    <row r="1550" spans="1:2" x14ac:dyDescent="0.25">
      <c r="A1550" t="s">
        <v>613</v>
      </c>
      <c r="B1550" s="227">
        <v>16252739000</v>
      </c>
    </row>
    <row r="1551" spans="1:2" x14ac:dyDescent="0.25">
      <c r="A1551" t="s">
        <v>614</v>
      </c>
      <c r="B1551" s="227">
        <v>1035600000</v>
      </c>
    </row>
    <row r="1552" spans="1:2" x14ac:dyDescent="0.25">
      <c r="A1552" t="s">
        <v>615</v>
      </c>
      <c r="B1552" s="227">
        <v>7244692000</v>
      </c>
    </row>
    <row r="1553" spans="1:2" x14ac:dyDescent="0.25">
      <c r="A1553" t="s">
        <v>616</v>
      </c>
      <c r="B1553" s="227">
        <v>14018879000</v>
      </c>
    </row>
    <row r="1554" spans="1:2" x14ac:dyDescent="0.25">
      <c r="A1554" t="s">
        <v>617</v>
      </c>
      <c r="B1554" s="227">
        <v>1384767000</v>
      </c>
    </row>
    <row r="1555" spans="1:2" x14ac:dyDescent="0.25">
      <c r="A1555" t="s">
        <v>618</v>
      </c>
      <c r="B1555" s="227">
        <v>1957905000</v>
      </c>
    </row>
    <row r="1556" spans="1:2" x14ac:dyDescent="0.25">
      <c r="A1556" t="s">
        <v>619</v>
      </c>
      <c r="B1556" s="227">
        <v>2663462000</v>
      </c>
    </row>
    <row r="1557" spans="1:2" x14ac:dyDescent="0.25">
      <c r="A1557" t="s">
        <v>620</v>
      </c>
      <c r="B1557" s="227">
        <v>7207044000</v>
      </c>
    </row>
    <row r="1558" spans="1:2" x14ac:dyDescent="0.25">
      <c r="A1558" t="s">
        <v>621</v>
      </c>
      <c r="B1558" s="227">
        <v>5825188000</v>
      </c>
    </row>
    <row r="1559" spans="1:2" x14ac:dyDescent="0.25">
      <c r="A1559" t="s">
        <v>622</v>
      </c>
      <c r="B1559" s="227">
        <v>10206258000</v>
      </c>
    </row>
    <row r="1560" spans="1:2" x14ac:dyDescent="0.25">
      <c r="A1560" t="s">
        <v>623</v>
      </c>
      <c r="B1560" s="227">
        <v>16540117000</v>
      </c>
    </row>
    <row r="1561" spans="1:2" x14ac:dyDescent="0.25">
      <c r="A1561" t="s">
        <v>548</v>
      </c>
      <c r="B1561" s="227">
        <v>191455712000</v>
      </c>
    </row>
    <row r="1562" spans="1:2" x14ac:dyDescent="0.25">
      <c r="A1562" t="s">
        <v>624</v>
      </c>
      <c r="B1562" s="227">
        <v>49087016000</v>
      </c>
    </row>
    <row r="1563" spans="1:2" x14ac:dyDescent="0.25">
      <c r="A1563" t="s">
        <v>625</v>
      </c>
      <c r="B1563" s="227">
        <v>11252259000</v>
      </c>
    </row>
    <row r="1564" spans="1:2" x14ac:dyDescent="0.25">
      <c r="A1564" t="s">
        <v>626</v>
      </c>
      <c r="B1564" s="227">
        <v>4742319000</v>
      </c>
    </row>
    <row r="1565" spans="1:2" x14ac:dyDescent="0.25">
      <c r="A1565" t="s">
        <v>627</v>
      </c>
      <c r="B1565" s="227">
        <v>9749207000</v>
      </c>
    </row>
    <row r="1566" spans="1:2" x14ac:dyDescent="0.25">
      <c r="A1566" t="s">
        <v>628</v>
      </c>
      <c r="B1566" s="227">
        <v>3087641000</v>
      </c>
    </row>
    <row r="1567" spans="1:2" x14ac:dyDescent="0.25">
      <c r="A1567" t="s">
        <v>629</v>
      </c>
      <c r="B1567" s="227">
        <v>45718936000</v>
      </c>
    </row>
    <row r="1568" spans="1:2" x14ac:dyDescent="0.25">
      <c r="A1568" t="s">
        <v>581</v>
      </c>
      <c r="B1568" s="227">
        <v>15000000000</v>
      </c>
    </row>
    <row r="1569" spans="1:2" x14ac:dyDescent="0.25">
      <c r="A1569" t="s">
        <v>582</v>
      </c>
      <c r="B1569" s="227">
        <v>15000000000</v>
      </c>
    </row>
    <row r="1570" spans="1:2" x14ac:dyDescent="0.25">
      <c r="A1570" t="s">
        <v>583</v>
      </c>
      <c r="B1570" s="227">
        <v>15000000000</v>
      </c>
    </row>
    <row r="1571" spans="1:2" x14ac:dyDescent="0.25">
      <c r="A1571" t="s">
        <v>584</v>
      </c>
      <c r="B1571" s="227">
        <v>25000000000</v>
      </c>
    </row>
    <row r="1572" spans="1:2" x14ac:dyDescent="0.25">
      <c r="A1572" t="s">
        <v>585</v>
      </c>
      <c r="B1572" s="227">
        <v>10000000000</v>
      </c>
    </row>
    <row r="1573" spans="1:2" x14ac:dyDescent="0.25">
      <c r="A1573" t="s">
        <v>586</v>
      </c>
      <c r="B1573" s="227">
        <v>25000000000</v>
      </c>
    </row>
    <row r="1574" spans="1:2" x14ac:dyDescent="0.25">
      <c r="A1574" t="s">
        <v>587</v>
      </c>
      <c r="B1574" s="227">
        <v>20000000000</v>
      </c>
    </row>
    <row r="1575" spans="1:2" x14ac:dyDescent="0.25">
      <c r="A1575" t="s">
        <v>588</v>
      </c>
      <c r="B1575" s="227">
        <v>15000000000</v>
      </c>
    </row>
    <row r="1576" spans="1:2" x14ac:dyDescent="0.25">
      <c r="A1576" t="s">
        <v>589</v>
      </c>
      <c r="B1576" s="227">
        <v>7000000000</v>
      </c>
    </row>
    <row r="1577" spans="1:2" x14ac:dyDescent="0.25">
      <c r="A1577" t="s">
        <v>590</v>
      </c>
      <c r="B1577" s="227">
        <v>7000000000</v>
      </c>
    </row>
    <row r="1578" spans="1:2" x14ac:dyDescent="0.25">
      <c r="A1578" t="s">
        <v>591</v>
      </c>
      <c r="B1578" s="227">
        <v>8000000000</v>
      </c>
    </row>
    <row r="1579" spans="1:2" x14ac:dyDescent="0.25">
      <c r="A1579" t="s">
        <v>592</v>
      </c>
      <c r="B1579" s="227">
        <v>7000000000</v>
      </c>
    </row>
    <row r="1580" spans="1:2" x14ac:dyDescent="0.25">
      <c r="A1580" t="s">
        <v>593</v>
      </c>
      <c r="B1580" s="227">
        <v>6000000000</v>
      </c>
    </row>
    <row r="1581" spans="1:2" x14ac:dyDescent="0.25">
      <c r="A1581" t="s">
        <v>594</v>
      </c>
      <c r="B1581" s="227">
        <v>6000000000</v>
      </c>
    </row>
    <row r="1582" spans="1:2" x14ac:dyDescent="0.25">
      <c r="A1582" t="s">
        <v>595</v>
      </c>
      <c r="B1582" s="227">
        <v>6000000000</v>
      </c>
    </row>
    <row r="1583" spans="1:2" x14ac:dyDescent="0.25">
      <c r="A1583" t="s">
        <v>596</v>
      </c>
      <c r="B1583" s="227">
        <v>6000000000</v>
      </c>
    </row>
    <row r="1584" spans="1:2" x14ac:dyDescent="0.25">
      <c r="A1584" t="s">
        <v>597</v>
      </c>
      <c r="B1584" s="227">
        <v>7000000000</v>
      </c>
    </row>
    <row r="1585" spans="1:2" x14ac:dyDescent="0.25">
      <c r="A1585" t="s">
        <v>598</v>
      </c>
      <c r="B1585" s="227">
        <v>5000000000</v>
      </c>
    </row>
    <row r="1586" spans="1:2" x14ac:dyDescent="0.25">
      <c r="A1586" t="s">
        <v>599</v>
      </c>
      <c r="B1586" s="227">
        <v>5000000000</v>
      </c>
    </row>
    <row r="1587" spans="1:2" x14ac:dyDescent="0.25">
      <c r="A1587" t="s">
        <v>600</v>
      </c>
      <c r="B1587" s="227">
        <v>5000000000</v>
      </c>
    </row>
    <row r="1588" spans="1:2" x14ac:dyDescent="0.25">
      <c r="A1588" t="s">
        <v>601</v>
      </c>
      <c r="B1588" s="227">
        <v>5000000000</v>
      </c>
    </row>
    <row r="1589" spans="1:2" x14ac:dyDescent="0.25">
      <c r="A1589" t="s">
        <v>602</v>
      </c>
      <c r="B1589" s="227">
        <v>10000000000</v>
      </c>
    </row>
    <row r="1590" spans="1:2" x14ac:dyDescent="0.25">
      <c r="A1590" t="s">
        <v>575</v>
      </c>
      <c r="B1590" s="2">
        <v>10000000000</v>
      </c>
    </row>
    <row r="1591" spans="1:2" x14ac:dyDescent="0.25">
      <c r="A1591" t="s">
        <v>2107</v>
      </c>
      <c r="B1591" s="227">
        <v>100000000</v>
      </c>
    </row>
    <row r="1592" spans="1:2" x14ac:dyDescent="0.25">
      <c r="A1592" t="s">
        <v>2033</v>
      </c>
      <c r="B1592" s="227">
        <v>600000000</v>
      </c>
    </row>
    <row r="1593" spans="1:2" x14ac:dyDescent="0.25">
      <c r="A1593" t="s">
        <v>507</v>
      </c>
      <c r="B1593" s="227">
        <v>2382831000</v>
      </c>
    </row>
    <row r="1594" spans="1:2" x14ac:dyDescent="0.25">
      <c r="A1594" t="s">
        <v>2108</v>
      </c>
      <c r="B1594" s="227">
        <v>132822000</v>
      </c>
    </row>
    <row r="1595" spans="1:2" x14ac:dyDescent="0.25">
      <c r="A1595" t="s">
        <v>2109</v>
      </c>
      <c r="B1595" s="227">
        <v>140792000</v>
      </c>
    </row>
    <row r="1596" spans="1:2" x14ac:dyDescent="0.25">
      <c r="A1596" t="s">
        <v>1966</v>
      </c>
      <c r="B1596" s="227">
        <v>10308852000</v>
      </c>
    </row>
    <row r="1597" spans="1:2" x14ac:dyDescent="0.25">
      <c r="A1597" t="s">
        <v>2110</v>
      </c>
      <c r="B1597" s="227">
        <v>896422000</v>
      </c>
    </row>
    <row r="1598" spans="1:2" x14ac:dyDescent="0.25">
      <c r="A1598" t="s">
        <v>2111</v>
      </c>
      <c r="B1598" s="227">
        <v>10000000000</v>
      </c>
    </row>
    <row r="1599" spans="1:2" x14ac:dyDescent="0.25">
      <c r="A1599" t="s">
        <v>2112</v>
      </c>
      <c r="B1599" s="227">
        <v>5000000000</v>
      </c>
    </row>
    <row r="1600" spans="1:2" x14ac:dyDescent="0.25">
      <c r="A1600" t="s">
        <v>486</v>
      </c>
      <c r="B1600" s="227">
        <v>300000000</v>
      </c>
    </row>
  </sheetData>
  <autoFilter ref="H3:K95"/>
  <mergeCells count="2">
    <mergeCell ref="A3:B3"/>
    <mergeCell ref="E3:F3"/>
  </mergeCells>
  <conditionalFormatting sqref="K4:K95">
    <cfRule type="cellIs" dxfId="0" priority="1" operator="greaterThan">
      <formula>0.35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outlinePr summaryBelow="0"/>
  </sheetPr>
  <dimension ref="A1:P222"/>
  <sheetViews>
    <sheetView workbookViewId="0">
      <selection activeCell="F19" sqref="F19"/>
    </sheetView>
  </sheetViews>
  <sheetFormatPr defaultRowHeight="15" outlineLevelRow="2" x14ac:dyDescent="0.25"/>
  <cols>
    <col min="1" max="2" width="19.5703125" style="229" customWidth="1" collapsed="1"/>
    <col min="3" max="3" width="17.28515625" style="229" customWidth="1"/>
    <col min="4" max="16" width="23.42578125" style="229" customWidth="1" collapsed="1"/>
    <col min="17" max="16384" width="9.140625" style="229"/>
  </cols>
  <sheetData>
    <row r="1" spans="1:15" ht="15" customHeight="1" x14ac:dyDescent="0.25">
      <c r="A1" s="228" t="s">
        <v>2114</v>
      </c>
      <c r="B1" s="228" t="s">
        <v>1909</v>
      </c>
    </row>
    <row r="2" spans="1:15" ht="15" customHeight="1" x14ac:dyDescent="0.25">
      <c r="A2" s="228" t="s">
        <v>1910</v>
      </c>
      <c r="B2" s="228" t="s">
        <v>1911</v>
      </c>
    </row>
    <row r="3" spans="1:15" ht="15" customHeight="1" x14ac:dyDescent="0.25">
      <c r="A3" s="228" t="s">
        <v>1912</v>
      </c>
      <c r="B3" s="228" t="s">
        <v>1913</v>
      </c>
    </row>
    <row r="4" spans="1:15" ht="15" customHeight="1" x14ac:dyDescent="0.25">
      <c r="A4" s="228" t="s">
        <v>1914</v>
      </c>
      <c r="B4" s="228" t="s">
        <v>2115</v>
      </c>
    </row>
    <row r="5" spans="1:15" ht="15" customHeight="1" x14ac:dyDescent="0.25"/>
    <row r="6" spans="1:15" ht="15" customHeight="1" x14ac:dyDescent="0.25">
      <c r="A6" s="230" t="s">
        <v>1915</v>
      </c>
      <c r="B6" s="230" t="s">
        <v>1916</v>
      </c>
      <c r="C6" s="231" t="s">
        <v>1917</v>
      </c>
      <c r="D6" s="231" t="s">
        <v>1918</v>
      </c>
      <c r="E6" s="231" t="s">
        <v>1919</v>
      </c>
      <c r="F6" s="230" t="s">
        <v>1920</v>
      </c>
      <c r="G6" s="230" t="s">
        <v>1921</v>
      </c>
      <c r="H6" s="230" t="s">
        <v>2116</v>
      </c>
      <c r="I6" s="230" t="s">
        <v>1922</v>
      </c>
      <c r="J6" s="230" t="s">
        <v>2117</v>
      </c>
      <c r="K6" s="230" t="s">
        <v>1923</v>
      </c>
      <c r="L6" s="230" t="s">
        <v>1924</v>
      </c>
      <c r="M6" s="230" t="s">
        <v>1925</v>
      </c>
      <c r="N6" s="230" t="s">
        <v>1926</v>
      </c>
      <c r="O6" s="230" t="s">
        <v>1927</v>
      </c>
    </row>
    <row r="7" spans="1:15" ht="15" customHeight="1" x14ac:dyDescent="0.25">
      <c r="A7" s="232" t="s">
        <v>1928</v>
      </c>
      <c r="B7" s="232"/>
      <c r="C7" s="232" t="s">
        <v>1909</v>
      </c>
      <c r="D7" s="232" t="s">
        <v>1909</v>
      </c>
      <c r="E7" s="233">
        <v>633381000</v>
      </c>
      <c r="F7" s="234" t="s">
        <v>1909</v>
      </c>
      <c r="G7" s="235">
        <v>6473153.8200000003</v>
      </c>
      <c r="H7" s="235">
        <v>6473153.8200000003</v>
      </c>
      <c r="I7" s="232" t="s">
        <v>1909</v>
      </c>
      <c r="J7" s="233" t="s">
        <v>1909</v>
      </c>
      <c r="K7" s="234" t="s">
        <v>1909</v>
      </c>
      <c r="L7" s="233" t="s">
        <v>1909</v>
      </c>
      <c r="M7" s="236"/>
      <c r="N7" s="234" t="s">
        <v>1909</v>
      </c>
      <c r="O7" s="236"/>
    </row>
    <row r="8" spans="1:15" ht="15" customHeight="1" outlineLevel="1" collapsed="1" x14ac:dyDescent="0.25">
      <c r="A8" s="237"/>
      <c r="B8" s="237" t="s">
        <v>1929</v>
      </c>
      <c r="C8" s="237" t="s">
        <v>1913</v>
      </c>
      <c r="D8" s="237" t="s">
        <v>574</v>
      </c>
      <c r="E8" s="238">
        <v>633381000</v>
      </c>
      <c r="F8" s="239">
        <v>100</v>
      </c>
      <c r="G8" s="240">
        <v>6473153.8200000003</v>
      </c>
      <c r="H8" s="240">
        <v>6473153.8200000003</v>
      </c>
      <c r="I8" s="237" t="s">
        <v>1909</v>
      </c>
      <c r="J8" s="238">
        <v>1000</v>
      </c>
      <c r="K8" s="239" t="s">
        <v>1909</v>
      </c>
      <c r="L8" s="238">
        <v>1779</v>
      </c>
      <c r="M8" s="241">
        <v>46280</v>
      </c>
      <c r="N8" s="239" t="s">
        <v>1909</v>
      </c>
      <c r="O8" s="241"/>
    </row>
    <row r="9" spans="1:15" ht="15" hidden="1" customHeight="1" outlineLevel="2" x14ac:dyDescent="0.25">
      <c r="A9" s="242"/>
      <c r="B9" s="242"/>
      <c r="C9" s="242" t="s">
        <v>1913</v>
      </c>
      <c r="D9" s="242" t="s">
        <v>574</v>
      </c>
      <c r="E9" s="243">
        <v>633381000</v>
      </c>
      <c r="F9" s="244">
        <v>100</v>
      </c>
      <c r="G9" s="245">
        <v>6473153.8200000003</v>
      </c>
      <c r="H9" s="245">
        <v>6473153.8200000003</v>
      </c>
      <c r="I9" s="242" t="s">
        <v>1930</v>
      </c>
      <c r="J9" s="243">
        <v>1000</v>
      </c>
      <c r="K9" s="244" t="s">
        <v>1931</v>
      </c>
      <c r="L9" s="243">
        <v>1779</v>
      </c>
      <c r="M9" s="246">
        <v>46280</v>
      </c>
      <c r="N9" s="244" t="s">
        <v>1909</v>
      </c>
      <c r="O9" s="246"/>
    </row>
    <row r="10" spans="1:15" ht="15" customHeight="1" x14ac:dyDescent="0.25">
      <c r="A10" s="232" t="s">
        <v>1932</v>
      </c>
      <c r="B10" s="232"/>
      <c r="C10" s="232" t="s">
        <v>1909</v>
      </c>
      <c r="D10" s="232" t="s">
        <v>1909</v>
      </c>
      <c r="E10" s="233">
        <v>24356593565</v>
      </c>
      <c r="F10" s="234" t="s">
        <v>1909</v>
      </c>
      <c r="G10" s="235">
        <v>699934400.44000006</v>
      </c>
      <c r="H10" s="235">
        <v>699934400.44000006</v>
      </c>
      <c r="I10" s="232" t="s">
        <v>1909</v>
      </c>
      <c r="J10" s="233" t="s">
        <v>1909</v>
      </c>
      <c r="K10" s="234" t="s">
        <v>1909</v>
      </c>
      <c r="L10" s="233" t="s">
        <v>1909</v>
      </c>
      <c r="M10" s="236"/>
      <c r="N10" s="234" t="s">
        <v>1909</v>
      </c>
      <c r="O10" s="236"/>
    </row>
    <row r="11" spans="1:15" ht="15" customHeight="1" outlineLevel="1" collapsed="1" x14ac:dyDescent="0.25">
      <c r="A11" s="237"/>
      <c r="B11" s="237" t="s">
        <v>1933</v>
      </c>
      <c r="C11" s="237" t="s">
        <v>349</v>
      </c>
      <c r="D11" s="237" t="s">
        <v>495</v>
      </c>
      <c r="E11" s="238">
        <v>2000000</v>
      </c>
      <c r="F11" s="239">
        <v>100.7976</v>
      </c>
      <c r="G11" s="240">
        <v>1748507.37</v>
      </c>
      <c r="H11" s="240">
        <v>21160</v>
      </c>
      <c r="I11" s="237" t="s">
        <v>1909</v>
      </c>
      <c r="J11" s="238">
        <v>1000</v>
      </c>
      <c r="K11" s="239" t="s">
        <v>1909</v>
      </c>
      <c r="L11" s="238">
        <v>587</v>
      </c>
      <c r="M11" s="241">
        <v>45088</v>
      </c>
      <c r="N11" s="239" t="s">
        <v>1909</v>
      </c>
      <c r="O11" s="241"/>
    </row>
    <row r="12" spans="1:15" ht="15" hidden="1" customHeight="1" outlineLevel="2" x14ac:dyDescent="0.25">
      <c r="A12" s="247"/>
      <c r="B12" s="247"/>
      <c r="C12" s="247" t="s">
        <v>349</v>
      </c>
      <c r="D12" s="247" t="s">
        <v>495</v>
      </c>
      <c r="E12" s="248">
        <v>2000000</v>
      </c>
      <c r="F12" s="249">
        <v>100.7976</v>
      </c>
      <c r="G12" s="250">
        <v>1748507.37</v>
      </c>
      <c r="H12" s="250">
        <v>21160</v>
      </c>
      <c r="I12" s="247" t="s">
        <v>1930</v>
      </c>
      <c r="J12" s="248">
        <v>1000</v>
      </c>
      <c r="K12" s="249" t="s">
        <v>1931</v>
      </c>
      <c r="L12" s="248">
        <v>587</v>
      </c>
      <c r="M12" s="251">
        <v>45088</v>
      </c>
      <c r="N12" s="249" t="s">
        <v>1909</v>
      </c>
      <c r="O12" s="251"/>
    </row>
    <row r="13" spans="1:15" ht="15" customHeight="1" outlineLevel="1" collapsed="1" x14ac:dyDescent="0.25">
      <c r="A13" s="237"/>
      <c r="B13" s="237" t="s">
        <v>1934</v>
      </c>
      <c r="C13" s="237" t="s">
        <v>353</v>
      </c>
      <c r="D13" s="237" t="s">
        <v>483</v>
      </c>
      <c r="E13" s="238">
        <v>23300000</v>
      </c>
      <c r="F13" s="239">
        <v>99.799499999999995</v>
      </c>
      <c r="G13" s="240">
        <v>51279916.590000004</v>
      </c>
      <c r="H13" s="240">
        <v>654988.89</v>
      </c>
      <c r="I13" s="237" t="s">
        <v>1909</v>
      </c>
      <c r="J13" s="238">
        <v>5000</v>
      </c>
      <c r="K13" s="239" t="s">
        <v>1909</v>
      </c>
      <c r="L13" s="238">
        <v>373</v>
      </c>
      <c r="M13" s="241">
        <v>44874</v>
      </c>
      <c r="N13" s="239" t="s">
        <v>1909</v>
      </c>
      <c r="O13" s="241"/>
    </row>
    <row r="14" spans="1:15" ht="15" hidden="1" customHeight="1" outlineLevel="2" x14ac:dyDescent="0.25">
      <c r="A14" s="247"/>
      <c r="B14" s="247"/>
      <c r="C14" s="247" t="s">
        <v>353</v>
      </c>
      <c r="D14" s="247" t="s">
        <v>483</v>
      </c>
      <c r="E14" s="248">
        <v>23300000</v>
      </c>
      <c r="F14" s="249">
        <v>99.799499999999995</v>
      </c>
      <c r="G14" s="250">
        <v>51279916.590000004</v>
      </c>
      <c r="H14" s="250">
        <v>654988.89</v>
      </c>
      <c r="I14" s="247" t="s">
        <v>1930</v>
      </c>
      <c r="J14" s="248">
        <v>5000</v>
      </c>
      <c r="K14" s="249" t="s">
        <v>1931</v>
      </c>
      <c r="L14" s="248">
        <v>373</v>
      </c>
      <c r="M14" s="251">
        <v>44874</v>
      </c>
      <c r="N14" s="249" t="s">
        <v>1909</v>
      </c>
      <c r="O14" s="251"/>
    </row>
    <row r="15" spans="1:15" ht="15" customHeight="1" outlineLevel="1" collapsed="1" x14ac:dyDescent="0.25">
      <c r="A15" s="237"/>
      <c r="B15" s="237" t="s">
        <v>1935</v>
      </c>
      <c r="C15" s="237" t="s">
        <v>351</v>
      </c>
      <c r="D15" s="237" t="s">
        <v>490</v>
      </c>
      <c r="E15" s="238">
        <v>12000000</v>
      </c>
      <c r="F15" s="239">
        <v>97.222099999999998</v>
      </c>
      <c r="G15" s="240">
        <v>2258381.66</v>
      </c>
      <c r="H15" s="240">
        <v>31680</v>
      </c>
      <c r="I15" s="237" t="s">
        <v>1909</v>
      </c>
      <c r="J15" s="238">
        <v>1000</v>
      </c>
      <c r="K15" s="239" t="s">
        <v>1909</v>
      </c>
      <c r="L15" s="238">
        <v>1261</v>
      </c>
      <c r="M15" s="241">
        <v>45762</v>
      </c>
      <c r="N15" s="239" t="s">
        <v>1909</v>
      </c>
      <c r="O15" s="241"/>
    </row>
    <row r="16" spans="1:15" ht="15" hidden="1" customHeight="1" outlineLevel="2" x14ac:dyDescent="0.25">
      <c r="A16" s="247"/>
      <c r="B16" s="247"/>
      <c r="C16" s="247" t="s">
        <v>351</v>
      </c>
      <c r="D16" s="247" t="s">
        <v>490</v>
      </c>
      <c r="E16" s="248">
        <v>12000000</v>
      </c>
      <c r="F16" s="249">
        <v>97.222099999999998</v>
      </c>
      <c r="G16" s="250">
        <v>2258381.66</v>
      </c>
      <c r="H16" s="250">
        <v>31680</v>
      </c>
      <c r="I16" s="247" t="s">
        <v>1930</v>
      </c>
      <c r="J16" s="248">
        <v>1000</v>
      </c>
      <c r="K16" s="249" t="s">
        <v>1931</v>
      </c>
      <c r="L16" s="248">
        <v>1261</v>
      </c>
      <c r="M16" s="251">
        <v>45762</v>
      </c>
      <c r="N16" s="249" t="s">
        <v>1909</v>
      </c>
      <c r="O16" s="251"/>
    </row>
    <row r="17" spans="1:15" ht="15" customHeight="1" outlineLevel="1" collapsed="1" x14ac:dyDescent="0.25">
      <c r="A17" s="237"/>
      <c r="B17" s="237" t="s">
        <v>1936</v>
      </c>
      <c r="C17" s="237" t="s">
        <v>1913</v>
      </c>
      <c r="D17" s="237" t="s">
        <v>523</v>
      </c>
      <c r="E17" s="238">
        <v>300000000</v>
      </c>
      <c r="F17" s="239">
        <v>100.3728</v>
      </c>
      <c r="G17" s="240">
        <v>6622920</v>
      </c>
      <c r="H17" s="240">
        <v>6622920</v>
      </c>
      <c r="I17" s="237" t="s">
        <v>1909</v>
      </c>
      <c r="J17" s="238">
        <v>100000</v>
      </c>
      <c r="K17" s="239" t="s">
        <v>1909</v>
      </c>
      <c r="L17" s="238">
        <v>278</v>
      </c>
      <c r="M17" s="241">
        <v>44779</v>
      </c>
      <c r="N17" s="239" t="s">
        <v>1909</v>
      </c>
      <c r="O17" s="241"/>
    </row>
    <row r="18" spans="1:15" ht="15" hidden="1" customHeight="1" outlineLevel="2" x14ac:dyDescent="0.25">
      <c r="A18" s="247"/>
      <c r="B18" s="247"/>
      <c r="C18" s="247" t="s">
        <v>1913</v>
      </c>
      <c r="D18" s="247" t="s">
        <v>523</v>
      </c>
      <c r="E18" s="248">
        <v>300000000</v>
      </c>
      <c r="F18" s="249">
        <v>100.3728</v>
      </c>
      <c r="G18" s="250">
        <v>6622920</v>
      </c>
      <c r="H18" s="250">
        <v>6622920</v>
      </c>
      <c r="I18" s="247" t="s">
        <v>1930</v>
      </c>
      <c r="J18" s="248">
        <v>100000</v>
      </c>
      <c r="K18" s="249" t="s">
        <v>1931</v>
      </c>
      <c r="L18" s="248">
        <v>278</v>
      </c>
      <c r="M18" s="251">
        <v>44779</v>
      </c>
      <c r="N18" s="249" t="s">
        <v>1909</v>
      </c>
      <c r="O18" s="251"/>
    </row>
    <row r="19" spans="1:15" ht="15" customHeight="1" outlineLevel="1" collapsed="1" x14ac:dyDescent="0.25">
      <c r="A19" s="237"/>
      <c r="B19" s="237" t="s">
        <v>1937</v>
      </c>
      <c r="C19" s="237" t="s">
        <v>351</v>
      </c>
      <c r="D19" s="237" t="s">
        <v>504</v>
      </c>
      <c r="E19" s="238">
        <v>10000000</v>
      </c>
      <c r="F19" s="239">
        <v>94.625</v>
      </c>
      <c r="G19" s="240">
        <v>7791701.8899999997</v>
      </c>
      <c r="H19" s="240">
        <v>109300</v>
      </c>
      <c r="I19" s="237" t="s">
        <v>1909</v>
      </c>
      <c r="J19" s="238">
        <v>1000</v>
      </c>
      <c r="K19" s="239" t="s">
        <v>1909</v>
      </c>
      <c r="L19" s="238">
        <v>1576</v>
      </c>
      <c r="M19" s="241">
        <v>46077</v>
      </c>
      <c r="N19" s="239" t="s">
        <v>1909</v>
      </c>
      <c r="O19" s="241"/>
    </row>
    <row r="20" spans="1:15" ht="15" hidden="1" customHeight="1" outlineLevel="2" x14ac:dyDescent="0.25">
      <c r="A20" s="247"/>
      <c r="B20" s="247"/>
      <c r="C20" s="247" t="s">
        <v>351</v>
      </c>
      <c r="D20" s="247" t="s">
        <v>504</v>
      </c>
      <c r="E20" s="248">
        <v>10000000</v>
      </c>
      <c r="F20" s="249">
        <v>94.625</v>
      </c>
      <c r="G20" s="250">
        <v>7791701.8899999997</v>
      </c>
      <c r="H20" s="250">
        <v>109300</v>
      </c>
      <c r="I20" s="247" t="s">
        <v>1930</v>
      </c>
      <c r="J20" s="248">
        <v>1000</v>
      </c>
      <c r="K20" s="249" t="s">
        <v>1931</v>
      </c>
      <c r="L20" s="248">
        <v>1576</v>
      </c>
      <c r="M20" s="251">
        <v>46077</v>
      </c>
      <c r="N20" s="249" t="s">
        <v>1909</v>
      </c>
      <c r="O20" s="251"/>
    </row>
    <row r="21" spans="1:15" ht="15" customHeight="1" outlineLevel="1" collapsed="1" x14ac:dyDescent="0.25">
      <c r="A21" s="237"/>
      <c r="B21" s="237" t="s">
        <v>1938</v>
      </c>
      <c r="C21" s="237" t="s">
        <v>351</v>
      </c>
      <c r="D21" s="237" t="s">
        <v>499</v>
      </c>
      <c r="E21" s="238">
        <v>5500000</v>
      </c>
      <c r="F21" s="239">
        <v>101.87009999999999</v>
      </c>
      <c r="G21" s="240">
        <v>4716724.2</v>
      </c>
      <c r="H21" s="240">
        <v>66165</v>
      </c>
      <c r="I21" s="237" t="s">
        <v>1909</v>
      </c>
      <c r="J21" s="238">
        <v>1000</v>
      </c>
      <c r="K21" s="239" t="s">
        <v>1909</v>
      </c>
      <c r="L21" s="238">
        <v>484</v>
      </c>
      <c r="M21" s="241">
        <v>44985</v>
      </c>
      <c r="N21" s="239" t="s">
        <v>1909</v>
      </c>
      <c r="O21" s="241"/>
    </row>
    <row r="22" spans="1:15" ht="15" hidden="1" customHeight="1" outlineLevel="2" x14ac:dyDescent="0.25">
      <c r="A22" s="247"/>
      <c r="B22" s="247"/>
      <c r="C22" s="247" t="s">
        <v>351</v>
      </c>
      <c r="D22" s="247" t="s">
        <v>499</v>
      </c>
      <c r="E22" s="248">
        <v>5500000</v>
      </c>
      <c r="F22" s="249">
        <v>101.87009999999999</v>
      </c>
      <c r="G22" s="250">
        <v>4716724.2</v>
      </c>
      <c r="H22" s="250">
        <v>66165</v>
      </c>
      <c r="I22" s="247" t="s">
        <v>1930</v>
      </c>
      <c r="J22" s="248">
        <v>1000</v>
      </c>
      <c r="K22" s="249" t="s">
        <v>1931</v>
      </c>
      <c r="L22" s="248">
        <v>484</v>
      </c>
      <c r="M22" s="251">
        <v>44985</v>
      </c>
      <c r="N22" s="249" t="s">
        <v>1909</v>
      </c>
      <c r="O22" s="251"/>
    </row>
    <row r="23" spans="1:15" ht="15" customHeight="1" outlineLevel="1" collapsed="1" x14ac:dyDescent="0.25">
      <c r="A23" s="237"/>
      <c r="B23" s="237" t="s">
        <v>1939</v>
      </c>
      <c r="C23" s="237" t="s">
        <v>351</v>
      </c>
      <c r="D23" s="237" t="s">
        <v>487</v>
      </c>
      <c r="E23" s="238">
        <v>4000000</v>
      </c>
      <c r="F23" s="239">
        <v>99.605099999999993</v>
      </c>
      <c r="G23" s="240">
        <v>1497033.3</v>
      </c>
      <c r="H23" s="240">
        <v>21000</v>
      </c>
      <c r="I23" s="237" t="s">
        <v>1909</v>
      </c>
      <c r="J23" s="238">
        <v>1000</v>
      </c>
      <c r="K23" s="239" t="s">
        <v>1909</v>
      </c>
      <c r="L23" s="238">
        <v>1053</v>
      </c>
      <c r="M23" s="241">
        <v>45554</v>
      </c>
      <c r="N23" s="239" t="s">
        <v>1909</v>
      </c>
      <c r="O23" s="241"/>
    </row>
    <row r="24" spans="1:15" ht="15" hidden="1" customHeight="1" outlineLevel="2" x14ac:dyDescent="0.25">
      <c r="A24" s="247"/>
      <c r="B24" s="247"/>
      <c r="C24" s="247" t="s">
        <v>351</v>
      </c>
      <c r="D24" s="247" t="s">
        <v>487</v>
      </c>
      <c r="E24" s="248">
        <v>4000000</v>
      </c>
      <c r="F24" s="249">
        <v>99.605099999999993</v>
      </c>
      <c r="G24" s="250">
        <v>1497033.3</v>
      </c>
      <c r="H24" s="250">
        <v>21000</v>
      </c>
      <c r="I24" s="247" t="s">
        <v>1930</v>
      </c>
      <c r="J24" s="248">
        <v>1000</v>
      </c>
      <c r="K24" s="249" t="s">
        <v>1931</v>
      </c>
      <c r="L24" s="248">
        <v>1053</v>
      </c>
      <c r="M24" s="251">
        <v>45554</v>
      </c>
      <c r="N24" s="249" t="s">
        <v>1909</v>
      </c>
      <c r="O24" s="251"/>
    </row>
    <row r="25" spans="1:15" ht="15" customHeight="1" outlineLevel="1" collapsed="1" x14ac:dyDescent="0.25">
      <c r="A25" s="237"/>
      <c r="B25" s="237" t="s">
        <v>1940</v>
      </c>
      <c r="C25" s="237" t="s">
        <v>351</v>
      </c>
      <c r="D25" s="237" t="s">
        <v>492</v>
      </c>
      <c r="E25" s="238">
        <v>3000000</v>
      </c>
      <c r="F25" s="239">
        <v>102.22790000000001</v>
      </c>
      <c r="G25" s="240">
        <v>489743.75</v>
      </c>
      <c r="H25" s="240">
        <v>6870</v>
      </c>
      <c r="I25" s="237" t="s">
        <v>1909</v>
      </c>
      <c r="J25" s="238">
        <v>1000</v>
      </c>
      <c r="K25" s="239" t="s">
        <v>1909</v>
      </c>
      <c r="L25" s="238">
        <v>350</v>
      </c>
      <c r="M25" s="241">
        <v>44851</v>
      </c>
      <c r="N25" s="239" t="s">
        <v>1909</v>
      </c>
      <c r="O25" s="241"/>
    </row>
    <row r="26" spans="1:15" ht="15" hidden="1" customHeight="1" outlineLevel="2" x14ac:dyDescent="0.25">
      <c r="A26" s="247"/>
      <c r="B26" s="247"/>
      <c r="C26" s="247" t="s">
        <v>351</v>
      </c>
      <c r="D26" s="247" t="s">
        <v>492</v>
      </c>
      <c r="E26" s="248">
        <v>3000000</v>
      </c>
      <c r="F26" s="249">
        <v>102.22790000000001</v>
      </c>
      <c r="G26" s="250">
        <v>489743.75</v>
      </c>
      <c r="H26" s="250">
        <v>6870</v>
      </c>
      <c r="I26" s="247" t="s">
        <v>1930</v>
      </c>
      <c r="J26" s="248">
        <v>1000</v>
      </c>
      <c r="K26" s="249" t="s">
        <v>1931</v>
      </c>
      <c r="L26" s="248">
        <v>350</v>
      </c>
      <c r="M26" s="251">
        <v>44851</v>
      </c>
      <c r="N26" s="249" t="s">
        <v>1909</v>
      </c>
      <c r="O26" s="251"/>
    </row>
    <row r="27" spans="1:15" ht="15" customHeight="1" outlineLevel="1" collapsed="1" x14ac:dyDescent="0.25">
      <c r="A27" s="237"/>
      <c r="B27" s="237" t="s">
        <v>1941</v>
      </c>
      <c r="C27" s="237" t="s">
        <v>351</v>
      </c>
      <c r="D27" s="237" t="s">
        <v>502</v>
      </c>
      <c r="E27" s="238">
        <v>15000000</v>
      </c>
      <c r="F27" s="239">
        <v>100.00839999999999</v>
      </c>
      <c r="G27" s="240">
        <v>12842407.1</v>
      </c>
      <c r="H27" s="240">
        <v>180150</v>
      </c>
      <c r="I27" s="237" t="s">
        <v>1909</v>
      </c>
      <c r="J27" s="238">
        <v>1000</v>
      </c>
      <c r="K27" s="239" t="s">
        <v>1909</v>
      </c>
      <c r="L27" s="238">
        <v>1185</v>
      </c>
      <c r="M27" s="241">
        <v>45686</v>
      </c>
      <c r="N27" s="239" t="s">
        <v>1909</v>
      </c>
      <c r="O27" s="241"/>
    </row>
    <row r="28" spans="1:15" ht="15" hidden="1" customHeight="1" outlineLevel="2" x14ac:dyDescent="0.25">
      <c r="A28" s="247"/>
      <c r="B28" s="247"/>
      <c r="C28" s="247" t="s">
        <v>351</v>
      </c>
      <c r="D28" s="247" t="s">
        <v>502</v>
      </c>
      <c r="E28" s="248">
        <v>15000000</v>
      </c>
      <c r="F28" s="249">
        <v>100.00839999999999</v>
      </c>
      <c r="G28" s="250">
        <v>12842407.1</v>
      </c>
      <c r="H28" s="250">
        <v>180150</v>
      </c>
      <c r="I28" s="247" t="s">
        <v>1930</v>
      </c>
      <c r="J28" s="248">
        <v>1000</v>
      </c>
      <c r="K28" s="249" t="s">
        <v>1931</v>
      </c>
      <c r="L28" s="248">
        <v>1185</v>
      </c>
      <c r="M28" s="251">
        <v>45686</v>
      </c>
      <c r="N28" s="249" t="s">
        <v>1909</v>
      </c>
      <c r="O28" s="251"/>
    </row>
    <row r="29" spans="1:15" ht="15" customHeight="1" outlineLevel="1" collapsed="1" x14ac:dyDescent="0.25">
      <c r="A29" s="237"/>
      <c r="B29" s="237" t="s">
        <v>1942</v>
      </c>
      <c r="C29" s="237" t="s">
        <v>349</v>
      </c>
      <c r="D29" s="237" t="s">
        <v>501</v>
      </c>
      <c r="E29" s="238">
        <v>22254000</v>
      </c>
      <c r="F29" s="239">
        <v>100.9337</v>
      </c>
      <c r="G29" s="240">
        <v>65903422.689999998</v>
      </c>
      <c r="H29" s="240">
        <v>797546.78</v>
      </c>
      <c r="I29" s="237" t="s">
        <v>1909</v>
      </c>
      <c r="J29" s="238">
        <v>1000</v>
      </c>
      <c r="K29" s="239" t="s">
        <v>1909</v>
      </c>
      <c r="L29" s="238">
        <v>841</v>
      </c>
      <c r="M29" s="241">
        <v>45342</v>
      </c>
      <c r="N29" s="239" t="s">
        <v>1909</v>
      </c>
      <c r="O29" s="241"/>
    </row>
    <row r="30" spans="1:15" ht="15" hidden="1" customHeight="1" outlineLevel="2" x14ac:dyDescent="0.25">
      <c r="A30" s="247"/>
      <c r="B30" s="247"/>
      <c r="C30" s="247" t="s">
        <v>349</v>
      </c>
      <c r="D30" s="247" t="s">
        <v>501</v>
      </c>
      <c r="E30" s="248">
        <v>22254000</v>
      </c>
      <c r="F30" s="249">
        <v>100.9337</v>
      </c>
      <c r="G30" s="250">
        <v>65903422.689999998</v>
      </c>
      <c r="H30" s="250">
        <v>797546.78</v>
      </c>
      <c r="I30" s="247" t="s">
        <v>1930</v>
      </c>
      <c r="J30" s="248">
        <v>1000</v>
      </c>
      <c r="K30" s="249" t="s">
        <v>1931</v>
      </c>
      <c r="L30" s="248">
        <v>841</v>
      </c>
      <c r="M30" s="251">
        <v>45342</v>
      </c>
      <c r="N30" s="249" t="s">
        <v>1909</v>
      </c>
      <c r="O30" s="251"/>
    </row>
    <row r="31" spans="1:15" ht="15" customHeight="1" outlineLevel="1" collapsed="1" x14ac:dyDescent="0.25">
      <c r="A31" s="237"/>
      <c r="B31" s="237" t="s">
        <v>1943</v>
      </c>
      <c r="C31" s="237" t="s">
        <v>351</v>
      </c>
      <c r="D31" s="237" t="s">
        <v>503</v>
      </c>
      <c r="E31" s="238">
        <v>12500000</v>
      </c>
      <c r="F31" s="239">
        <v>106</v>
      </c>
      <c r="G31" s="240">
        <v>5454840.04</v>
      </c>
      <c r="H31" s="240">
        <v>76519.100000000006</v>
      </c>
      <c r="I31" s="237" t="s">
        <v>1909</v>
      </c>
      <c r="J31" s="238">
        <v>1000</v>
      </c>
      <c r="K31" s="239" t="s">
        <v>1909</v>
      </c>
      <c r="L31" s="238">
        <v>504</v>
      </c>
      <c r="M31" s="241">
        <v>45005</v>
      </c>
      <c r="N31" s="239" t="s">
        <v>1909</v>
      </c>
      <c r="O31" s="241"/>
    </row>
    <row r="32" spans="1:15" ht="15" hidden="1" customHeight="1" outlineLevel="2" x14ac:dyDescent="0.25">
      <c r="A32" s="247"/>
      <c r="B32" s="247"/>
      <c r="C32" s="247" t="s">
        <v>351</v>
      </c>
      <c r="D32" s="247" t="s">
        <v>503</v>
      </c>
      <c r="E32" s="248">
        <v>12500000</v>
      </c>
      <c r="F32" s="249">
        <v>106</v>
      </c>
      <c r="G32" s="250">
        <v>5454840.04</v>
      </c>
      <c r="H32" s="250">
        <v>76519.100000000006</v>
      </c>
      <c r="I32" s="247" t="s">
        <v>1930</v>
      </c>
      <c r="J32" s="248">
        <v>1000</v>
      </c>
      <c r="K32" s="249" t="s">
        <v>1931</v>
      </c>
      <c r="L32" s="248">
        <v>504</v>
      </c>
      <c r="M32" s="251">
        <v>45005</v>
      </c>
      <c r="N32" s="249" t="s">
        <v>1909</v>
      </c>
      <c r="O32" s="251"/>
    </row>
    <row r="33" spans="1:15" ht="15" customHeight="1" outlineLevel="1" collapsed="1" x14ac:dyDescent="0.25">
      <c r="A33" s="237"/>
      <c r="B33" s="237" t="s">
        <v>1944</v>
      </c>
      <c r="C33" s="237" t="s">
        <v>351</v>
      </c>
      <c r="D33" s="237" t="s">
        <v>491</v>
      </c>
      <c r="E33" s="238">
        <v>2000000</v>
      </c>
      <c r="F33" s="239">
        <v>97.708799999999997</v>
      </c>
      <c r="G33" s="240">
        <v>849744.62</v>
      </c>
      <c r="H33" s="240">
        <v>11920</v>
      </c>
      <c r="I33" s="237" t="s">
        <v>1909</v>
      </c>
      <c r="J33" s="238">
        <v>1000</v>
      </c>
      <c r="K33" s="239" t="s">
        <v>1909</v>
      </c>
      <c r="L33" s="238">
        <v>3038</v>
      </c>
      <c r="M33" s="241">
        <v>47539</v>
      </c>
      <c r="N33" s="239" t="s">
        <v>1909</v>
      </c>
      <c r="O33" s="241"/>
    </row>
    <row r="34" spans="1:15" ht="15" hidden="1" customHeight="1" outlineLevel="2" x14ac:dyDescent="0.25">
      <c r="A34" s="247"/>
      <c r="B34" s="247"/>
      <c r="C34" s="247" t="s">
        <v>351</v>
      </c>
      <c r="D34" s="247" t="s">
        <v>491</v>
      </c>
      <c r="E34" s="248">
        <v>2000000</v>
      </c>
      <c r="F34" s="249">
        <v>97.708799999999997</v>
      </c>
      <c r="G34" s="250">
        <v>849744.62</v>
      </c>
      <c r="H34" s="250">
        <v>11920</v>
      </c>
      <c r="I34" s="247" t="s">
        <v>1930</v>
      </c>
      <c r="J34" s="248">
        <v>1000</v>
      </c>
      <c r="K34" s="249" t="s">
        <v>1931</v>
      </c>
      <c r="L34" s="248">
        <v>3038</v>
      </c>
      <c r="M34" s="251">
        <v>47539</v>
      </c>
      <c r="N34" s="249" t="s">
        <v>1909</v>
      </c>
      <c r="O34" s="251"/>
    </row>
    <row r="35" spans="1:15" ht="15" customHeight="1" outlineLevel="1" collapsed="1" x14ac:dyDescent="0.25">
      <c r="A35" s="237"/>
      <c r="B35" s="237" t="s">
        <v>1945</v>
      </c>
      <c r="C35" s="237" t="s">
        <v>351</v>
      </c>
      <c r="D35" s="237" t="s">
        <v>500</v>
      </c>
      <c r="E35" s="238">
        <v>8500000</v>
      </c>
      <c r="F35" s="239">
        <v>100.3655</v>
      </c>
      <c r="G35" s="240">
        <v>7350077.0700000003</v>
      </c>
      <c r="H35" s="240">
        <v>103105</v>
      </c>
      <c r="I35" s="237" t="s">
        <v>1909</v>
      </c>
      <c r="J35" s="238">
        <v>1000</v>
      </c>
      <c r="K35" s="239" t="s">
        <v>1909</v>
      </c>
      <c r="L35" s="238">
        <v>1547</v>
      </c>
      <c r="M35" s="241">
        <v>46048</v>
      </c>
      <c r="N35" s="239" t="s">
        <v>1909</v>
      </c>
      <c r="O35" s="241"/>
    </row>
    <row r="36" spans="1:15" ht="15" hidden="1" customHeight="1" outlineLevel="2" x14ac:dyDescent="0.25">
      <c r="A36" s="247"/>
      <c r="B36" s="247"/>
      <c r="C36" s="247" t="s">
        <v>351</v>
      </c>
      <c r="D36" s="247" t="s">
        <v>500</v>
      </c>
      <c r="E36" s="248">
        <v>8500000</v>
      </c>
      <c r="F36" s="249">
        <v>100.3655</v>
      </c>
      <c r="G36" s="250">
        <v>7350077.0700000003</v>
      </c>
      <c r="H36" s="250">
        <v>103105</v>
      </c>
      <c r="I36" s="247" t="s">
        <v>1930</v>
      </c>
      <c r="J36" s="248">
        <v>1000</v>
      </c>
      <c r="K36" s="249" t="s">
        <v>1931</v>
      </c>
      <c r="L36" s="248">
        <v>1547</v>
      </c>
      <c r="M36" s="251">
        <v>46048</v>
      </c>
      <c r="N36" s="249" t="s">
        <v>1909</v>
      </c>
      <c r="O36" s="251"/>
    </row>
    <row r="37" spans="1:15" ht="15" customHeight="1" outlineLevel="1" collapsed="1" x14ac:dyDescent="0.25">
      <c r="A37" s="237"/>
      <c r="B37" s="237" t="s">
        <v>1946</v>
      </c>
      <c r="C37" s="237" t="s">
        <v>351</v>
      </c>
      <c r="D37" s="237" t="s">
        <v>497</v>
      </c>
      <c r="E37" s="238">
        <v>9000000</v>
      </c>
      <c r="F37" s="239">
        <v>102.0853</v>
      </c>
      <c r="G37" s="240">
        <v>1578300.82</v>
      </c>
      <c r="H37" s="240">
        <v>22140</v>
      </c>
      <c r="I37" s="237" t="s">
        <v>1909</v>
      </c>
      <c r="J37" s="238">
        <v>1000</v>
      </c>
      <c r="K37" s="239" t="s">
        <v>1909</v>
      </c>
      <c r="L37" s="238">
        <v>158</v>
      </c>
      <c r="M37" s="241">
        <v>44659</v>
      </c>
      <c r="N37" s="239" t="s">
        <v>1909</v>
      </c>
      <c r="O37" s="241"/>
    </row>
    <row r="38" spans="1:15" ht="15" hidden="1" customHeight="1" outlineLevel="2" x14ac:dyDescent="0.25">
      <c r="A38" s="247"/>
      <c r="B38" s="247"/>
      <c r="C38" s="247" t="s">
        <v>351</v>
      </c>
      <c r="D38" s="247" t="s">
        <v>497</v>
      </c>
      <c r="E38" s="248">
        <v>9000000</v>
      </c>
      <c r="F38" s="249">
        <v>102.0853</v>
      </c>
      <c r="G38" s="250">
        <v>1578300.82</v>
      </c>
      <c r="H38" s="250">
        <v>22140</v>
      </c>
      <c r="I38" s="247" t="s">
        <v>1930</v>
      </c>
      <c r="J38" s="248">
        <v>1000</v>
      </c>
      <c r="K38" s="249" t="s">
        <v>1931</v>
      </c>
      <c r="L38" s="248">
        <v>158</v>
      </c>
      <c r="M38" s="251">
        <v>44659</v>
      </c>
      <c r="N38" s="249" t="s">
        <v>1909</v>
      </c>
      <c r="O38" s="251"/>
    </row>
    <row r="39" spans="1:15" ht="15" customHeight="1" outlineLevel="1" collapsed="1" x14ac:dyDescent="0.25">
      <c r="A39" s="237"/>
      <c r="B39" s="237" t="s">
        <v>1947</v>
      </c>
      <c r="C39" s="237" t="s">
        <v>351</v>
      </c>
      <c r="D39" s="237" t="s">
        <v>488</v>
      </c>
      <c r="E39" s="238">
        <v>10000000</v>
      </c>
      <c r="F39" s="239">
        <v>100.61490000000001</v>
      </c>
      <c r="G39" s="240">
        <v>7157244.9199999999</v>
      </c>
      <c r="H39" s="240">
        <v>100400</v>
      </c>
      <c r="I39" s="237" t="s">
        <v>1909</v>
      </c>
      <c r="J39" s="238">
        <v>1000</v>
      </c>
      <c r="K39" s="239" t="s">
        <v>1909</v>
      </c>
      <c r="L39" s="238">
        <v>1570</v>
      </c>
      <c r="M39" s="241">
        <v>46071</v>
      </c>
      <c r="N39" s="239" t="s">
        <v>1909</v>
      </c>
      <c r="O39" s="241"/>
    </row>
    <row r="40" spans="1:15" ht="15" hidden="1" customHeight="1" outlineLevel="2" x14ac:dyDescent="0.25">
      <c r="A40" s="247"/>
      <c r="B40" s="247"/>
      <c r="C40" s="247" t="s">
        <v>351</v>
      </c>
      <c r="D40" s="247" t="s">
        <v>488</v>
      </c>
      <c r="E40" s="248">
        <v>10000000</v>
      </c>
      <c r="F40" s="249">
        <v>100.61490000000001</v>
      </c>
      <c r="G40" s="250">
        <v>7157244.9199999999</v>
      </c>
      <c r="H40" s="250">
        <v>100400</v>
      </c>
      <c r="I40" s="247" t="s">
        <v>1930</v>
      </c>
      <c r="J40" s="248">
        <v>1000</v>
      </c>
      <c r="K40" s="249" t="s">
        <v>1931</v>
      </c>
      <c r="L40" s="248">
        <v>1570</v>
      </c>
      <c r="M40" s="251">
        <v>46071</v>
      </c>
      <c r="N40" s="249" t="s">
        <v>1909</v>
      </c>
      <c r="O40" s="251"/>
    </row>
    <row r="41" spans="1:15" ht="15" customHeight="1" outlineLevel="1" collapsed="1" x14ac:dyDescent="0.25">
      <c r="A41" s="237"/>
      <c r="B41" s="237" t="s">
        <v>1948</v>
      </c>
      <c r="C41" s="237" t="s">
        <v>351</v>
      </c>
      <c r="D41" s="237" t="s">
        <v>486</v>
      </c>
      <c r="E41" s="238">
        <v>7500000</v>
      </c>
      <c r="F41" s="239">
        <v>101.1634</v>
      </c>
      <c r="G41" s="240">
        <v>5726152.3700000001</v>
      </c>
      <c r="H41" s="240">
        <v>80325</v>
      </c>
      <c r="I41" s="237" t="s">
        <v>1909</v>
      </c>
      <c r="J41" s="238">
        <v>1000</v>
      </c>
      <c r="K41" s="239" t="s">
        <v>1909</v>
      </c>
      <c r="L41" s="238">
        <v>471</v>
      </c>
      <c r="M41" s="241">
        <v>44972</v>
      </c>
      <c r="N41" s="239" t="s">
        <v>1909</v>
      </c>
      <c r="O41" s="241"/>
    </row>
    <row r="42" spans="1:15" ht="15" hidden="1" customHeight="1" outlineLevel="2" x14ac:dyDescent="0.25">
      <c r="A42" s="247"/>
      <c r="B42" s="247"/>
      <c r="C42" s="247" t="s">
        <v>351</v>
      </c>
      <c r="D42" s="247" t="s">
        <v>486</v>
      </c>
      <c r="E42" s="248">
        <v>7500000</v>
      </c>
      <c r="F42" s="249">
        <v>101.1634</v>
      </c>
      <c r="G42" s="250">
        <v>5726152.3700000001</v>
      </c>
      <c r="H42" s="250">
        <v>80325</v>
      </c>
      <c r="I42" s="247" t="s">
        <v>1930</v>
      </c>
      <c r="J42" s="248">
        <v>1000</v>
      </c>
      <c r="K42" s="249" t="s">
        <v>1931</v>
      </c>
      <c r="L42" s="248">
        <v>471</v>
      </c>
      <c r="M42" s="251">
        <v>44972</v>
      </c>
      <c r="N42" s="249" t="s">
        <v>1909</v>
      </c>
      <c r="O42" s="251"/>
    </row>
    <row r="43" spans="1:15" ht="15" customHeight="1" outlineLevel="1" collapsed="1" x14ac:dyDescent="0.25">
      <c r="A43" s="237"/>
      <c r="B43" s="237" t="s">
        <v>1949</v>
      </c>
      <c r="C43" s="237" t="s">
        <v>1913</v>
      </c>
      <c r="D43" s="237" t="s">
        <v>527</v>
      </c>
      <c r="E43" s="238">
        <v>1000000000</v>
      </c>
      <c r="F43" s="239">
        <v>104.2641</v>
      </c>
      <c r="G43" s="240">
        <v>7568500</v>
      </c>
      <c r="H43" s="240">
        <v>7568500</v>
      </c>
      <c r="I43" s="237" t="s">
        <v>1909</v>
      </c>
      <c r="J43" s="238">
        <v>100000</v>
      </c>
      <c r="K43" s="239" t="s">
        <v>1909</v>
      </c>
      <c r="L43" s="238">
        <v>331</v>
      </c>
      <c r="M43" s="241">
        <v>44832</v>
      </c>
      <c r="N43" s="239" t="s">
        <v>1909</v>
      </c>
      <c r="O43" s="241"/>
    </row>
    <row r="44" spans="1:15" ht="15" hidden="1" customHeight="1" outlineLevel="2" x14ac:dyDescent="0.25">
      <c r="A44" s="247"/>
      <c r="B44" s="247"/>
      <c r="C44" s="247" t="s">
        <v>1913</v>
      </c>
      <c r="D44" s="247" t="s">
        <v>527</v>
      </c>
      <c r="E44" s="248">
        <v>1000000000</v>
      </c>
      <c r="F44" s="249">
        <v>104.2641</v>
      </c>
      <c r="G44" s="250">
        <v>7568500</v>
      </c>
      <c r="H44" s="250">
        <v>7568500</v>
      </c>
      <c r="I44" s="247" t="s">
        <v>1930</v>
      </c>
      <c r="J44" s="248">
        <v>100000</v>
      </c>
      <c r="K44" s="249" t="s">
        <v>1931</v>
      </c>
      <c r="L44" s="248">
        <v>331</v>
      </c>
      <c r="M44" s="251">
        <v>44832</v>
      </c>
      <c r="N44" s="249" t="s">
        <v>1909</v>
      </c>
      <c r="O44" s="251"/>
    </row>
    <row r="45" spans="1:15" ht="15" customHeight="1" outlineLevel="1" collapsed="1" x14ac:dyDescent="0.25">
      <c r="A45" s="237"/>
      <c r="B45" s="237" t="s">
        <v>2118</v>
      </c>
      <c r="C45" s="237" t="s">
        <v>351</v>
      </c>
      <c r="D45" s="237" t="s">
        <v>1105</v>
      </c>
      <c r="E45" s="238">
        <v>15000000</v>
      </c>
      <c r="F45" s="239">
        <v>100</v>
      </c>
      <c r="G45" s="240">
        <v>534654.75</v>
      </c>
      <c r="H45" s="240">
        <v>7500</v>
      </c>
      <c r="I45" s="237" t="s">
        <v>1909</v>
      </c>
      <c r="J45" s="238">
        <v>1000</v>
      </c>
      <c r="K45" s="239" t="s">
        <v>1909</v>
      </c>
      <c r="L45" s="238">
        <v>3646</v>
      </c>
      <c r="M45" s="241">
        <v>48147</v>
      </c>
      <c r="N45" s="239" t="s">
        <v>1909</v>
      </c>
      <c r="O45" s="241"/>
    </row>
    <row r="46" spans="1:15" ht="15" hidden="1" customHeight="1" outlineLevel="2" x14ac:dyDescent="0.25">
      <c r="A46" s="247"/>
      <c r="B46" s="247"/>
      <c r="C46" s="247" t="s">
        <v>351</v>
      </c>
      <c r="D46" s="247" t="s">
        <v>1105</v>
      </c>
      <c r="E46" s="248">
        <v>15000000</v>
      </c>
      <c r="F46" s="249">
        <v>100</v>
      </c>
      <c r="G46" s="250">
        <v>534654.75</v>
      </c>
      <c r="H46" s="250">
        <v>7500</v>
      </c>
      <c r="I46" s="247" t="s">
        <v>1930</v>
      </c>
      <c r="J46" s="248">
        <v>1000</v>
      </c>
      <c r="K46" s="249" t="s">
        <v>1931</v>
      </c>
      <c r="L46" s="248">
        <v>3646</v>
      </c>
      <c r="M46" s="251">
        <v>48147</v>
      </c>
      <c r="N46" s="249" t="s">
        <v>1909</v>
      </c>
      <c r="O46" s="251"/>
    </row>
    <row r="47" spans="1:15" ht="15" customHeight="1" outlineLevel="1" collapsed="1" x14ac:dyDescent="0.25">
      <c r="A47" s="237"/>
      <c r="B47" s="237" t="s">
        <v>1950</v>
      </c>
      <c r="C47" s="237" t="s">
        <v>351</v>
      </c>
      <c r="D47" s="237" t="s">
        <v>505</v>
      </c>
      <c r="E47" s="238">
        <v>10000000</v>
      </c>
      <c r="F47" s="239">
        <v>96.01</v>
      </c>
      <c r="G47" s="240">
        <v>965336.97</v>
      </c>
      <c r="H47" s="240">
        <v>13541.5</v>
      </c>
      <c r="I47" s="237" t="s">
        <v>1909</v>
      </c>
      <c r="J47" s="238">
        <v>200000</v>
      </c>
      <c r="K47" s="239" t="s">
        <v>1909</v>
      </c>
      <c r="L47" s="238">
        <v>1430</v>
      </c>
      <c r="M47" s="241">
        <v>45931</v>
      </c>
      <c r="N47" s="239" t="s">
        <v>1909</v>
      </c>
      <c r="O47" s="241"/>
    </row>
    <row r="48" spans="1:15" ht="15" hidden="1" customHeight="1" outlineLevel="2" x14ac:dyDescent="0.25">
      <c r="A48" s="247"/>
      <c r="B48" s="247"/>
      <c r="C48" s="247" t="s">
        <v>351</v>
      </c>
      <c r="D48" s="247" t="s">
        <v>505</v>
      </c>
      <c r="E48" s="248">
        <v>10000000</v>
      </c>
      <c r="F48" s="249">
        <v>96.01</v>
      </c>
      <c r="G48" s="250">
        <v>965336.97</v>
      </c>
      <c r="H48" s="250">
        <v>13541.5</v>
      </c>
      <c r="I48" s="247" t="s">
        <v>1930</v>
      </c>
      <c r="J48" s="248">
        <v>200000</v>
      </c>
      <c r="K48" s="249" t="s">
        <v>1931</v>
      </c>
      <c r="L48" s="248">
        <v>1430</v>
      </c>
      <c r="M48" s="251">
        <v>45931</v>
      </c>
      <c r="N48" s="249" t="s">
        <v>1909</v>
      </c>
      <c r="O48" s="251"/>
    </row>
    <row r="49" spans="1:15" ht="15" customHeight="1" outlineLevel="1" collapsed="1" x14ac:dyDescent="0.25">
      <c r="A49" s="237"/>
      <c r="B49" s="237" t="s">
        <v>1951</v>
      </c>
      <c r="C49" s="237" t="s">
        <v>351</v>
      </c>
      <c r="D49" s="237" t="s">
        <v>496</v>
      </c>
      <c r="E49" s="238">
        <v>106400000</v>
      </c>
      <c r="F49" s="239">
        <v>102.2983</v>
      </c>
      <c r="G49" s="240">
        <v>48658627.969999999</v>
      </c>
      <c r="H49" s="240">
        <v>682570.78</v>
      </c>
      <c r="I49" s="237" t="s">
        <v>1909</v>
      </c>
      <c r="J49" s="238">
        <v>1000</v>
      </c>
      <c r="K49" s="239" t="s">
        <v>1909</v>
      </c>
      <c r="L49" s="238">
        <v>125</v>
      </c>
      <c r="M49" s="241">
        <v>44626</v>
      </c>
      <c r="N49" s="239" t="s">
        <v>1909</v>
      </c>
      <c r="O49" s="241"/>
    </row>
    <row r="50" spans="1:15" ht="15" hidden="1" customHeight="1" outlineLevel="2" x14ac:dyDescent="0.25">
      <c r="A50" s="247"/>
      <c r="B50" s="247"/>
      <c r="C50" s="247" t="s">
        <v>351</v>
      </c>
      <c r="D50" s="247" t="s">
        <v>496</v>
      </c>
      <c r="E50" s="248">
        <v>106400000</v>
      </c>
      <c r="F50" s="249">
        <v>102.2983</v>
      </c>
      <c r="G50" s="250">
        <v>48658627.969999999</v>
      </c>
      <c r="H50" s="250">
        <v>682570.78</v>
      </c>
      <c r="I50" s="247" t="s">
        <v>1930</v>
      </c>
      <c r="J50" s="248">
        <v>1000</v>
      </c>
      <c r="K50" s="249" t="s">
        <v>1931</v>
      </c>
      <c r="L50" s="248">
        <v>125</v>
      </c>
      <c r="M50" s="251">
        <v>44626</v>
      </c>
      <c r="N50" s="249" t="s">
        <v>1909</v>
      </c>
      <c r="O50" s="251"/>
    </row>
    <row r="51" spans="1:15" ht="15" customHeight="1" outlineLevel="1" collapsed="1" x14ac:dyDescent="0.25">
      <c r="A51" s="237"/>
      <c r="B51" s="237" t="s">
        <v>1952</v>
      </c>
      <c r="C51" s="237" t="s">
        <v>351</v>
      </c>
      <c r="D51" s="237" t="s">
        <v>484</v>
      </c>
      <c r="E51" s="238">
        <v>900000</v>
      </c>
      <c r="F51" s="239">
        <v>97.615799999999993</v>
      </c>
      <c r="G51" s="240">
        <v>778243.45</v>
      </c>
      <c r="H51" s="240">
        <v>10917</v>
      </c>
      <c r="I51" s="237" t="s">
        <v>1909</v>
      </c>
      <c r="J51" s="238">
        <v>1000</v>
      </c>
      <c r="K51" s="239" t="s">
        <v>1909</v>
      </c>
      <c r="L51" s="238">
        <v>457</v>
      </c>
      <c r="M51" s="241">
        <v>44958</v>
      </c>
      <c r="N51" s="239" t="s">
        <v>1909</v>
      </c>
      <c r="O51" s="241"/>
    </row>
    <row r="52" spans="1:15" ht="15" hidden="1" customHeight="1" outlineLevel="2" x14ac:dyDescent="0.25">
      <c r="A52" s="247"/>
      <c r="B52" s="247"/>
      <c r="C52" s="247" t="s">
        <v>351</v>
      </c>
      <c r="D52" s="247" t="s">
        <v>484</v>
      </c>
      <c r="E52" s="248">
        <v>900000</v>
      </c>
      <c r="F52" s="249">
        <v>97.615799999999993</v>
      </c>
      <c r="G52" s="250">
        <v>778243.45</v>
      </c>
      <c r="H52" s="250">
        <v>10917</v>
      </c>
      <c r="I52" s="247" t="s">
        <v>1930</v>
      </c>
      <c r="J52" s="248">
        <v>1000</v>
      </c>
      <c r="K52" s="249" t="s">
        <v>1931</v>
      </c>
      <c r="L52" s="248">
        <v>457</v>
      </c>
      <c r="M52" s="251">
        <v>44958</v>
      </c>
      <c r="N52" s="249" t="s">
        <v>1909</v>
      </c>
      <c r="O52" s="251"/>
    </row>
    <row r="53" spans="1:15" ht="15" customHeight="1" outlineLevel="1" collapsed="1" x14ac:dyDescent="0.25">
      <c r="A53" s="237"/>
      <c r="B53" s="237" t="s">
        <v>1953</v>
      </c>
      <c r="C53" s="237" t="s">
        <v>351</v>
      </c>
      <c r="D53" s="237" t="s">
        <v>498</v>
      </c>
      <c r="E53" s="238">
        <v>10225000</v>
      </c>
      <c r="F53" s="239">
        <v>104.4836</v>
      </c>
      <c r="G53" s="240">
        <v>10417376.4</v>
      </c>
      <c r="H53" s="240">
        <v>146132.29</v>
      </c>
      <c r="I53" s="237" t="s">
        <v>1909</v>
      </c>
      <c r="J53" s="238">
        <v>1000</v>
      </c>
      <c r="K53" s="239" t="s">
        <v>1909</v>
      </c>
      <c r="L53" s="238">
        <v>98</v>
      </c>
      <c r="M53" s="241">
        <v>44599</v>
      </c>
      <c r="N53" s="239" t="s">
        <v>1909</v>
      </c>
      <c r="O53" s="241"/>
    </row>
    <row r="54" spans="1:15" ht="15" hidden="1" customHeight="1" outlineLevel="2" x14ac:dyDescent="0.25">
      <c r="A54" s="247"/>
      <c r="B54" s="247"/>
      <c r="C54" s="247" t="s">
        <v>351</v>
      </c>
      <c r="D54" s="247" t="s">
        <v>498</v>
      </c>
      <c r="E54" s="248">
        <v>10225000</v>
      </c>
      <c r="F54" s="249">
        <v>104.4836</v>
      </c>
      <c r="G54" s="250">
        <v>10417376.4</v>
      </c>
      <c r="H54" s="250">
        <v>146132.29</v>
      </c>
      <c r="I54" s="247" t="s">
        <v>1930</v>
      </c>
      <c r="J54" s="248">
        <v>1000</v>
      </c>
      <c r="K54" s="249" t="s">
        <v>1931</v>
      </c>
      <c r="L54" s="248">
        <v>98</v>
      </c>
      <c r="M54" s="251">
        <v>44599</v>
      </c>
      <c r="N54" s="249" t="s">
        <v>1909</v>
      </c>
      <c r="O54" s="251"/>
    </row>
    <row r="55" spans="1:15" ht="15" customHeight="1" outlineLevel="1" collapsed="1" x14ac:dyDescent="0.25">
      <c r="A55" s="237"/>
      <c r="B55" s="237" t="s">
        <v>1954</v>
      </c>
      <c r="C55" s="237" t="s">
        <v>351</v>
      </c>
      <c r="D55" s="237" t="s">
        <v>482</v>
      </c>
      <c r="E55" s="238">
        <v>4500000</v>
      </c>
      <c r="F55" s="239">
        <v>101.2813</v>
      </c>
      <c r="G55" s="240">
        <v>6465981.2400000002</v>
      </c>
      <c r="H55" s="240">
        <v>90703.13</v>
      </c>
      <c r="I55" s="237" t="s">
        <v>1909</v>
      </c>
      <c r="J55" s="238">
        <v>1000</v>
      </c>
      <c r="K55" s="239" t="s">
        <v>1909</v>
      </c>
      <c r="L55" s="238">
        <v>592</v>
      </c>
      <c r="M55" s="241">
        <v>45093</v>
      </c>
      <c r="N55" s="239" t="s">
        <v>1909</v>
      </c>
      <c r="O55" s="241"/>
    </row>
    <row r="56" spans="1:15" ht="15" hidden="1" customHeight="1" outlineLevel="2" x14ac:dyDescent="0.25">
      <c r="A56" s="247"/>
      <c r="B56" s="247"/>
      <c r="C56" s="247" t="s">
        <v>351</v>
      </c>
      <c r="D56" s="247" t="s">
        <v>482</v>
      </c>
      <c r="E56" s="248">
        <v>4500000</v>
      </c>
      <c r="F56" s="249">
        <v>101.2813</v>
      </c>
      <c r="G56" s="250">
        <v>6465981.2400000002</v>
      </c>
      <c r="H56" s="250">
        <v>90703.13</v>
      </c>
      <c r="I56" s="247" t="s">
        <v>1930</v>
      </c>
      <c r="J56" s="248">
        <v>1000</v>
      </c>
      <c r="K56" s="249" t="s">
        <v>1931</v>
      </c>
      <c r="L56" s="248">
        <v>592</v>
      </c>
      <c r="M56" s="251">
        <v>45093</v>
      </c>
      <c r="N56" s="249" t="s">
        <v>1909</v>
      </c>
      <c r="O56" s="251"/>
    </row>
    <row r="57" spans="1:15" ht="15" customHeight="1" outlineLevel="1" collapsed="1" x14ac:dyDescent="0.25">
      <c r="A57" s="237"/>
      <c r="B57" s="237" t="s">
        <v>1955</v>
      </c>
      <c r="C57" s="237" t="s">
        <v>351</v>
      </c>
      <c r="D57" s="237" t="s">
        <v>494</v>
      </c>
      <c r="E57" s="238">
        <v>62825000</v>
      </c>
      <c r="F57" s="239">
        <v>103.3528</v>
      </c>
      <c r="G57" s="240">
        <v>22859646.449999999</v>
      </c>
      <c r="H57" s="240">
        <v>320669.27</v>
      </c>
      <c r="I57" s="237" t="s">
        <v>1909</v>
      </c>
      <c r="J57" s="238">
        <v>1000</v>
      </c>
      <c r="K57" s="239" t="s">
        <v>1909</v>
      </c>
      <c r="L57" s="238">
        <v>322</v>
      </c>
      <c r="M57" s="241">
        <v>44823</v>
      </c>
      <c r="N57" s="239" t="s">
        <v>1909</v>
      </c>
      <c r="O57" s="241"/>
    </row>
    <row r="58" spans="1:15" ht="15" hidden="1" customHeight="1" outlineLevel="2" x14ac:dyDescent="0.25">
      <c r="A58" s="247"/>
      <c r="B58" s="247"/>
      <c r="C58" s="247" t="s">
        <v>351</v>
      </c>
      <c r="D58" s="247" t="s">
        <v>494</v>
      </c>
      <c r="E58" s="248">
        <v>62825000</v>
      </c>
      <c r="F58" s="249">
        <v>103.3528</v>
      </c>
      <c r="G58" s="250">
        <v>22859646.449999999</v>
      </c>
      <c r="H58" s="250">
        <v>320669.27</v>
      </c>
      <c r="I58" s="247" t="s">
        <v>1930</v>
      </c>
      <c r="J58" s="248">
        <v>1000</v>
      </c>
      <c r="K58" s="249" t="s">
        <v>1931</v>
      </c>
      <c r="L58" s="248">
        <v>322</v>
      </c>
      <c r="M58" s="251">
        <v>44823</v>
      </c>
      <c r="N58" s="249" t="s">
        <v>1909</v>
      </c>
      <c r="O58" s="251"/>
    </row>
    <row r="59" spans="1:15" ht="15" customHeight="1" outlineLevel="1" collapsed="1" x14ac:dyDescent="0.25">
      <c r="A59" s="237"/>
      <c r="B59" s="237" t="s">
        <v>1956</v>
      </c>
      <c r="C59" s="237" t="s">
        <v>351</v>
      </c>
      <c r="D59" s="237" t="s">
        <v>493</v>
      </c>
      <c r="E59" s="238">
        <v>76268000</v>
      </c>
      <c r="F59" s="239">
        <v>105.5266</v>
      </c>
      <c r="G59" s="240">
        <v>105552145.26000001</v>
      </c>
      <c r="H59" s="240">
        <v>1480658.48</v>
      </c>
      <c r="I59" s="237" t="s">
        <v>1909</v>
      </c>
      <c r="J59" s="238">
        <v>1000</v>
      </c>
      <c r="K59" s="239" t="s">
        <v>1909</v>
      </c>
      <c r="L59" s="238">
        <v>246</v>
      </c>
      <c r="M59" s="241">
        <v>44747</v>
      </c>
      <c r="N59" s="239" t="s">
        <v>1909</v>
      </c>
      <c r="O59" s="241"/>
    </row>
    <row r="60" spans="1:15" ht="15" hidden="1" customHeight="1" outlineLevel="2" x14ac:dyDescent="0.25">
      <c r="A60" s="247"/>
      <c r="B60" s="247"/>
      <c r="C60" s="247" t="s">
        <v>351</v>
      </c>
      <c r="D60" s="247" t="s">
        <v>493</v>
      </c>
      <c r="E60" s="248">
        <v>76268000</v>
      </c>
      <c r="F60" s="249">
        <v>105.5266</v>
      </c>
      <c r="G60" s="250">
        <v>105552145.26000001</v>
      </c>
      <c r="H60" s="250">
        <v>1480658.48</v>
      </c>
      <c r="I60" s="247" t="s">
        <v>1930</v>
      </c>
      <c r="J60" s="248">
        <v>1000</v>
      </c>
      <c r="K60" s="249" t="s">
        <v>1931</v>
      </c>
      <c r="L60" s="248">
        <v>246</v>
      </c>
      <c r="M60" s="251">
        <v>44747</v>
      </c>
      <c r="N60" s="249" t="s">
        <v>1909</v>
      </c>
      <c r="O60" s="251"/>
    </row>
    <row r="61" spans="1:15" ht="15" customHeight="1" outlineLevel="1" collapsed="1" x14ac:dyDescent="0.25">
      <c r="A61" s="237"/>
      <c r="B61" s="237" t="s">
        <v>1957</v>
      </c>
      <c r="C61" s="237" t="s">
        <v>351</v>
      </c>
      <c r="D61" s="237" t="s">
        <v>485</v>
      </c>
      <c r="E61" s="238">
        <v>3000000</v>
      </c>
      <c r="F61" s="239">
        <v>103.8609</v>
      </c>
      <c r="G61" s="240">
        <v>215346.81</v>
      </c>
      <c r="H61" s="240">
        <v>3020.83</v>
      </c>
      <c r="I61" s="237" t="s">
        <v>1909</v>
      </c>
      <c r="J61" s="238">
        <v>1000</v>
      </c>
      <c r="K61" s="239" t="s">
        <v>1909</v>
      </c>
      <c r="L61" s="238">
        <v>451</v>
      </c>
      <c r="M61" s="241">
        <v>44952</v>
      </c>
      <c r="N61" s="239" t="s">
        <v>1909</v>
      </c>
      <c r="O61" s="241"/>
    </row>
    <row r="62" spans="1:15" ht="15" hidden="1" customHeight="1" outlineLevel="2" x14ac:dyDescent="0.25">
      <c r="A62" s="247"/>
      <c r="B62" s="247"/>
      <c r="C62" s="247" t="s">
        <v>351</v>
      </c>
      <c r="D62" s="247" t="s">
        <v>485</v>
      </c>
      <c r="E62" s="248">
        <v>3000000</v>
      </c>
      <c r="F62" s="249">
        <v>103.8609</v>
      </c>
      <c r="G62" s="250">
        <v>215346.81</v>
      </c>
      <c r="H62" s="250">
        <v>3020.83</v>
      </c>
      <c r="I62" s="247" t="s">
        <v>1930</v>
      </c>
      <c r="J62" s="248">
        <v>1000</v>
      </c>
      <c r="K62" s="249" t="s">
        <v>1931</v>
      </c>
      <c r="L62" s="248">
        <v>451</v>
      </c>
      <c r="M62" s="251">
        <v>44952</v>
      </c>
      <c r="N62" s="249" t="s">
        <v>1909</v>
      </c>
      <c r="O62" s="251"/>
    </row>
    <row r="63" spans="1:15" ht="15" customHeight="1" outlineLevel="1" collapsed="1" x14ac:dyDescent="0.25">
      <c r="A63" s="237"/>
      <c r="B63" s="237" t="s">
        <v>1958</v>
      </c>
      <c r="C63" s="237" t="s">
        <v>1913</v>
      </c>
      <c r="D63" s="237" t="s">
        <v>570</v>
      </c>
      <c r="E63" s="238">
        <v>400000000</v>
      </c>
      <c r="F63" s="239">
        <v>100</v>
      </c>
      <c r="G63" s="240">
        <v>4062520</v>
      </c>
      <c r="H63" s="240">
        <v>4062520</v>
      </c>
      <c r="I63" s="237" t="s">
        <v>1909</v>
      </c>
      <c r="J63" s="238">
        <v>100000</v>
      </c>
      <c r="K63" s="239" t="s">
        <v>1909</v>
      </c>
      <c r="L63" s="238">
        <v>1780</v>
      </c>
      <c r="M63" s="241">
        <v>46281</v>
      </c>
      <c r="N63" s="239" t="s">
        <v>1909</v>
      </c>
      <c r="O63" s="241"/>
    </row>
    <row r="64" spans="1:15" ht="15" hidden="1" customHeight="1" outlineLevel="2" x14ac:dyDescent="0.25">
      <c r="A64" s="247"/>
      <c r="B64" s="247"/>
      <c r="C64" s="247" t="s">
        <v>1913</v>
      </c>
      <c r="D64" s="247" t="s">
        <v>570</v>
      </c>
      <c r="E64" s="248">
        <v>400000000</v>
      </c>
      <c r="F64" s="249">
        <v>100</v>
      </c>
      <c r="G64" s="250">
        <v>4062520</v>
      </c>
      <c r="H64" s="250">
        <v>4062520</v>
      </c>
      <c r="I64" s="247" t="s">
        <v>1930</v>
      </c>
      <c r="J64" s="248">
        <v>100000</v>
      </c>
      <c r="K64" s="249" t="s">
        <v>1931</v>
      </c>
      <c r="L64" s="248">
        <v>1780</v>
      </c>
      <c r="M64" s="251">
        <v>46281</v>
      </c>
      <c r="N64" s="249" t="s">
        <v>1909</v>
      </c>
      <c r="O64" s="251"/>
    </row>
    <row r="65" spans="1:15" ht="15" customHeight="1" outlineLevel="1" collapsed="1" x14ac:dyDescent="0.25">
      <c r="A65" s="237"/>
      <c r="B65" s="237" t="s">
        <v>1959</v>
      </c>
      <c r="C65" s="237" t="s">
        <v>1913</v>
      </c>
      <c r="D65" s="237" t="s">
        <v>530</v>
      </c>
      <c r="E65" s="238">
        <v>499000000</v>
      </c>
      <c r="F65" s="239">
        <v>100</v>
      </c>
      <c r="G65" s="240">
        <v>3672640</v>
      </c>
      <c r="H65" s="240">
        <v>3672640</v>
      </c>
      <c r="I65" s="237" t="s">
        <v>1909</v>
      </c>
      <c r="J65" s="238">
        <v>1000</v>
      </c>
      <c r="K65" s="239" t="s">
        <v>1909</v>
      </c>
      <c r="L65" s="238">
        <v>882</v>
      </c>
      <c r="M65" s="241">
        <v>45383</v>
      </c>
      <c r="N65" s="239" t="s">
        <v>1909</v>
      </c>
      <c r="O65" s="241"/>
    </row>
    <row r="66" spans="1:15" ht="15" hidden="1" customHeight="1" outlineLevel="2" x14ac:dyDescent="0.25">
      <c r="A66" s="247"/>
      <c r="B66" s="247"/>
      <c r="C66" s="247" t="s">
        <v>1913</v>
      </c>
      <c r="D66" s="247" t="s">
        <v>530</v>
      </c>
      <c r="E66" s="248">
        <v>499000000</v>
      </c>
      <c r="F66" s="249">
        <v>100</v>
      </c>
      <c r="G66" s="250">
        <v>3672640</v>
      </c>
      <c r="H66" s="250">
        <v>3672640</v>
      </c>
      <c r="I66" s="247" t="s">
        <v>1930</v>
      </c>
      <c r="J66" s="248">
        <v>1000</v>
      </c>
      <c r="K66" s="249" t="s">
        <v>1931</v>
      </c>
      <c r="L66" s="248">
        <v>882</v>
      </c>
      <c r="M66" s="251">
        <v>45383</v>
      </c>
      <c r="N66" s="249" t="s">
        <v>1909</v>
      </c>
      <c r="O66" s="251"/>
    </row>
    <row r="67" spans="1:15" ht="15" customHeight="1" outlineLevel="1" collapsed="1" x14ac:dyDescent="0.25">
      <c r="A67" s="237"/>
      <c r="B67" s="237" t="s">
        <v>1960</v>
      </c>
      <c r="C67" s="237" t="s">
        <v>1913</v>
      </c>
      <c r="D67" s="237" t="s">
        <v>510</v>
      </c>
      <c r="E67" s="238">
        <v>594298000</v>
      </c>
      <c r="F67" s="239">
        <v>97.330200000000005</v>
      </c>
      <c r="G67" s="240">
        <v>9009557.6799999997</v>
      </c>
      <c r="H67" s="240">
        <v>9009557.6799999997</v>
      </c>
      <c r="I67" s="237" t="s">
        <v>1909</v>
      </c>
      <c r="J67" s="238">
        <v>1000</v>
      </c>
      <c r="K67" s="239" t="s">
        <v>1909</v>
      </c>
      <c r="L67" s="238">
        <v>277</v>
      </c>
      <c r="M67" s="241">
        <v>44778</v>
      </c>
      <c r="N67" s="239" t="s">
        <v>1909</v>
      </c>
      <c r="O67" s="241"/>
    </row>
    <row r="68" spans="1:15" ht="15" hidden="1" customHeight="1" outlineLevel="2" x14ac:dyDescent="0.25">
      <c r="A68" s="247"/>
      <c r="B68" s="247"/>
      <c r="C68" s="247" t="s">
        <v>1913</v>
      </c>
      <c r="D68" s="247" t="s">
        <v>510</v>
      </c>
      <c r="E68" s="248">
        <v>594298000</v>
      </c>
      <c r="F68" s="249">
        <v>97.330200000000005</v>
      </c>
      <c r="G68" s="250">
        <v>9009557.6799999997</v>
      </c>
      <c r="H68" s="250">
        <v>9009557.6799999997</v>
      </c>
      <c r="I68" s="247" t="s">
        <v>1930</v>
      </c>
      <c r="J68" s="248">
        <v>1000</v>
      </c>
      <c r="K68" s="249" t="s">
        <v>1931</v>
      </c>
      <c r="L68" s="248">
        <v>277</v>
      </c>
      <c r="M68" s="251">
        <v>44778</v>
      </c>
      <c r="N68" s="249" t="s">
        <v>1909</v>
      </c>
      <c r="O68" s="251"/>
    </row>
    <row r="69" spans="1:15" ht="15" customHeight="1" outlineLevel="1" collapsed="1" x14ac:dyDescent="0.25">
      <c r="A69" s="237"/>
      <c r="B69" s="237" t="s">
        <v>1961</v>
      </c>
      <c r="C69" s="237" t="s">
        <v>1913</v>
      </c>
      <c r="D69" s="237" t="s">
        <v>509</v>
      </c>
      <c r="E69" s="238">
        <v>485018000</v>
      </c>
      <c r="F69" s="239">
        <v>99.551900000000003</v>
      </c>
      <c r="G69" s="240">
        <v>1411402.38</v>
      </c>
      <c r="H69" s="240">
        <v>1411402.38</v>
      </c>
      <c r="I69" s="237" t="s">
        <v>1909</v>
      </c>
      <c r="J69" s="238">
        <v>1000</v>
      </c>
      <c r="K69" s="239" t="s">
        <v>1909</v>
      </c>
      <c r="L69" s="238">
        <v>443</v>
      </c>
      <c r="M69" s="241">
        <v>44944</v>
      </c>
      <c r="N69" s="239" t="s">
        <v>1909</v>
      </c>
      <c r="O69" s="241"/>
    </row>
    <row r="70" spans="1:15" ht="15" hidden="1" customHeight="1" outlineLevel="2" x14ac:dyDescent="0.25">
      <c r="A70" s="247"/>
      <c r="B70" s="247"/>
      <c r="C70" s="247" t="s">
        <v>1913</v>
      </c>
      <c r="D70" s="247" t="s">
        <v>509</v>
      </c>
      <c r="E70" s="248">
        <v>485018000</v>
      </c>
      <c r="F70" s="249">
        <v>99.551900000000003</v>
      </c>
      <c r="G70" s="250">
        <v>1411402.38</v>
      </c>
      <c r="H70" s="250">
        <v>1411402.38</v>
      </c>
      <c r="I70" s="247" t="s">
        <v>1930</v>
      </c>
      <c r="J70" s="248">
        <v>1000</v>
      </c>
      <c r="K70" s="249" t="s">
        <v>1931</v>
      </c>
      <c r="L70" s="248">
        <v>443</v>
      </c>
      <c r="M70" s="251">
        <v>44944</v>
      </c>
      <c r="N70" s="249" t="s">
        <v>1909</v>
      </c>
      <c r="O70" s="251"/>
    </row>
    <row r="71" spans="1:15" ht="15" customHeight="1" outlineLevel="1" collapsed="1" x14ac:dyDescent="0.25">
      <c r="A71" s="237"/>
      <c r="B71" s="237" t="s">
        <v>1962</v>
      </c>
      <c r="C71" s="237" t="s">
        <v>1913</v>
      </c>
      <c r="D71" s="237" t="s">
        <v>512</v>
      </c>
      <c r="E71" s="238">
        <v>611598000</v>
      </c>
      <c r="F71" s="239">
        <v>97.672700000000006</v>
      </c>
      <c r="G71" s="240">
        <v>3816371.52</v>
      </c>
      <c r="H71" s="240">
        <v>3816371.52</v>
      </c>
      <c r="I71" s="237" t="s">
        <v>1909</v>
      </c>
      <c r="J71" s="238">
        <v>1000</v>
      </c>
      <c r="K71" s="239" t="s">
        <v>1909</v>
      </c>
      <c r="L71" s="238">
        <v>1066</v>
      </c>
      <c r="M71" s="241">
        <v>45567</v>
      </c>
      <c r="N71" s="239" t="s">
        <v>1909</v>
      </c>
      <c r="O71" s="241"/>
    </row>
    <row r="72" spans="1:15" ht="15" hidden="1" customHeight="1" outlineLevel="2" x14ac:dyDescent="0.25">
      <c r="A72" s="247"/>
      <c r="B72" s="247"/>
      <c r="C72" s="247" t="s">
        <v>1913</v>
      </c>
      <c r="D72" s="247" t="s">
        <v>512</v>
      </c>
      <c r="E72" s="248">
        <v>611598000</v>
      </c>
      <c r="F72" s="249">
        <v>97.672700000000006</v>
      </c>
      <c r="G72" s="250">
        <v>3816371.52</v>
      </c>
      <c r="H72" s="250">
        <v>3816371.52</v>
      </c>
      <c r="I72" s="247" t="s">
        <v>1930</v>
      </c>
      <c r="J72" s="248">
        <v>1000</v>
      </c>
      <c r="K72" s="249" t="s">
        <v>1931</v>
      </c>
      <c r="L72" s="248">
        <v>1066</v>
      </c>
      <c r="M72" s="251">
        <v>45567</v>
      </c>
      <c r="N72" s="249" t="s">
        <v>1909</v>
      </c>
      <c r="O72" s="251"/>
    </row>
    <row r="73" spans="1:15" ht="15" customHeight="1" outlineLevel="1" collapsed="1" x14ac:dyDescent="0.25">
      <c r="A73" s="237"/>
      <c r="B73" s="237" t="s">
        <v>1963</v>
      </c>
      <c r="C73" s="237" t="s">
        <v>1913</v>
      </c>
      <c r="D73" s="237" t="s">
        <v>514</v>
      </c>
      <c r="E73" s="238">
        <v>365535000</v>
      </c>
      <c r="F73" s="239">
        <v>101.94029999999999</v>
      </c>
      <c r="G73" s="240">
        <v>4236550.6500000004</v>
      </c>
      <c r="H73" s="240">
        <v>4236550.6500000004</v>
      </c>
      <c r="I73" s="237" t="s">
        <v>1909</v>
      </c>
      <c r="J73" s="238">
        <v>1000</v>
      </c>
      <c r="K73" s="239" t="s">
        <v>1909</v>
      </c>
      <c r="L73" s="238">
        <v>680</v>
      </c>
      <c r="M73" s="241">
        <v>45181</v>
      </c>
      <c r="N73" s="239" t="s">
        <v>1909</v>
      </c>
      <c r="O73" s="241"/>
    </row>
    <row r="74" spans="1:15" ht="15" hidden="1" customHeight="1" outlineLevel="2" x14ac:dyDescent="0.25">
      <c r="A74" s="247"/>
      <c r="B74" s="247"/>
      <c r="C74" s="247" t="s">
        <v>1913</v>
      </c>
      <c r="D74" s="247" t="s">
        <v>514</v>
      </c>
      <c r="E74" s="248">
        <v>365535000</v>
      </c>
      <c r="F74" s="249">
        <v>101.94029999999999</v>
      </c>
      <c r="G74" s="250">
        <v>4236550.6500000004</v>
      </c>
      <c r="H74" s="250">
        <v>4236550.6500000004</v>
      </c>
      <c r="I74" s="247" t="s">
        <v>1930</v>
      </c>
      <c r="J74" s="248">
        <v>1000</v>
      </c>
      <c r="K74" s="249" t="s">
        <v>1931</v>
      </c>
      <c r="L74" s="248">
        <v>680</v>
      </c>
      <c r="M74" s="251">
        <v>45181</v>
      </c>
      <c r="N74" s="249" t="s">
        <v>1909</v>
      </c>
      <c r="O74" s="251"/>
    </row>
    <row r="75" spans="1:15" ht="15" customHeight="1" outlineLevel="1" collapsed="1" x14ac:dyDescent="0.25">
      <c r="A75" s="237"/>
      <c r="B75" s="237" t="s">
        <v>1964</v>
      </c>
      <c r="C75" s="237" t="s">
        <v>1913</v>
      </c>
      <c r="D75" s="237" t="s">
        <v>506</v>
      </c>
      <c r="E75" s="238">
        <v>217807000</v>
      </c>
      <c r="F75" s="239">
        <v>100.1614</v>
      </c>
      <c r="G75" s="240">
        <v>1685826.18</v>
      </c>
      <c r="H75" s="240">
        <v>1685826.18</v>
      </c>
      <c r="I75" s="237" t="s">
        <v>1909</v>
      </c>
      <c r="J75" s="238">
        <v>1000</v>
      </c>
      <c r="K75" s="239" t="s">
        <v>1909</v>
      </c>
      <c r="L75" s="238">
        <v>417</v>
      </c>
      <c r="M75" s="241">
        <v>44918</v>
      </c>
      <c r="N75" s="239" t="s">
        <v>1909</v>
      </c>
      <c r="O75" s="241"/>
    </row>
    <row r="76" spans="1:15" ht="15" hidden="1" customHeight="1" outlineLevel="2" x14ac:dyDescent="0.25">
      <c r="A76" s="247"/>
      <c r="B76" s="247"/>
      <c r="C76" s="247" t="s">
        <v>1913</v>
      </c>
      <c r="D76" s="247" t="s">
        <v>506</v>
      </c>
      <c r="E76" s="248">
        <v>217807000</v>
      </c>
      <c r="F76" s="249">
        <v>100.1614</v>
      </c>
      <c r="G76" s="250">
        <v>1685826.18</v>
      </c>
      <c r="H76" s="250">
        <v>1685826.18</v>
      </c>
      <c r="I76" s="247" t="s">
        <v>1930</v>
      </c>
      <c r="J76" s="248">
        <v>1000</v>
      </c>
      <c r="K76" s="249" t="s">
        <v>1931</v>
      </c>
      <c r="L76" s="248">
        <v>417</v>
      </c>
      <c r="M76" s="251">
        <v>44918</v>
      </c>
      <c r="N76" s="249" t="s">
        <v>1909</v>
      </c>
      <c r="O76" s="251"/>
    </row>
    <row r="77" spans="1:15" ht="15" customHeight="1" outlineLevel="1" collapsed="1" x14ac:dyDescent="0.25">
      <c r="A77" s="237"/>
      <c r="B77" s="237" t="s">
        <v>1965</v>
      </c>
      <c r="C77" s="237" t="s">
        <v>1913</v>
      </c>
      <c r="D77" s="237" t="s">
        <v>1966</v>
      </c>
      <c r="E77" s="238">
        <v>296601145</v>
      </c>
      <c r="F77" s="239">
        <v>102.4378</v>
      </c>
      <c r="G77" s="240">
        <v>1369349.7</v>
      </c>
      <c r="H77" s="240">
        <v>1369349.7</v>
      </c>
      <c r="I77" s="237" t="s">
        <v>1909</v>
      </c>
      <c r="J77" s="238">
        <v>1000</v>
      </c>
      <c r="K77" s="239" t="s">
        <v>1909</v>
      </c>
      <c r="L77" s="238">
        <v>9479</v>
      </c>
      <c r="M77" s="241">
        <v>53980</v>
      </c>
      <c r="N77" s="239" t="s">
        <v>1909</v>
      </c>
      <c r="O77" s="241"/>
    </row>
    <row r="78" spans="1:15" ht="15" hidden="1" customHeight="1" outlineLevel="2" x14ac:dyDescent="0.25">
      <c r="A78" s="247"/>
      <c r="B78" s="247"/>
      <c r="C78" s="247" t="s">
        <v>1913</v>
      </c>
      <c r="D78" s="247" t="s">
        <v>1966</v>
      </c>
      <c r="E78" s="248">
        <v>296601145</v>
      </c>
      <c r="F78" s="249">
        <v>102.4378</v>
      </c>
      <c r="G78" s="250">
        <v>1369349.7</v>
      </c>
      <c r="H78" s="250">
        <v>1369349.7</v>
      </c>
      <c r="I78" s="247" t="s">
        <v>1930</v>
      </c>
      <c r="J78" s="248">
        <v>1000</v>
      </c>
      <c r="K78" s="249" t="s">
        <v>1931</v>
      </c>
      <c r="L78" s="248">
        <v>9479</v>
      </c>
      <c r="M78" s="251">
        <v>53980</v>
      </c>
      <c r="N78" s="249" t="s">
        <v>1909</v>
      </c>
      <c r="O78" s="251"/>
    </row>
    <row r="79" spans="1:15" ht="15" customHeight="1" outlineLevel="1" collapsed="1" x14ac:dyDescent="0.25">
      <c r="A79" s="237"/>
      <c r="B79" s="237" t="s">
        <v>1967</v>
      </c>
      <c r="C79" s="237" t="s">
        <v>1913</v>
      </c>
      <c r="D79" s="237" t="s">
        <v>507</v>
      </c>
      <c r="E79" s="238">
        <v>35515420</v>
      </c>
      <c r="F79" s="239">
        <v>100</v>
      </c>
      <c r="G79" s="240">
        <v>379120</v>
      </c>
      <c r="H79" s="240">
        <v>379120</v>
      </c>
      <c r="I79" s="237" t="s">
        <v>1909</v>
      </c>
      <c r="J79" s="238">
        <v>1000</v>
      </c>
      <c r="K79" s="239" t="s">
        <v>1909</v>
      </c>
      <c r="L79" s="238">
        <v>9276</v>
      </c>
      <c r="M79" s="241">
        <v>53777</v>
      </c>
      <c r="N79" s="239" t="s">
        <v>1909</v>
      </c>
      <c r="O79" s="241"/>
    </row>
    <row r="80" spans="1:15" ht="15" hidden="1" customHeight="1" outlineLevel="2" x14ac:dyDescent="0.25">
      <c r="A80" s="247"/>
      <c r="B80" s="247"/>
      <c r="C80" s="247" t="s">
        <v>1913</v>
      </c>
      <c r="D80" s="247" t="s">
        <v>507</v>
      </c>
      <c r="E80" s="248">
        <v>35515420</v>
      </c>
      <c r="F80" s="249">
        <v>100</v>
      </c>
      <c r="G80" s="250">
        <v>379120</v>
      </c>
      <c r="H80" s="250">
        <v>379120</v>
      </c>
      <c r="I80" s="247" t="s">
        <v>1930</v>
      </c>
      <c r="J80" s="248">
        <v>1000</v>
      </c>
      <c r="K80" s="249" t="s">
        <v>1931</v>
      </c>
      <c r="L80" s="248">
        <v>9276</v>
      </c>
      <c r="M80" s="251">
        <v>53777</v>
      </c>
      <c r="N80" s="249" t="s">
        <v>1909</v>
      </c>
      <c r="O80" s="251"/>
    </row>
    <row r="81" spans="1:15" ht="15" customHeight="1" outlineLevel="1" collapsed="1" x14ac:dyDescent="0.25">
      <c r="A81" s="237"/>
      <c r="B81" s="237" t="s">
        <v>1968</v>
      </c>
      <c r="C81" s="237" t="s">
        <v>1913</v>
      </c>
      <c r="D81" s="237" t="s">
        <v>517</v>
      </c>
      <c r="E81" s="238">
        <v>491673000</v>
      </c>
      <c r="F81" s="239">
        <v>101.0376</v>
      </c>
      <c r="G81" s="240">
        <v>2768118.99</v>
      </c>
      <c r="H81" s="240">
        <v>2768118.99</v>
      </c>
      <c r="I81" s="237" t="s">
        <v>1909</v>
      </c>
      <c r="J81" s="238">
        <v>1000</v>
      </c>
      <c r="K81" s="239" t="s">
        <v>1909</v>
      </c>
      <c r="L81" s="238">
        <v>343</v>
      </c>
      <c r="M81" s="241">
        <v>44844</v>
      </c>
      <c r="N81" s="239" t="s">
        <v>1909</v>
      </c>
      <c r="O81" s="241"/>
    </row>
    <row r="82" spans="1:15" ht="15" hidden="1" customHeight="1" outlineLevel="2" x14ac:dyDescent="0.25">
      <c r="A82" s="247"/>
      <c r="B82" s="247"/>
      <c r="C82" s="247" t="s">
        <v>1913</v>
      </c>
      <c r="D82" s="247" t="s">
        <v>517</v>
      </c>
      <c r="E82" s="248">
        <v>491673000</v>
      </c>
      <c r="F82" s="249">
        <v>101.0376</v>
      </c>
      <c r="G82" s="250">
        <v>2768118.99</v>
      </c>
      <c r="H82" s="250">
        <v>2768118.99</v>
      </c>
      <c r="I82" s="247" t="s">
        <v>1930</v>
      </c>
      <c r="J82" s="248">
        <v>1000</v>
      </c>
      <c r="K82" s="249" t="s">
        <v>1931</v>
      </c>
      <c r="L82" s="248">
        <v>343</v>
      </c>
      <c r="M82" s="251">
        <v>44844</v>
      </c>
      <c r="N82" s="249" t="s">
        <v>1909</v>
      </c>
      <c r="O82" s="251"/>
    </row>
    <row r="83" spans="1:15" ht="15" customHeight="1" outlineLevel="1" collapsed="1" x14ac:dyDescent="0.25">
      <c r="A83" s="237"/>
      <c r="B83" s="237" t="s">
        <v>1969</v>
      </c>
      <c r="C83" s="237" t="s">
        <v>1913</v>
      </c>
      <c r="D83" s="237" t="s">
        <v>524</v>
      </c>
      <c r="E83" s="238">
        <v>1300000000</v>
      </c>
      <c r="F83" s="239">
        <v>100</v>
      </c>
      <c r="G83" s="240">
        <v>18265000</v>
      </c>
      <c r="H83" s="240">
        <v>18265000</v>
      </c>
      <c r="I83" s="237" t="s">
        <v>1909</v>
      </c>
      <c r="J83" s="238">
        <v>1000</v>
      </c>
      <c r="K83" s="239" t="s">
        <v>1909</v>
      </c>
      <c r="L83" s="238">
        <v>561</v>
      </c>
      <c r="M83" s="241">
        <v>45062</v>
      </c>
      <c r="N83" s="239" t="s">
        <v>1909</v>
      </c>
      <c r="O83" s="241"/>
    </row>
    <row r="84" spans="1:15" ht="15" hidden="1" customHeight="1" outlineLevel="2" x14ac:dyDescent="0.25">
      <c r="A84" s="247"/>
      <c r="B84" s="247"/>
      <c r="C84" s="247" t="s">
        <v>1913</v>
      </c>
      <c r="D84" s="247" t="s">
        <v>524</v>
      </c>
      <c r="E84" s="248">
        <v>1300000000</v>
      </c>
      <c r="F84" s="249">
        <v>100</v>
      </c>
      <c r="G84" s="250">
        <v>18265000</v>
      </c>
      <c r="H84" s="250">
        <v>18265000</v>
      </c>
      <c r="I84" s="247" t="s">
        <v>1930</v>
      </c>
      <c r="J84" s="248">
        <v>1000</v>
      </c>
      <c r="K84" s="249" t="s">
        <v>1931</v>
      </c>
      <c r="L84" s="248">
        <v>561</v>
      </c>
      <c r="M84" s="251">
        <v>45062</v>
      </c>
      <c r="N84" s="249" t="s">
        <v>1909</v>
      </c>
      <c r="O84" s="251"/>
    </row>
    <row r="85" spans="1:15" ht="15" customHeight="1" outlineLevel="1" collapsed="1" x14ac:dyDescent="0.25">
      <c r="A85" s="237"/>
      <c r="B85" s="237" t="s">
        <v>1970</v>
      </c>
      <c r="C85" s="237" t="s">
        <v>1913</v>
      </c>
      <c r="D85" s="237" t="s">
        <v>528</v>
      </c>
      <c r="E85" s="238">
        <v>300000000</v>
      </c>
      <c r="F85" s="239">
        <v>103.8912</v>
      </c>
      <c r="G85" s="240">
        <v>5910000</v>
      </c>
      <c r="H85" s="240">
        <v>5910000</v>
      </c>
      <c r="I85" s="237" t="s">
        <v>1909</v>
      </c>
      <c r="J85" s="238">
        <v>1000</v>
      </c>
      <c r="K85" s="239" t="s">
        <v>1909</v>
      </c>
      <c r="L85" s="238">
        <v>452</v>
      </c>
      <c r="M85" s="241">
        <v>44953</v>
      </c>
      <c r="N85" s="239" t="s">
        <v>1909</v>
      </c>
      <c r="O85" s="241"/>
    </row>
    <row r="86" spans="1:15" ht="15" hidden="1" customHeight="1" outlineLevel="2" x14ac:dyDescent="0.25">
      <c r="A86" s="247"/>
      <c r="B86" s="247"/>
      <c r="C86" s="247" t="s">
        <v>1913</v>
      </c>
      <c r="D86" s="247" t="s">
        <v>528</v>
      </c>
      <c r="E86" s="248">
        <v>300000000</v>
      </c>
      <c r="F86" s="249">
        <v>103.8912</v>
      </c>
      <c r="G86" s="250">
        <v>5910000</v>
      </c>
      <c r="H86" s="250">
        <v>5910000</v>
      </c>
      <c r="I86" s="247" t="s">
        <v>1930</v>
      </c>
      <c r="J86" s="248">
        <v>1000</v>
      </c>
      <c r="K86" s="249" t="s">
        <v>1931</v>
      </c>
      <c r="L86" s="248">
        <v>452</v>
      </c>
      <c r="M86" s="251">
        <v>44953</v>
      </c>
      <c r="N86" s="249" t="s">
        <v>1909</v>
      </c>
      <c r="O86" s="251"/>
    </row>
    <row r="87" spans="1:15" ht="15" customHeight="1" outlineLevel="1" collapsed="1" x14ac:dyDescent="0.25">
      <c r="A87" s="237"/>
      <c r="B87" s="237" t="s">
        <v>1971</v>
      </c>
      <c r="C87" s="237" t="s">
        <v>1913</v>
      </c>
      <c r="D87" s="237" t="s">
        <v>529</v>
      </c>
      <c r="E87" s="238">
        <v>200000000</v>
      </c>
      <c r="F87" s="239">
        <v>104.0012</v>
      </c>
      <c r="G87" s="240">
        <v>3940000</v>
      </c>
      <c r="H87" s="240">
        <v>3940000</v>
      </c>
      <c r="I87" s="237" t="s">
        <v>1909</v>
      </c>
      <c r="J87" s="238">
        <v>1000</v>
      </c>
      <c r="K87" s="239" t="s">
        <v>1909</v>
      </c>
      <c r="L87" s="238">
        <v>452</v>
      </c>
      <c r="M87" s="241">
        <v>44953</v>
      </c>
      <c r="N87" s="239" t="s">
        <v>1909</v>
      </c>
      <c r="O87" s="241"/>
    </row>
    <row r="88" spans="1:15" ht="15" hidden="1" customHeight="1" outlineLevel="2" x14ac:dyDescent="0.25">
      <c r="A88" s="247"/>
      <c r="B88" s="247"/>
      <c r="C88" s="247" t="s">
        <v>1913</v>
      </c>
      <c r="D88" s="247" t="s">
        <v>529</v>
      </c>
      <c r="E88" s="248">
        <v>200000000</v>
      </c>
      <c r="F88" s="249">
        <v>104.0012</v>
      </c>
      <c r="G88" s="250">
        <v>3940000</v>
      </c>
      <c r="H88" s="250">
        <v>3940000</v>
      </c>
      <c r="I88" s="247" t="s">
        <v>1930</v>
      </c>
      <c r="J88" s="248">
        <v>1000</v>
      </c>
      <c r="K88" s="249" t="s">
        <v>1931</v>
      </c>
      <c r="L88" s="248">
        <v>452</v>
      </c>
      <c r="M88" s="251">
        <v>44953</v>
      </c>
      <c r="N88" s="249" t="s">
        <v>1909</v>
      </c>
      <c r="O88" s="251"/>
    </row>
    <row r="89" spans="1:15" ht="15" customHeight="1" outlineLevel="1" collapsed="1" x14ac:dyDescent="0.25">
      <c r="A89" s="237"/>
      <c r="B89" s="237" t="s">
        <v>1972</v>
      </c>
      <c r="C89" s="237" t="s">
        <v>1913</v>
      </c>
      <c r="D89" s="237" t="s">
        <v>531</v>
      </c>
      <c r="E89" s="238">
        <v>4000000000</v>
      </c>
      <c r="F89" s="239">
        <v>99.7</v>
      </c>
      <c r="G89" s="240">
        <v>31240000</v>
      </c>
      <c r="H89" s="240">
        <v>31240000</v>
      </c>
      <c r="I89" s="237" t="s">
        <v>1909</v>
      </c>
      <c r="J89" s="238">
        <v>1000</v>
      </c>
      <c r="K89" s="239" t="s">
        <v>1909</v>
      </c>
      <c r="L89" s="238">
        <v>136</v>
      </c>
      <c r="M89" s="241">
        <v>44637</v>
      </c>
      <c r="N89" s="239" t="s">
        <v>1909</v>
      </c>
      <c r="O89" s="241"/>
    </row>
    <row r="90" spans="1:15" ht="15" hidden="1" customHeight="1" outlineLevel="2" x14ac:dyDescent="0.25">
      <c r="A90" s="247"/>
      <c r="B90" s="247"/>
      <c r="C90" s="247" t="s">
        <v>1913</v>
      </c>
      <c r="D90" s="247" t="s">
        <v>531</v>
      </c>
      <c r="E90" s="248">
        <v>4000000000</v>
      </c>
      <c r="F90" s="249">
        <v>99.7</v>
      </c>
      <c r="G90" s="250">
        <v>31240000</v>
      </c>
      <c r="H90" s="250">
        <v>31240000</v>
      </c>
      <c r="I90" s="247" t="s">
        <v>1930</v>
      </c>
      <c r="J90" s="248">
        <v>1000</v>
      </c>
      <c r="K90" s="249" t="s">
        <v>1931</v>
      </c>
      <c r="L90" s="248">
        <v>136</v>
      </c>
      <c r="M90" s="251">
        <v>44637</v>
      </c>
      <c r="N90" s="249" t="s">
        <v>1909</v>
      </c>
      <c r="O90" s="251"/>
    </row>
    <row r="91" spans="1:15" ht="15" customHeight="1" outlineLevel="1" collapsed="1" x14ac:dyDescent="0.25">
      <c r="A91" s="237"/>
      <c r="B91" s="237" t="s">
        <v>1973</v>
      </c>
      <c r="C91" s="237" t="s">
        <v>1913</v>
      </c>
      <c r="D91" s="237" t="s">
        <v>532</v>
      </c>
      <c r="E91" s="238">
        <v>1000000000</v>
      </c>
      <c r="F91" s="239">
        <v>99.75</v>
      </c>
      <c r="G91" s="240">
        <v>13870000</v>
      </c>
      <c r="H91" s="240">
        <v>13870000</v>
      </c>
      <c r="I91" s="237" t="s">
        <v>1909</v>
      </c>
      <c r="J91" s="238">
        <v>1000</v>
      </c>
      <c r="K91" s="239" t="s">
        <v>1909</v>
      </c>
      <c r="L91" s="238">
        <v>283</v>
      </c>
      <c r="M91" s="241">
        <v>44784</v>
      </c>
      <c r="N91" s="239" t="s">
        <v>1909</v>
      </c>
      <c r="O91" s="241"/>
    </row>
    <row r="92" spans="1:15" ht="15" hidden="1" customHeight="1" outlineLevel="2" x14ac:dyDescent="0.25">
      <c r="A92" s="247"/>
      <c r="B92" s="247"/>
      <c r="C92" s="247" t="s">
        <v>1913</v>
      </c>
      <c r="D92" s="247" t="s">
        <v>532</v>
      </c>
      <c r="E92" s="248">
        <v>1000000000</v>
      </c>
      <c r="F92" s="249">
        <v>99.75</v>
      </c>
      <c r="G92" s="250">
        <v>13870000</v>
      </c>
      <c r="H92" s="250">
        <v>13870000</v>
      </c>
      <c r="I92" s="247" t="s">
        <v>1930</v>
      </c>
      <c r="J92" s="248">
        <v>1000</v>
      </c>
      <c r="K92" s="249" t="s">
        <v>1931</v>
      </c>
      <c r="L92" s="248">
        <v>283</v>
      </c>
      <c r="M92" s="251">
        <v>44784</v>
      </c>
      <c r="N92" s="249" t="s">
        <v>1909</v>
      </c>
      <c r="O92" s="251"/>
    </row>
    <row r="93" spans="1:15" ht="15" customHeight="1" outlineLevel="1" collapsed="1" x14ac:dyDescent="0.25">
      <c r="A93" s="237"/>
      <c r="B93" s="237" t="s">
        <v>1974</v>
      </c>
      <c r="C93" s="237" t="s">
        <v>1913</v>
      </c>
      <c r="D93" s="237" t="s">
        <v>521</v>
      </c>
      <c r="E93" s="238">
        <v>1400000000</v>
      </c>
      <c r="F93" s="239">
        <v>100.9282</v>
      </c>
      <c r="G93" s="240">
        <v>36736000</v>
      </c>
      <c r="H93" s="240">
        <v>36736000</v>
      </c>
      <c r="I93" s="237" t="s">
        <v>1909</v>
      </c>
      <c r="J93" s="238">
        <v>1000</v>
      </c>
      <c r="K93" s="239" t="s">
        <v>1909</v>
      </c>
      <c r="L93" s="238">
        <v>406</v>
      </c>
      <c r="M93" s="241">
        <v>44907</v>
      </c>
      <c r="N93" s="239" t="s">
        <v>1909</v>
      </c>
      <c r="O93" s="241"/>
    </row>
    <row r="94" spans="1:15" ht="15" hidden="1" customHeight="1" outlineLevel="2" x14ac:dyDescent="0.25">
      <c r="A94" s="247"/>
      <c r="B94" s="247"/>
      <c r="C94" s="247" t="s">
        <v>1913</v>
      </c>
      <c r="D94" s="247" t="s">
        <v>521</v>
      </c>
      <c r="E94" s="248">
        <v>1400000000</v>
      </c>
      <c r="F94" s="249">
        <v>100.9282</v>
      </c>
      <c r="G94" s="250">
        <v>36736000</v>
      </c>
      <c r="H94" s="250">
        <v>36736000</v>
      </c>
      <c r="I94" s="247" t="s">
        <v>1930</v>
      </c>
      <c r="J94" s="248">
        <v>1000</v>
      </c>
      <c r="K94" s="249" t="s">
        <v>1931</v>
      </c>
      <c r="L94" s="248">
        <v>406</v>
      </c>
      <c r="M94" s="251">
        <v>44907</v>
      </c>
      <c r="N94" s="249" t="s">
        <v>1909</v>
      </c>
      <c r="O94" s="251"/>
    </row>
    <row r="95" spans="1:15" ht="15" customHeight="1" outlineLevel="1" collapsed="1" x14ac:dyDescent="0.25">
      <c r="A95" s="237"/>
      <c r="B95" s="237" t="s">
        <v>1975</v>
      </c>
      <c r="C95" s="237" t="s">
        <v>1913</v>
      </c>
      <c r="D95" s="237" t="s">
        <v>515</v>
      </c>
      <c r="E95" s="238">
        <v>1177022000</v>
      </c>
      <c r="F95" s="239">
        <v>107.0158</v>
      </c>
      <c r="G95" s="240">
        <v>7250455.5199999996</v>
      </c>
      <c r="H95" s="240">
        <v>7250455.5199999996</v>
      </c>
      <c r="I95" s="237" t="s">
        <v>1909</v>
      </c>
      <c r="J95" s="238">
        <v>1000</v>
      </c>
      <c r="K95" s="239" t="s">
        <v>1909</v>
      </c>
      <c r="L95" s="238">
        <v>346</v>
      </c>
      <c r="M95" s="241">
        <v>44847</v>
      </c>
      <c r="N95" s="239" t="s">
        <v>1909</v>
      </c>
      <c r="O95" s="241"/>
    </row>
    <row r="96" spans="1:15" ht="15" hidden="1" customHeight="1" outlineLevel="2" x14ac:dyDescent="0.25">
      <c r="A96" s="247"/>
      <c r="B96" s="247"/>
      <c r="C96" s="247" t="s">
        <v>1913</v>
      </c>
      <c r="D96" s="247" t="s">
        <v>515</v>
      </c>
      <c r="E96" s="248">
        <v>1177022000</v>
      </c>
      <c r="F96" s="249">
        <v>107.0158</v>
      </c>
      <c r="G96" s="250">
        <v>7250455.5199999996</v>
      </c>
      <c r="H96" s="250">
        <v>7250455.5199999996</v>
      </c>
      <c r="I96" s="247" t="s">
        <v>1930</v>
      </c>
      <c r="J96" s="248">
        <v>1000</v>
      </c>
      <c r="K96" s="249" t="s">
        <v>1931</v>
      </c>
      <c r="L96" s="248">
        <v>346</v>
      </c>
      <c r="M96" s="251">
        <v>44847</v>
      </c>
      <c r="N96" s="249" t="s">
        <v>1909</v>
      </c>
      <c r="O96" s="251"/>
    </row>
    <row r="97" spans="1:15" ht="15" customHeight="1" outlineLevel="1" collapsed="1" x14ac:dyDescent="0.25">
      <c r="A97" s="237"/>
      <c r="B97" s="237" t="s">
        <v>1976</v>
      </c>
      <c r="C97" s="237" t="s">
        <v>1913</v>
      </c>
      <c r="D97" s="237" t="s">
        <v>518</v>
      </c>
      <c r="E97" s="238">
        <v>2000000000</v>
      </c>
      <c r="F97" s="239">
        <v>102.58620000000001</v>
      </c>
      <c r="G97" s="240">
        <v>13600000</v>
      </c>
      <c r="H97" s="240">
        <v>13600000</v>
      </c>
      <c r="I97" s="237" t="s">
        <v>1909</v>
      </c>
      <c r="J97" s="238">
        <v>1000</v>
      </c>
      <c r="K97" s="239" t="s">
        <v>1909</v>
      </c>
      <c r="L97" s="238">
        <v>2338</v>
      </c>
      <c r="M97" s="241">
        <v>46839</v>
      </c>
      <c r="N97" s="239" t="s">
        <v>1909</v>
      </c>
      <c r="O97" s="241"/>
    </row>
    <row r="98" spans="1:15" ht="15" hidden="1" customHeight="1" outlineLevel="2" x14ac:dyDescent="0.25">
      <c r="A98" s="247"/>
      <c r="B98" s="247"/>
      <c r="C98" s="247" t="s">
        <v>1913</v>
      </c>
      <c r="D98" s="247" t="s">
        <v>518</v>
      </c>
      <c r="E98" s="248">
        <v>2000000000</v>
      </c>
      <c r="F98" s="249">
        <v>102.58620000000001</v>
      </c>
      <c r="G98" s="250">
        <v>13600000</v>
      </c>
      <c r="H98" s="250">
        <v>13600000</v>
      </c>
      <c r="I98" s="247" t="s">
        <v>1930</v>
      </c>
      <c r="J98" s="248">
        <v>1000</v>
      </c>
      <c r="K98" s="249" t="s">
        <v>1931</v>
      </c>
      <c r="L98" s="248">
        <v>2338</v>
      </c>
      <c r="M98" s="251">
        <v>46839</v>
      </c>
      <c r="N98" s="249" t="s">
        <v>1909</v>
      </c>
      <c r="O98" s="251"/>
    </row>
    <row r="99" spans="1:15" ht="15" customHeight="1" outlineLevel="1" collapsed="1" x14ac:dyDescent="0.25">
      <c r="A99" s="237"/>
      <c r="B99" s="237" t="s">
        <v>1977</v>
      </c>
      <c r="C99" s="237" t="s">
        <v>1913</v>
      </c>
      <c r="D99" s="237" t="s">
        <v>522</v>
      </c>
      <c r="E99" s="238">
        <v>1500000000</v>
      </c>
      <c r="F99" s="239">
        <v>100.0688</v>
      </c>
      <c r="G99" s="240">
        <v>12210000</v>
      </c>
      <c r="H99" s="240">
        <v>12210000</v>
      </c>
      <c r="I99" s="237" t="s">
        <v>1909</v>
      </c>
      <c r="J99" s="238">
        <v>1000</v>
      </c>
      <c r="K99" s="239" t="s">
        <v>1909</v>
      </c>
      <c r="L99" s="238">
        <v>876</v>
      </c>
      <c r="M99" s="241">
        <v>45377</v>
      </c>
      <c r="N99" s="239" t="s">
        <v>1909</v>
      </c>
      <c r="O99" s="241"/>
    </row>
    <row r="100" spans="1:15" ht="15" hidden="1" customHeight="1" outlineLevel="2" x14ac:dyDescent="0.25">
      <c r="A100" s="247"/>
      <c r="B100" s="247"/>
      <c r="C100" s="247" t="s">
        <v>1913</v>
      </c>
      <c r="D100" s="247" t="s">
        <v>522</v>
      </c>
      <c r="E100" s="248">
        <v>1500000000</v>
      </c>
      <c r="F100" s="249">
        <v>100.0688</v>
      </c>
      <c r="G100" s="250">
        <v>12210000</v>
      </c>
      <c r="H100" s="250">
        <v>12210000</v>
      </c>
      <c r="I100" s="247" t="s">
        <v>1930</v>
      </c>
      <c r="J100" s="248">
        <v>1000</v>
      </c>
      <c r="K100" s="249" t="s">
        <v>1931</v>
      </c>
      <c r="L100" s="248">
        <v>876</v>
      </c>
      <c r="M100" s="251">
        <v>45377</v>
      </c>
      <c r="N100" s="249" t="s">
        <v>1909</v>
      </c>
      <c r="O100" s="251"/>
    </row>
    <row r="101" spans="1:15" ht="15" customHeight="1" outlineLevel="1" collapsed="1" x14ac:dyDescent="0.25">
      <c r="A101" s="237"/>
      <c r="B101" s="237" t="s">
        <v>1978</v>
      </c>
      <c r="C101" s="237" t="s">
        <v>1913</v>
      </c>
      <c r="D101" s="237" t="s">
        <v>508</v>
      </c>
      <c r="E101" s="238">
        <v>43594000</v>
      </c>
      <c r="F101" s="239">
        <v>116.6497</v>
      </c>
      <c r="G101" s="240">
        <v>561490.72</v>
      </c>
      <c r="H101" s="240">
        <v>561490.72</v>
      </c>
      <c r="I101" s="237" t="s">
        <v>1909</v>
      </c>
      <c r="J101" s="238">
        <v>1000</v>
      </c>
      <c r="K101" s="239" t="s">
        <v>1909</v>
      </c>
      <c r="L101" s="238">
        <v>1787</v>
      </c>
      <c r="M101" s="241">
        <v>46288</v>
      </c>
      <c r="N101" s="239" t="s">
        <v>1909</v>
      </c>
      <c r="O101" s="241"/>
    </row>
    <row r="102" spans="1:15" ht="15" hidden="1" customHeight="1" outlineLevel="2" x14ac:dyDescent="0.25">
      <c r="A102" s="247"/>
      <c r="B102" s="247"/>
      <c r="C102" s="247" t="s">
        <v>1913</v>
      </c>
      <c r="D102" s="247" t="s">
        <v>508</v>
      </c>
      <c r="E102" s="248">
        <v>43594000</v>
      </c>
      <c r="F102" s="249">
        <v>116.6497</v>
      </c>
      <c r="G102" s="250">
        <v>561490.72</v>
      </c>
      <c r="H102" s="250">
        <v>561490.72</v>
      </c>
      <c r="I102" s="247" t="s">
        <v>1930</v>
      </c>
      <c r="J102" s="248">
        <v>1000</v>
      </c>
      <c r="K102" s="249" t="s">
        <v>1931</v>
      </c>
      <c r="L102" s="248">
        <v>1787</v>
      </c>
      <c r="M102" s="251">
        <v>46288</v>
      </c>
      <c r="N102" s="249" t="s">
        <v>1909</v>
      </c>
      <c r="O102" s="251"/>
    </row>
    <row r="103" spans="1:15" ht="15" customHeight="1" outlineLevel="1" collapsed="1" x14ac:dyDescent="0.25">
      <c r="A103" s="237"/>
      <c r="B103" s="237" t="s">
        <v>1979</v>
      </c>
      <c r="C103" s="237" t="s">
        <v>1913</v>
      </c>
      <c r="D103" s="237" t="s">
        <v>516</v>
      </c>
      <c r="E103" s="238">
        <v>989272000</v>
      </c>
      <c r="F103" s="239">
        <v>102.43089999999999</v>
      </c>
      <c r="G103" s="240">
        <v>4501187.5999999996</v>
      </c>
      <c r="H103" s="240">
        <v>4501187.5999999996</v>
      </c>
      <c r="I103" s="237" t="s">
        <v>1909</v>
      </c>
      <c r="J103" s="238">
        <v>1000</v>
      </c>
      <c r="K103" s="239" t="s">
        <v>1909</v>
      </c>
      <c r="L103" s="238">
        <v>164</v>
      </c>
      <c r="M103" s="241">
        <v>44665</v>
      </c>
      <c r="N103" s="239" t="s">
        <v>1909</v>
      </c>
      <c r="O103" s="241"/>
    </row>
    <row r="104" spans="1:15" ht="15" hidden="1" customHeight="1" outlineLevel="2" x14ac:dyDescent="0.25">
      <c r="A104" s="247"/>
      <c r="B104" s="247"/>
      <c r="C104" s="247" t="s">
        <v>1913</v>
      </c>
      <c r="D104" s="247" t="s">
        <v>516</v>
      </c>
      <c r="E104" s="248">
        <v>989272000</v>
      </c>
      <c r="F104" s="249">
        <v>102.43089999999999</v>
      </c>
      <c r="G104" s="250">
        <v>4501187.5999999996</v>
      </c>
      <c r="H104" s="250">
        <v>4501187.5999999996</v>
      </c>
      <c r="I104" s="247" t="s">
        <v>1930</v>
      </c>
      <c r="J104" s="248">
        <v>1000</v>
      </c>
      <c r="K104" s="249" t="s">
        <v>1931</v>
      </c>
      <c r="L104" s="248">
        <v>164</v>
      </c>
      <c r="M104" s="251">
        <v>44665</v>
      </c>
      <c r="N104" s="249" t="s">
        <v>1909</v>
      </c>
      <c r="O104" s="251"/>
    </row>
    <row r="105" spans="1:15" ht="15" customHeight="1" outlineLevel="1" collapsed="1" x14ac:dyDescent="0.25">
      <c r="A105" s="237"/>
      <c r="B105" s="237" t="s">
        <v>1980</v>
      </c>
      <c r="C105" s="237" t="s">
        <v>349</v>
      </c>
      <c r="D105" s="237" t="s">
        <v>489</v>
      </c>
      <c r="E105" s="238">
        <v>15750000</v>
      </c>
      <c r="F105" s="239">
        <v>99.910799999999995</v>
      </c>
      <c r="G105" s="240">
        <v>25672690.859999999</v>
      </c>
      <c r="H105" s="240">
        <v>310684.5</v>
      </c>
      <c r="I105" s="237" t="s">
        <v>1909</v>
      </c>
      <c r="J105" s="238">
        <v>150000</v>
      </c>
      <c r="K105" s="239" t="s">
        <v>1909</v>
      </c>
      <c r="L105" s="238">
        <v>1312</v>
      </c>
      <c r="M105" s="241">
        <v>45813</v>
      </c>
      <c r="N105" s="239" t="s">
        <v>1909</v>
      </c>
      <c r="O105" s="241"/>
    </row>
    <row r="106" spans="1:15" ht="15" hidden="1" customHeight="1" outlineLevel="2" x14ac:dyDescent="0.25">
      <c r="A106" s="247"/>
      <c r="B106" s="247"/>
      <c r="C106" s="247" t="s">
        <v>349</v>
      </c>
      <c r="D106" s="247" t="s">
        <v>489</v>
      </c>
      <c r="E106" s="248">
        <v>15750000</v>
      </c>
      <c r="F106" s="249">
        <v>99.910799999999995</v>
      </c>
      <c r="G106" s="250">
        <v>25672690.859999999</v>
      </c>
      <c r="H106" s="250">
        <v>310684.5</v>
      </c>
      <c r="I106" s="247" t="s">
        <v>1930</v>
      </c>
      <c r="J106" s="248">
        <v>150000</v>
      </c>
      <c r="K106" s="249" t="s">
        <v>1931</v>
      </c>
      <c r="L106" s="248">
        <v>1312</v>
      </c>
      <c r="M106" s="251">
        <v>45813</v>
      </c>
      <c r="N106" s="249" t="s">
        <v>1909</v>
      </c>
      <c r="O106" s="251"/>
    </row>
    <row r="107" spans="1:15" ht="15" customHeight="1" outlineLevel="1" collapsed="1" x14ac:dyDescent="0.25">
      <c r="A107" s="237"/>
      <c r="B107" s="237" t="s">
        <v>1981</v>
      </c>
      <c r="C107" s="237" t="s">
        <v>1913</v>
      </c>
      <c r="D107" s="237" t="s">
        <v>525</v>
      </c>
      <c r="E107" s="238">
        <v>637400000</v>
      </c>
      <c r="F107" s="239">
        <v>99.814400000000006</v>
      </c>
      <c r="G107" s="240">
        <v>6240146</v>
      </c>
      <c r="H107" s="240">
        <v>6240146</v>
      </c>
      <c r="I107" s="237" t="s">
        <v>1909</v>
      </c>
      <c r="J107" s="238">
        <v>1000</v>
      </c>
      <c r="K107" s="239" t="s">
        <v>1909</v>
      </c>
      <c r="L107" s="238">
        <v>585</v>
      </c>
      <c r="M107" s="241">
        <v>45086</v>
      </c>
      <c r="N107" s="239" t="s">
        <v>1909</v>
      </c>
      <c r="O107" s="241"/>
    </row>
    <row r="108" spans="1:15" ht="15" hidden="1" customHeight="1" outlineLevel="2" x14ac:dyDescent="0.25">
      <c r="A108" s="247"/>
      <c r="B108" s="247"/>
      <c r="C108" s="247" t="s">
        <v>1913</v>
      </c>
      <c r="D108" s="247" t="s">
        <v>525</v>
      </c>
      <c r="E108" s="248">
        <v>637400000</v>
      </c>
      <c r="F108" s="249">
        <v>99.814400000000006</v>
      </c>
      <c r="G108" s="250">
        <v>6240146</v>
      </c>
      <c r="H108" s="250">
        <v>6240146</v>
      </c>
      <c r="I108" s="247" t="s">
        <v>1930</v>
      </c>
      <c r="J108" s="248">
        <v>1000</v>
      </c>
      <c r="K108" s="249" t="s">
        <v>1931</v>
      </c>
      <c r="L108" s="248">
        <v>585</v>
      </c>
      <c r="M108" s="251">
        <v>45086</v>
      </c>
      <c r="N108" s="249" t="s">
        <v>1909</v>
      </c>
      <c r="O108" s="251"/>
    </row>
    <row r="109" spans="1:15" ht="15" customHeight="1" outlineLevel="1" collapsed="1" x14ac:dyDescent="0.25">
      <c r="A109" s="237"/>
      <c r="B109" s="237" t="s">
        <v>1982</v>
      </c>
      <c r="C109" s="237" t="s">
        <v>1913</v>
      </c>
      <c r="D109" s="237" t="s">
        <v>520</v>
      </c>
      <c r="E109" s="238">
        <v>608103000</v>
      </c>
      <c r="F109" s="239">
        <v>100.8854</v>
      </c>
      <c r="G109" s="240">
        <v>11237743.439999999</v>
      </c>
      <c r="H109" s="240">
        <v>11237743.439999999</v>
      </c>
      <c r="I109" s="237" t="s">
        <v>1909</v>
      </c>
      <c r="J109" s="238">
        <v>1000</v>
      </c>
      <c r="K109" s="239" t="s">
        <v>1909</v>
      </c>
      <c r="L109" s="238">
        <v>451</v>
      </c>
      <c r="M109" s="241">
        <v>44952</v>
      </c>
      <c r="N109" s="239" t="s">
        <v>1909</v>
      </c>
      <c r="O109" s="241"/>
    </row>
    <row r="110" spans="1:15" ht="15" hidden="1" customHeight="1" outlineLevel="2" x14ac:dyDescent="0.25">
      <c r="A110" s="247"/>
      <c r="B110" s="247"/>
      <c r="C110" s="247" t="s">
        <v>1913</v>
      </c>
      <c r="D110" s="247" t="s">
        <v>520</v>
      </c>
      <c r="E110" s="248">
        <v>608103000</v>
      </c>
      <c r="F110" s="249">
        <v>100.8854</v>
      </c>
      <c r="G110" s="250">
        <v>11237743.439999999</v>
      </c>
      <c r="H110" s="250">
        <v>11237743.439999999</v>
      </c>
      <c r="I110" s="247" t="s">
        <v>1930</v>
      </c>
      <c r="J110" s="248">
        <v>1000</v>
      </c>
      <c r="K110" s="249" t="s">
        <v>1931</v>
      </c>
      <c r="L110" s="248">
        <v>451</v>
      </c>
      <c r="M110" s="251">
        <v>44952</v>
      </c>
      <c r="N110" s="249" t="s">
        <v>1909</v>
      </c>
      <c r="O110" s="251"/>
    </row>
    <row r="111" spans="1:15" ht="15" customHeight="1" outlineLevel="1" collapsed="1" x14ac:dyDescent="0.25">
      <c r="A111" s="237"/>
      <c r="B111" s="237" t="s">
        <v>1983</v>
      </c>
      <c r="C111" s="237" t="s">
        <v>1913</v>
      </c>
      <c r="D111" s="237" t="s">
        <v>519</v>
      </c>
      <c r="E111" s="238">
        <v>1972860000</v>
      </c>
      <c r="F111" s="239">
        <v>103.267</v>
      </c>
      <c r="G111" s="240">
        <v>56759182.200000003</v>
      </c>
      <c r="H111" s="240">
        <v>56759182.200000003</v>
      </c>
      <c r="I111" s="237" t="s">
        <v>1909</v>
      </c>
      <c r="J111" s="238">
        <v>1000</v>
      </c>
      <c r="K111" s="239" t="s">
        <v>1909</v>
      </c>
      <c r="L111" s="238">
        <v>246</v>
      </c>
      <c r="M111" s="241">
        <v>44747</v>
      </c>
      <c r="N111" s="239" t="s">
        <v>1909</v>
      </c>
      <c r="O111" s="241"/>
    </row>
    <row r="112" spans="1:15" ht="15" hidden="1" customHeight="1" outlineLevel="2" x14ac:dyDescent="0.25">
      <c r="A112" s="247"/>
      <c r="B112" s="247"/>
      <c r="C112" s="247" t="s">
        <v>1913</v>
      </c>
      <c r="D112" s="247" t="s">
        <v>519</v>
      </c>
      <c r="E112" s="248">
        <v>1972860000</v>
      </c>
      <c r="F112" s="249">
        <v>103.267</v>
      </c>
      <c r="G112" s="250">
        <v>56759182.200000003</v>
      </c>
      <c r="H112" s="250">
        <v>56759182.200000003</v>
      </c>
      <c r="I112" s="247" t="s">
        <v>1930</v>
      </c>
      <c r="J112" s="248">
        <v>1000</v>
      </c>
      <c r="K112" s="249" t="s">
        <v>1931</v>
      </c>
      <c r="L112" s="248">
        <v>246</v>
      </c>
      <c r="M112" s="251">
        <v>44747</v>
      </c>
      <c r="N112" s="249" t="s">
        <v>1909</v>
      </c>
      <c r="O112" s="251"/>
    </row>
    <row r="113" spans="1:15" ht="15" customHeight="1" outlineLevel="1" collapsed="1" x14ac:dyDescent="0.25">
      <c r="A113" s="237"/>
      <c r="B113" s="237" t="s">
        <v>1984</v>
      </c>
      <c r="C113" s="237" t="s">
        <v>1913</v>
      </c>
      <c r="D113" s="237" t="s">
        <v>511</v>
      </c>
      <c r="E113" s="238">
        <v>561444000</v>
      </c>
      <c r="F113" s="239">
        <v>100.04859999999999</v>
      </c>
      <c r="G113" s="240">
        <v>4048011.24</v>
      </c>
      <c r="H113" s="240">
        <v>4048011.24</v>
      </c>
      <c r="I113" s="237" t="s">
        <v>1909</v>
      </c>
      <c r="J113" s="238">
        <v>1000</v>
      </c>
      <c r="K113" s="239" t="s">
        <v>1909</v>
      </c>
      <c r="L113" s="238">
        <v>158</v>
      </c>
      <c r="M113" s="241">
        <v>44659</v>
      </c>
      <c r="N113" s="239" t="s">
        <v>1909</v>
      </c>
      <c r="O113" s="241"/>
    </row>
    <row r="114" spans="1:15" ht="15" hidden="1" customHeight="1" outlineLevel="2" x14ac:dyDescent="0.25">
      <c r="A114" s="247"/>
      <c r="B114" s="247"/>
      <c r="C114" s="247" t="s">
        <v>1913</v>
      </c>
      <c r="D114" s="247" t="s">
        <v>511</v>
      </c>
      <c r="E114" s="248">
        <v>561444000</v>
      </c>
      <c r="F114" s="249">
        <v>100.04859999999999</v>
      </c>
      <c r="G114" s="250">
        <v>4048011.24</v>
      </c>
      <c r="H114" s="250">
        <v>4048011.24</v>
      </c>
      <c r="I114" s="247" t="s">
        <v>1930</v>
      </c>
      <c r="J114" s="248">
        <v>1000</v>
      </c>
      <c r="K114" s="249" t="s">
        <v>1931</v>
      </c>
      <c r="L114" s="248">
        <v>158</v>
      </c>
      <c r="M114" s="251">
        <v>44659</v>
      </c>
      <c r="N114" s="249" t="s">
        <v>1909</v>
      </c>
      <c r="O114" s="251"/>
    </row>
    <row r="115" spans="1:15" ht="15" customHeight="1" outlineLevel="1" collapsed="1" x14ac:dyDescent="0.25">
      <c r="A115" s="237"/>
      <c r="B115" s="237" t="s">
        <v>1985</v>
      </c>
      <c r="C115" s="237" t="s">
        <v>1913</v>
      </c>
      <c r="D115" s="237" t="s">
        <v>513</v>
      </c>
      <c r="E115" s="238">
        <v>143431000</v>
      </c>
      <c r="F115" s="239">
        <v>100.3516</v>
      </c>
      <c r="G115" s="240">
        <v>4442058.07</v>
      </c>
      <c r="H115" s="240">
        <v>4442058.07</v>
      </c>
      <c r="I115" s="237" t="s">
        <v>1909</v>
      </c>
      <c r="J115" s="238">
        <v>1000</v>
      </c>
      <c r="K115" s="239" t="s">
        <v>1909</v>
      </c>
      <c r="L115" s="238">
        <v>738</v>
      </c>
      <c r="M115" s="241">
        <v>45239</v>
      </c>
      <c r="N115" s="239" t="s">
        <v>1909</v>
      </c>
      <c r="O115" s="241"/>
    </row>
    <row r="116" spans="1:15" ht="15" hidden="1" customHeight="1" outlineLevel="2" x14ac:dyDescent="0.25">
      <c r="A116" s="247"/>
      <c r="B116" s="247"/>
      <c r="C116" s="247" t="s">
        <v>1913</v>
      </c>
      <c r="D116" s="247" t="s">
        <v>513</v>
      </c>
      <c r="E116" s="248">
        <v>143431000</v>
      </c>
      <c r="F116" s="249">
        <v>100.3516</v>
      </c>
      <c r="G116" s="250">
        <v>4442058.07</v>
      </c>
      <c r="H116" s="250">
        <v>4442058.07</v>
      </c>
      <c r="I116" s="247" t="s">
        <v>1930</v>
      </c>
      <c r="J116" s="248">
        <v>1000</v>
      </c>
      <c r="K116" s="249" t="s">
        <v>1931</v>
      </c>
      <c r="L116" s="248">
        <v>738</v>
      </c>
      <c r="M116" s="251">
        <v>45239</v>
      </c>
      <c r="N116" s="249" t="s">
        <v>1909</v>
      </c>
      <c r="O116" s="251"/>
    </row>
    <row r="117" spans="1:15" ht="15" customHeight="1" outlineLevel="1" collapsed="1" x14ac:dyDescent="0.25">
      <c r="A117" s="237"/>
      <c r="B117" s="237" t="s">
        <v>1986</v>
      </c>
      <c r="C117" s="237" t="s">
        <v>1913</v>
      </c>
      <c r="D117" s="237" t="s">
        <v>526</v>
      </c>
      <c r="E117" s="238">
        <v>75000000</v>
      </c>
      <c r="F117" s="239">
        <v>100.3433</v>
      </c>
      <c r="G117" s="240">
        <v>873000</v>
      </c>
      <c r="H117" s="240">
        <v>873000</v>
      </c>
      <c r="I117" s="237" t="s">
        <v>1909</v>
      </c>
      <c r="J117" s="238">
        <v>1000</v>
      </c>
      <c r="K117" s="239" t="s">
        <v>1909</v>
      </c>
      <c r="L117" s="238">
        <v>50</v>
      </c>
      <c r="M117" s="241">
        <v>44551</v>
      </c>
      <c r="N117" s="239" t="s">
        <v>1909</v>
      </c>
      <c r="O117" s="241"/>
    </row>
    <row r="118" spans="1:15" ht="15" hidden="1" customHeight="1" outlineLevel="2" x14ac:dyDescent="0.25">
      <c r="A118" s="247"/>
      <c r="B118" s="247"/>
      <c r="C118" s="247" t="s">
        <v>1913</v>
      </c>
      <c r="D118" s="247" t="s">
        <v>526</v>
      </c>
      <c r="E118" s="248">
        <v>75000000</v>
      </c>
      <c r="F118" s="249">
        <v>100.3433</v>
      </c>
      <c r="G118" s="250">
        <v>873000</v>
      </c>
      <c r="H118" s="250">
        <v>873000</v>
      </c>
      <c r="I118" s="247" t="s">
        <v>1930</v>
      </c>
      <c r="J118" s="248">
        <v>1000</v>
      </c>
      <c r="K118" s="249" t="s">
        <v>1931</v>
      </c>
      <c r="L118" s="248">
        <v>50</v>
      </c>
      <c r="M118" s="251">
        <v>44551</v>
      </c>
      <c r="N118" s="249" t="s">
        <v>1909</v>
      </c>
      <c r="O118" s="251"/>
    </row>
    <row r="119" spans="1:15" ht="15" customHeight="1" outlineLevel="1" collapsed="1" x14ac:dyDescent="0.25">
      <c r="A119" s="237"/>
      <c r="B119" s="237" t="s">
        <v>1987</v>
      </c>
      <c r="C119" s="237" t="s">
        <v>1913</v>
      </c>
      <c r="D119" s="237" t="s">
        <v>533</v>
      </c>
      <c r="E119" s="238">
        <v>700000000</v>
      </c>
      <c r="F119" s="239">
        <v>100</v>
      </c>
      <c r="G119" s="240">
        <v>22883000</v>
      </c>
      <c r="H119" s="240">
        <v>22883000</v>
      </c>
      <c r="I119" s="237" t="s">
        <v>1909</v>
      </c>
      <c r="J119" s="238">
        <v>1000</v>
      </c>
      <c r="K119" s="239" t="s">
        <v>1909</v>
      </c>
      <c r="L119" s="238">
        <v>577</v>
      </c>
      <c r="M119" s="241">
        <v>45078</v>
      </c>
      <c r="N119" s="239" t="s">
        <v>1909</v>
      </c>
      <c r="O119" s="241"/>
    </row>
    <row r="120" spans="1:15" ht="15" hidden="1" customHeight="1" outlineLevel="2" x14ac:dyDescent="0.25">
      <c r="A120" s="247"/>
      <c r="B120" s="247"/>
      <c r="C120" s="247" t="s">
        <v>1913</v>
      </c>
      <c r="D120" s="247" t="s">
        <v>533</v>
      </c>
      <c r="E120" s="248">
        <v>700000000</v>
      </c>
      <c r="F120" s="249">
        <v>100</v>
      </c>
      <c r="G120" s="250">
        <v>22883000</v>
      </c>
      <c r="H120" s="250">
        <v>22883000</v>
      </c>
      <c r="I120" s="247" t="s">
        <v>1930</v>
      </c>
      <c r="J120" s="248">
        <v>1000</v>
      </c>
      <c r="K120" s="249" t="s">
        <v>1931</v>
      </c>
      <c r="L120" s="248">
        <v>577</v>
      </c>
      <c r="M120" s="251">
        <v>45078</v>
      </c>
      <c r="N120" s="249" t="s">
        <v>1909</v>
      </c>
      <c r="O120" s="251"/>
    </row>
    <row r="121" spans="1:15" ht="15" customHeight="1" x14ac:dyDescent="0.25">
      <c r="A121" s="232" t="s">
        <v>1988</v>
      </c>
      <c r="B121" s="232"/>
      <c r="C121" s="232" t="s">
        <v>1909</v>
      </c>
      <c r="D121" s="232" t="s">
        <v>1909</v>
      </c>
      <c r="E121" s="233">
        <v>12107500000</v>
      </c>
      <c r="F121" s="234" t="s">
        <v>1909</v>
      </c>
      <c r="G121" s="235">
        <v>182435810</v>
      </c>
      <c r="H121" s="235">
        <v>182435810</v>
      </c>
      <c r="I121" s="232" t="s">
        <v>1909</v>
      </c>
      <c r="J121" s="233" t="s">
        <v>1909</v>
      </c>
      <c r="K121" s="234" t="s">
        <v>1909</v>
      </c>
      <c r="L121" s="233" t="s">
        <v>1909</v>
      </c>
      <c r="M121" s="236"/>
      <c r="N121" s="234" t="s">
        <v>1909</v>
      </c>
      <c r="O121" s="236"/>
    </row>
    <row r="122" spans="1:15" ht="15" customHeight="1" outlineLevel="1" collapsed="1" x14ac:dyDescent="0.25">
      <c r="A122" s="237"/>
      <c r="B122" s="237" t="s">
        <v>1989</v>
      </c>
      <c r="C122" s="237" t="s">
        <v>1913</v>
      </c>
      <c r="D122" s="237" t="s">
        <v>1990</v>
      </c>
      <c r="E122" s="238">
        <v>2421500000</v>
      </c>
      <c r="F122" s="239">
        <v>104.298</v>
      </c>
      <c r="G122" s="240">
        <v>35014890</v>
      </c>
      <c r="H122" s="240">
        <v>35014890</v>
      </c>
      <c r="I122" s="237" t="s">
        <v>1909</v>
      </c>
      <c r="J122" s="238">
        <v>1000</v>
      </c>
      <c r="K122" s="239" t="s">
        <v>1909</v>
      </c>
      <c r="L122" s="238">
        <v>1185</v>
      </c>
      <c r="M122" s="241">
        <v>45686</v>
      </c>
      <c r="N122" s="239" t="s">
        <v>1909</v>
      </c>
      <c r="O122" s="241"/>
    </row>
    <row r="123" spans="1:15" ht="15" hidden="1" customHeight="1" outlineLevel="2" x14ac:dyDescent="0.25">
      <c r="A123" s="247"/>
      <c r="B123" s="247"/>
      <c r="C123" s="247" t="s">
        <v>1913</v>
      </c>
      <c r="D123" s="247" t="s">
        <v>1990</v>
      </c>
      <c r="E123" s="248">
        <v>2421500000</v>
      </c>
      <c r="F123" s="249">
        <v>104.298</v>
      </c>
      <c r="G123" s="250">
        <v>35014890</v>
      </c>
      <c r="H123" s="250">
        <v>35014890</v>
      </c>
      <c r="I123" s="247" t="s">
        <v>1930</v>
      </c>
      <c r="J123" s="248">
        <v>1000</v>
      </c>
      <c r="K123" s="249" t="s">
        <v>1931</v>
      </c>
      <c r="L123" s="248">
        <v>1185</v>
      </c>
      <c r="M123" s="251">
        <v>45686</v>
      </c>
      <c r="N123" s="249" t="s">
        <v>1909</v>
      </c>
      <c r="O123" s="251"/>
    </row>
    <row r="124" spans="1:15" ht="15" customHeight="1" outlineLevel="1" collapsed="1" x14ac:dyDescent="0.25">
      <c r="A124" s="237"/>
      <c r="B124" s="237" t="s">
        <v>1991</v>
      </c>
      <c r="C124" s="237" t="s">
        <v>1913</v>
      </c>
      <c r="D124" s="237" t="s">
        <v>534</v>
      </c>
      <c r="E124" s="238">
        <v>2421500000</v>
      </c>
      <c r="F124" s="239">
        <v>105.733</v>
      </c>
      <c r="G124" s="240">
        <v>23149540</v>
      </c>
      <c r="H124" s="240">
        <v>23149540</v>
      </c>
      <c r="I124" s="237" t="s">
        <v>1909</v>
      </c>
      <c r="J124" s="238">
        <v>1000</v>
      </c>
      <c r="K124" s="239" t="s">
        <v>1909</v>
      </c>
      <c r="L124" s="238">
        <v>1948</v>
      </c>
      <c r="M124" s="241">
        <v>46449</v>
      </c>
      <c r="N124" s="239" t="s">
        <v>1909</v>
      </c>
      <c r="O124" s="241"/>
    </row>
    <row r="125" spans="1:15" ht="15" hidden="1" customHeight="1" outlineLevel="2" x14ac:dyDescent="0.25">
      <c r="A125" s="247"/>
      <c r="B125" s="247"/>
      <c r="C125" s="247" t="s">
        <v>1913</v>
      </c>
      <c r="D125" s="247" t="s">
        <v>534</v>
      </c>
      <c r="E125" s="248">
        <v>2421500000</v>
      </c>
      <c r="F125" s="249">
        <v>105.733</v>
      </c>
      <c r="G125" s="250">
        <v>23149540</v>
      </c>
      <c r="H125" s="250">
        <v>23149540</v>
      </c>
      <c r="I125" s="247" t="s">
        <v>1930</v>
      </c>
      <c r="J125" s="248">
        <v>1000</v>
      </c>
      <c r="K125" s="249" t="s">
        <v>1931</v>
      </c>
      <c r="L125" s="248">
        <v>1948</v>
      </c>
      <c r="M125" s="251">
        <v>46449</v>
      </c>
      <c r="N125" s="249" t="s">
        <v>1909</v>
      </c>
      <c r="O125" s="251"/>
    </row>
    <row r="126" spans="1:15" ht="15" customHeight="1" outlineLevel="1" collapsed="1" x14ac:dyDescent="0.25">
      <c r="A126" s="237"/>
      <c r="B126" s="237" t="s">
        <v>1992</v>
      </c>
      <c r="C126" s="237" t="s">
        <v>1913</v>
      </c>
      <c r="D126" s="237" t="s">
        <v>1993</v>
      </c>
      <c r="E126" s="238">
        <v>2421500000</v>
      </c>
      <c r="F126" s="239">
        <v>106.47799999999999</v>
      </c>
      <c r="G126" s="240">
        <v>8838475</v>
      </c>
      <c r="H126" s="240">
        <v>8838475</v>
      </c>
      <c r="I126" s="237" t="s">
        <v>1909</v>
      </c>
      <c r="J126" s="238">
        <v>1000</v>
      </c>
      <c r="K126" s="239" t="s">
        <v>1909</v>
      </c>
      <c r="L126" s="238">
        <v>2893</v>
      </c>
      <c r="M126" s="241">
        <v>47394</v>
      </c>
      <c r="N126" s="239" t="s">
        <v>1909</v>
      </c>
      <c r="O126" s="241"/>
    </row>
    <row r="127" spans="1:15" ht="15" hidden="1" customHeight="1" outlineLevel="2" x14ac:dyDescent="0.25">
      <c r="A127" s="247"/>
      <c r="B127" s="247"/>
      <c r="C127" s="247" t="s">
        <v>1913</v>
      </c>
      <c r="D127" s="247" t="s">
        <v>1993</v>
      </c>
      <c r="E127" s="248">
        <v>2421500000</v>
      </c>
      <c r="F127" s="249">
        <v>106.47799999999999</v>
      </c>
      <c r="G127" s="250">
        <v>8838475</v>
      </c>
      <c r="H127" s="250">
        <v>8838475</v>
      </c>
      <c r="I127" s="247" t="s">
        <v>1930</v>
      </c>
      <c r="J127" s="248">
        <v>1000</v>
      </c>
      <c r="K127" s="249" t="s">
        <v>1931</v>
      </c>
      <c r="L127" s="248">
        <v>2893</v>
      </c>
      <c r="M127" s="251">
        <v>47394</v>
      </c>
      <c r="N127" s="249" t="s">
        <v>1909</v>
      </c>
      <c r="O127" s="251"/>
    </row>
    <row r="128" spans="1:15" ht="15" customHeight="1" outlineLevel="1" collapsed="1" x14ac:dyDescent="0.25">
      <c r="A128" s="237"/>
      <c r="B128" s="237" t="s">
        <v>1994</v>
      </c>
      <c r="C128" s="237" t="s">
        <v>1913</v>
      </c>
      <c r="D128" s="237" t="s">
        <v>1995</v>
      </c>
      <c r="E128" s="238">
        <v>2421500000</v>
      </c>
      <c r="F128" s="239">
        <v>108.048</v>
      </c>
      <c r="G128" s="240">
        <v>63201150</v>
      </c>
      <c r="H128" s="240">
        <v>63201150</v>
      </c>
      <c r="I128" s="237" t="s">
        <v>1909</v>
      </c>
      <c r="J128" s="238">
        <v>1000</v>
      </c>
      <c r="K128" s="239" t="s">
        <v>1909</v>
      </c>
      <c r="L128" s="238">
        <v>3838</v>
      </c>
      <c r="M128" s="241">
        <v>48339</v>
      </c>
      <c r="N128" s="239" t="s">
        <v>1909</v>
      </c>
      <c r="O128" s="241"/>
    </row>
    <row r="129" spans="1:15" ht="15" hidden="1" customHeight="1" outlineLevel="2" x14ac:dyDescent="0.25">
      <c r="A129" s="247"/>
      <c r="B129" s="247"/>
      <c r="C129" s="247" t="s">
        <v>1913</v>
      </c>
      <c r="D129" s="247" t="s">
        <v>1995</v>
      </c>
      <c r="E129" s="248">
        <v>2421500000</v>
      </c>
      <c r="F129" s="249">
        <v>108.048</v>
      </c>
      <c r="G129" s="250">
        <v>63201150</v>
      </c>
      <c r="H129" s="250">
        <v>63201150</v>
      </c>
      <c r="I129" s="247" t="s">
        <v>1930</v>
      </c>
      <c r="J129" s="248">
        <v>1000</v>
      </c>
      <c r="K129" s="249" t="s">
        <v>1931</v>
      </c>
      <c r="L129" s="248">
        <v>3838</v>
      </c>
      <c r="M129" s="251">
        <v>48339</v>
      </c>
      <c r="N129" s="249" t="s">
        <v>1909</v>
      </c>
      <c r="O129" s="251"/>
    </row>
    <row r="130" spans="1:15" ht="15" customHeight="1" outlineLevel="1" collapsed="1" x14ac:dyDescent="0.25">
      <c r="A130" s="237"/>
      <c r="B130" s="237" t="s">
        <v>1996</v>
      </c>
      <c r="C130" s="237" t="s">
        <v>1913</v>
      </c>
      <c r="D130" s="237" t="s">
        <v>1997</v>
      </c>
      <c r="E130" s="238">
        <v>2421500000</v>
      </c>
      <c r="F130" s="239">
        <v>108.27849999999999</v>
      </c>
      <c r="G130" s="240">
        <v>52231755</v>
      </c>
      <c r="H130" s="240">
        <v>52231755</v>
      </c>
      <c r="I130" s="237" t="s">
        <v>1909</v>
      </c>
      <c r="J130" s="238">
        <v>1000</v>
      </c>
      <c r="K130" s="239" t="s">
        <v>1909</v>
      </c>
      <c r="L130" s="238">
        <v>4783</v>
      </c>
      <c r="M130" s="241">
        <v>49284</v>
      </c>
      <c r="N130" s="239" t="s">
        <v>1909</v>
      </c>
      <c r="O130" s="241"/>
    </row>
    <row r="131" spans="1:15" ht="15" hidden="1" customHeight="1" outlineLevel="2" x14ac:dyDescent="0.25">
      <c r="A131" s="247"/>
      <c r="B131" s="247"/>
      <c r="C131" s="247" t="s">
        <v>1913</v>
      </c>
      <c r="D131" s="247" t="s">
        <v>1997</v>
      </c>
      <c r="E131" s="248">
        <v>2421500000</v>
      </c>
      <c r="F131" s="249">
        <v>108.27849999999999</v>
      </c>
      <c r="G131" s="250">
        <v>52231755</v>
      </c>
      <c r="H131" s="250">
        <v>52231755</v>
      </c>
      <c r="I131" s="247" t="s">
        <v>1930</v>
      </c>
      <c r="J131" s="248">
        <v>1000</v>
      </c>
      <c r="K131" s="249" t="s">
        <v>1931</v>
      </c>
      <c r="L131" s="248">
        <v>4783</v>
      </c>
      <c r="M131" s="251">
        <v>49284</v>
      </c>
      <c r="N131" s="249" t="s">
        <v>1909</v>
      </c>
      <c r="O131" s="251"/>
    </row>
    <row r="132" spans="1:15" ht="15" customHeight="1" x14ac:dyDescent="0.25">
      <c r="A132" s="232" t="s">
        <v>1998</v>
      </c>
      <c r="B132" s="232"/>
      <c r="C132" s="232" t="s">
        <v>1909</v>
      </c>
      <c r="D132" s="232" t="s">
        <v>1909</v>
      </c>
      <c r="E132" s="233">
        <v>62078569861</v>
      </c>
      <c r="F132" s="234" t="s">
        <v>1909</v>
      </c>
      <c r="G132" s="235">
        <v>688733699.90999997</v>
      </c>
      <c r="H132" s="235">
        <v>688733699.90999997</v>
      </c>
      <c r="I132" s="232" t="s">
        <v>1909</v>
      </c>
      <c r="J132" s="233" t="s">
        <v>1909</v>
      </c>
      <c r="K132" s="234" t="s">
        <v>1909</v>
      </c>
      <c r="L132" s="233" t="s">
        <v>1909</v>
      </c>
      <c r="M132" s="236"/>
      <c r="N132" s="234" t="s">
        <v>1909</v>
      </c>
      <c r="O132" s="236"/>
    </row>
    <row r="133" spans="1:15" ht="15" customHeight="1" outlineLevel="1" collapsed="1" x14ac:dyDescent="0.25">
      <c r="A133" s="237"/>
      <c r="B133" s="237" t="s">
        <v>1999</v>
      </c>
      <c r="C133" s="237" t="s">
        <v>1913</v>
      </c>
      <c r="D133" s="237" t="s">
        <v>545</v>
      </c>
      <c r="E133" s="238">
        <v>8465200000</v>
      </c>
      <c r="F133" s="239">
        <v>99.866699999999994</v>
      </c>
      <c r="G133" s="240">
        <v>75328428.719999999</v>
      </c>
      <c r="H133" s="240">
        <v>75328428.719999999</v>
      </c>
      <c r="I133" s="237" t="s">
        <v>1909</v>
      </c>
      <c r="J133" s="238">
        <v>100000</v>
      </c>
      <c r="K133" s="239" t="s">
        <v>1909</v>
      </c>
      <c r="L133" s="238">
        <v>2513</v>
      </c>
      <c r="M133" s="241">
        <v>47014</v>
      </c>
      <c r="N133" s="239" t="s">
        <v>1909</v>
      </c>
      <c r="O133" s="241"/>
    </row>
    <row r="134" spans="1:15" ht="15" hidden="1" customHeight="1" outlineLevel="2" x14ac:dyDescent="0.25">
      <c r="A134" s="242"/>
      <c r="B134" s="242"/>
      <c r="C134" s="242" t="s">
        <v>1913</v>
      </c>
      <c r="D134" s="242" t="s">
        <v>545</v>
      </c>
      <c r="E134" s="243">
        <v>5360300000</v>
      </c>
      <c r="F134" s="244">
        <v>99.879300000000001</v>
      </c>
      <c r="G134" s="245">
        <v>47699165.579999998</v>
      </c>
      <c r="H134" s="245">
        <v>47699165.579999998</v>
      </c>
      <c r="I134" s="242" t="s">
        <v>1930</v>
      </c>
      <c r="J134" s="243">
        <v>100000</v>
      </c>
      <c r="K134" s="244" t="s">
        <v>1931</v>
      </c>
      <c r="L134" s="243">
        <v>2513</v>
      </c>
      <c r="M134" s="246">
        <v>47014</v>
      </c>
      <c r="N134" s="244" t="s">
        <v>1909</v>
      </c>
      <c r="O134" s="246"/>
    </row>
    <row r="135" spans="1:15" ht="15" hidden="1" customHeight="1" outlineLevel="2" x14ac:dyDescent="0.25">
      <c r="A135" s="247"/>
      <c r="B135" s="247"/>
      <c r="C135" s="247" t="s">
        <v>1913</v>
      </c>
      <c r="D135" s="247" t="s">
        <v>545</v>
      </c>
      <c r="E135" s="248">
        <v>3104900000</v>
      </c>
      <c r="F135" s="249">
        <v>99.844800000000006</v>
      </c>
      <c r="G135" s="250">
        <v>27629263.140000001</v>
      </c>
      <c r="H135" s="250">
        <v>27629263.140000001</v>
      </c>
      <c r="I135" s="247" t="s">
        <v>2000</v>
      </c>
      <c r="J135" s="248">
        <v>100000</v>
      </c>
      <c r="K135" s="249" t="s">
        <v>1931</v>
      </c>
      <c r="L135" s="248">
        <v>2513</v>
      </c>
      <c r="M135" s="251">
        <v>47014</v>
      </c>
      <c r="N135" s="249" t="s">
        <v>1909</v>
      </c>
      <c r="O135" s="251">
        <v>44501</v>
      </c>
    </row>
    <row r="136" spans="1:15" ht="15" customHeight="1" outlineLevel="1" collapsed="1" x14ac:dyDescent="0.25">
      <c r="A136" s="237"/>
      <c r="B136" s="237" t="s">
        <v>2001</v>
      </c>
      <c r="C136" s="237" t="s">
        <v>1913</v>
      </c>
      <c r="D136" s="237" t="s">
        <v>547</v>
      </c>
      <c r="E136" s="238">
        <v>1561554824</v>
      </c>
      <c r="F136" s="239">
        <v>103.75</v>
      </c>
      <c r="G136" s="240">
        <v>13489957.390000001</v>
      </c>
      <c r="H136" s="240">
        <v>13489957.390000001</v>
      </c>
      <c r="I136" s="237" t="s">
        <v>1909</v>
      </c>
      <c r="J136" s="238">
        <v>1000</v>
      </c>
      <c r="K136" s="239" t="s">
        <v>1909</v>
      </c>
      <c r="L136" s="238">
        <v>8458</v>
      </c>
      <c r="M136" s="241">
        <v>52959</v>
      </c>
      <c r="N136" s="239" t="s">
        <v>1909</v>
      </c>
      <c r="O136" s="241"/>
    </row>
    <row r="137" spans="1:15" ht="15" hidden="1" customHeight="1" outlineLevel="2" x14ac:dyDescent="0.25">
      <c r="A137" s="247"/>
      <c r="B137" s="247"/>
      <c r="C137" s="247" t="s">
        <v>1913</v>
      </c>
      <c r="D137" s="247" t="s">
        <v>547</v>
      </c>
      <c r="E137" s="248">
        <v>110824</v>
      </c>
      <c r="F137" s="249">
        <v>103.73950000000001</v>
      </c>
      <c r="G137" s="250">
        <v>957.39</v>
      </c>
      <c r="H137" s="250">
        <v>957.39</v>
      </c>
      <c r="I137" s="247" t="s">
        <v>1930</v>
      </c>
      <c r="J137" s="248">
        <v>1000</v>
      </c>
      <c r="K137" s="249" t="s">
        <v>1931</v>
      </c>
      <c r="L137" s="248">
        <v>8458</v>
      </c>
      <c r="M137" s="251">
        <v>52959</v>
      </c>
      <c r="N137" s="249" t="s">
        <v>1909</v>
      </c>
      <c r="O137" s="251"/>
    </row>
    <row r="138" spans="1:15" ht="15" hidden="1" customHeight="1" outlineLevel="2" x14ac:dyDescent="0.25">
      <c r="A138" s="242"/>
      <c r="B138" s="242"/>
      <c r="C138" s="242" t="s">
        <v>1913</v>
      </c>
      <c r="D138" s="242" t="s">
        <v>547</v>
      </c>
      <c r="E138" s="243">
        <v>1561444000</v>
      </c>
      <c r="F138" s="244">
        <v>103.75</v>
      </c>
      <c r="G138" s="245">
        <v>13489000</v>
      </c>
      <c r="H138" s="245">
        <v>13489000</v>
      </c>
      <c r="I138" s="242" t="s">
        <v>2000</v>
      </c>
      <c r="J138" s="243">
        <v>1000</v>
      </c>
      <c r="K138" s="244" t="s">
        <v>1931</v>
      </c>
      <c r="L138" s="243">
        <v>8458</v>
      </c>
      <c r="M138" s="246">
        <v>52959</v>
      </c>
      <c r="N138" s="244" t="s">
        <v>1909</v>
      </c>
      <c r="O138" s="246">
        <v>44501</v>
      </c>
    </row>
    <row r="139" spans="1:15" ht="15" customHeight="1" outlineLevel="1" collapsed="1" x14ac:dyDescent="0.25">
      <c r="A139" s="237"/>
      <c r="B139" s="237" t="s">
        <v>2002</v>
      </c>
      <c r="C139" s="237" t="s">
        <v>1913</v>
      </c>
      <c r="D139" s="237" t="s">
        <v>541</v>
      </c>
      <c r="E139" s="238">
        <v>385039065</v>
      </c>
      <c r="F139" s="239">
        <v>107.45910000000001</v>
      </c>
      <c r="G139" s="240">
        <v>475454.7</v>
      </c>
      <c r="H139" s="240">
        <v>475454.7</v>
      </c>
      <c r="I139" s="237" t="s">
        <v>1909</v>
      </c>
      <c r="J139" s="238">
        <v>1000</v>
      </c>
      <c r="K139" s="239" t="s">
        <v>1909</v>
      </c>
      <c r="L139" s="238">
        <v>8944</v>
      </c>
      <c r="M139" s="241">
        <v>53445</v>
      </c>
      <c r="N139" s="239" t="s">
        <v>1909</v>
      </c>
      <c r="O139" s="241"/>
    </row>
    <row r="140" spans="1:15" ht="15" hidden="1" customHeight="1" outlineLevel="2" x14ac:dyDescent="0.25">
      <c r="A140" s="242"/>
      <c r="B140" s="242"/>
      <c r="C140" s="242" t="s">
        <v>1913</v>
      </c>
      <c r="D140" s="242" t="s">
        <v>541</v>
      </c>
      <c r="E140" s="243">
        <v>385039065</v>
      </c>
      <c r="F140" s="244">
        <v>107.45910000000001</v>
      </c>
      <c r="G140" s="245">
        <v>475454.7</v>
      </c>
      <c r="H140" s="245">
        <v>475454.7</v>
      </c>
      <c r="I140" s="242" t="s">
        <v>1930</v>
      </c>
      <c r="J140" s="243">
        <v>1000</v>
      </c>
      <c r="K140" s="244" t="s">
        <v>1931</v>
      </c>
      <c r="L140" s="243">
        <v>8944</v>
      </c>
      <c r="M140" s="246">
        <v>53445</v>
      </c>
      <c r="N140" s="244" t="s">
        <v>1909</v>
      </c>
      <c r="O140" s="246"/>
    </row>
    <row r="141" spans="1:15" ht="15" customHeight="1" outlineLevel="1" collapsed="1" x14ac:dyDescent="0.25">
      <c r="A141" s="237"/>
      <c r="B141" s="237" t="s">
        <v>2003</v>
      </c>
      <c r="C141" s="237" t="s">
        <v>1913</v>
      </c>
      <c r="D141" s="237" t="s">
        <v>542</v>
      </c>
      <c r="E141" s="238">
        <v>11967497722</v>
      </c>
      <c r="F141" s="239">
        <v>104.56310000000001</v>
      </c>
      <c r="G141" s="240">
        <v>211912109.09999999</v>
      </c>
      <c r="H141" s="240">
        <v>211912109.09999999</v>
      </c>
      <c r="I141" s="237" t="s">
        <v>1909</v>
      </c>
      <c r="J141" s="238">
        <v>1000</v>
      </c>
      <c r="K141" s="239" t="s">
        <v>1909</v>
      </c>
      <c r="L141" s="238">
        <v>9705</v>
      </c>
      <c r="M141" s="241">
        <v>54206</v>
      </c>
      <c r="N141" s="239" t="s">
        <v>1909</v>
      </c>
      <c r="O141" s="241"/>
    </row>
    <row r="142" spans="1:15" ht="15" hidden="1" customHeight="1" outlineLevel="2" x14ac:dyDescent="0.25">
      <c r="A142" s="242"/>
      <c r="B142" s="242"/>
      <c r="C142" s="242" t="s">
        <v>1913</v>
      </c>
      <c r="D142" s="242" t="s">
        <v>542</v>
      </c>
      <c r="E142" s="243">
        <v>11967497722</v>
      </c>
      <c r="F142" s="244">
        <v>104.56310000000001</v>
      </c>
      <c r="G142" s="245">
        <v>211912109.09999999</v>
      </c>
      <c r="H142" s="245">
        <v>211912109.09999999</v>
      </c>
      <c r="I142" s="242" t="s">
        <v>1930</v>
      </c>
      <c r="J142" s="243">
        <v>1000</v>
      </c>
      <c r="K142" s="244" t="s">
        <v>1931</v>
      </c>
      <c r="L142" s="243">
        <v>9705</v>
      </c>
      <c r="M142" s="246">
        <v>54206</v>
      </c>
      <c r="N142" s="244" t="s">
        <v>1909</v>
      </c>
      <c r="O142" s="246"/>
    </row>
    <row r="143" spans="1:15" ht="15" customHeight="1" outlineLevel="1" collapsed="1" x14ac:dyDescent="0.25">
      <c r="A143" s="237"/>
      <c r="B143" s="237" t="s">
        <v>2004</v>
      </c>
      <c r="C143" s="237" t="s">
        <v>1913</v>
      </c>
      <c r="D143" s="237" t="s">
        <v>543</v>
      </c>
      <c r="E143" s="238">
        <v>9894489600</v>
      </c>
      <c r="F143" s="239">
        <v>104.56</v>
      </c>
      <c r="G143" s="240">
        <v>69632000</v>
      </c>
      <c r="H143" s="240">
        <v>69632000</v>
      </c>
      <c r="I143" s="237" t="s">
        <v>1909</v>
      </c>
      <c r="J143" s="238">
        <v>1000</v>
      </c>
      <c r="K143" s="239" t="s">
        <v>1909</v>
      </c>
      <c r="L143" s="238">
        <v>2712</v>
      </c>
      <c r="M143" s="241">
        <v>47213</v>
      </c>
      <c r="N143" s="239" t="s">
        <v>1909</v>
      </c>
      <c r="O143" s="241"/>
    </row>
    <row r="144" spans="1:15" ht="15" hidden="1" customHeight="1" outlineLevel="2" x14ac:dyDescent="0.25">
      <c r="A144" s="242"/>
      <c r="B144" s="242"/>
      <c r="C144" s="242" t="s">
        <v>1913</v>
      </c>
      <c r="D144" s="242" t="s">
        <v>543</v>
      </c>
      <c r="E144" s="243">
        <v>9894489600</v>
      </c>
      <c r="F144" s="244">
        <v>104.56</v>
      </c>
      <c r="G144" s="245">
        <v>69632000</v>
      </c>
      <c r="H144" s="245">
        <v>69632000</v>
      </c>
      <c r="I144" s="242" t="s">
        <v>1930</v>
      </c>
      <c r="J144" s="243">
        <v>1000</v>
      </c>
      <c r="K144" s="244" t="s">
        <v>1931</v>
      </c>
      <c r="L144" s="243">
        <v>2712</v>
      </c>
      <c r="M144" s="246">
        <v>47213</v>
      </c>
      <c r="N144" s="244" t="s">
        <v>1909</v>
      </c>
      <c r="O144" s="246"/>
    </row>
    <row r="145" spans="1:15" ht="15" customHeight="1" outlineLevel="1" collapsed="1" x14ac:dyDescent="0.25">
      <c r="A145" s="237"/>
      <c r="B145" s="237" t="s">
        <v>2005</v>
      </c>
      <c r="C145" s="237" t="s">
        <v>1913</v>
      </c>
      <c r="D145" s="237" t="s">
        <v>544</v>
      </c>
      <c r="E145" s="238">
        <v>13668051150</v>
      </c>
      <c r="F145" s="239">
        <v>104.8</v>
      </c>
      <c r="G145" s="240">
        <v>0</v>
      </c>
      <c r="H145" s="240">
        <v>0</v>
      </c>
      <c r="I145" s="237" t="s">
        <v>1909</v>
      </c>
      <c r="J145" s="238">
        <v>1000</v>
      </c>
      <c r="K145" s="239" t="s">
        <v>1909</v>
      </c>
      <c r="L145" s="238">
        <v>10193</v>
      </c>
      <c r="M145" s="241">
        <v>54694</v>
      </c>
      <c r="N145" s="239" t="s">
        <v>1909</v>
      </c>
      <c r="O145" s="241"/>
    </row>
    <row r="146" spans="1:15" ht="15" hidden="1" customHeight="1" outlineLevel="2" x14ac:dyDescent="0.25">
      <c r="A146" s="242"/>
      <c r="B146" s="242"/>
      <c r="C146" s="242" t="s">
        <v>1913</v>
      </c>
      <c r="D146" s="242" t="s">
        <v>544</v>
      </c>
      <c r="E146" s="243">
        <v>13668051150</v>
      </c>
      <c r="F146" s="244">
        <v>104.8</v>
      </c>
      <c r="G146" s="245">
        <v>0</v>
      </c>
      <c r="H146" s="245">
        <v>0</v>
      </c>
      <c r="I146" s="242" t="s">
        <v>1930</v>
      </c>
      <c r="J146" s="243">
        <v>1000</v>
      </c>
      <c r="K146" s="244" t="s">
        <v>1931</v>
      </c>
      <c r="L146" s="243">
        <v>10193</v>
      </c>
      <c r="M146" s="246">
        <v>54694</v>
      </c>
      <c r="N146" s="244" t="s">
        <v>1909</v>
      </c>
      <c r="O146" s="246"/>
    </row>
    <row r="147" spans="1:15" ht="15" customHeight="1" outlineLevel="1" collapsed="1" x14ac:dyDescent="0.25">
      <c r="A147" s="237"/>
      <c r="B147" s="237" t="s">
        <v>2006</v>
      </c>
      <c r="C147" s="237" t="s">
        <v>1913</v>
      </c>
      <c r="D147" s="237" t="s">
        <v>548</v>
      </c>
      <c r="E147" s="238">
        <v>8051737500</v>
      </c>
      <c r="F147" s="239">
        <v>100.8</v>
      </c>
      <c r="G147" s="240">
        <v>59287500</v>
      </c>
      <c r="H147" s="240">
        <v>59287500</v>
      </c>
      <c r="I147" s="237" t="s">
        <v>1909</v>
      </c>
      <c r="J147" s="238">
        <v>1000</v>
      </c>
      <c r="K147" s="239" t="s">
        <v>1909</v>
      </c>
      <c r="L147" s="238">
        <v>10831</v>
      </c>
      <c r="M147" s="241">
        <v>55332</v>
      </c>
      <c r="N147" s="239" t="s">
        <v>1909</v>
      </c>
      <c r="O147" s="241"/>
    </row>
    <row r="148" spans="1:15" ht="15" hidden="1" customHeight="1" outlineLevel="2" x14ac:dyDescent="0.25">
      <c r="A148" s="242"/>
      <c r="B148" s="242"/>
      <c r="C148" s="242" t="s">
        <v>1913</v>
      </c>
      <c r="D148" s="242" t="s">
        <v>548</v>
      </c>
      <c r="E148" s="243">
        <v>8051737500</v>
      </c>
      <c r="F148" s="244">
        <v>100.8</v>
      </c>
      <c r="G148" s="245">
        <v>59287500</v>
      </c>
      <c r="H148" s="245">
        <v>59287500</v>
      </c>
      <c r="I148" s="242" t="s">
        <v>1930</v>
      </c>
      <c r="J148" s="243">
        <v>1000</v>
      </c>
      <c r="K148" s="244" t="s">
        <v>1931</v>
      </c>
      <c r="L148" s="243">
        <v>10831</v>
      </c>
      <c r="M148" s="246">
        <v>55332</v>
      </c>
      <c r="N148" s="244" t="s">
        <v>1909</v>
      </c>
      <c r="O148" s="246"/>
    </row>
    <row r="149" spans="1:15" ht="15" customHeight="1" outlineLevel="1" collapsed="1" x14ac:dyDescent="0.25">
      <c r="A149" s="237"/>
      <c r="B149" s="237" t="s">
        <v>2007</v>
      </c>
      <c r="C149" s="237" t="s">
        <v>1913</v>
      </c>
      <c r="D149" s="237" t="s">
        <v>549</v>
      </c>
      <c r="E149" s="238">
        <v>7500000000</v>
      </c>
      <c r="F149" s="239">
        <v>100</v>
      </c>
      <c r="G149" s="240">
        <v>239625000</v>
      </c>
      <c r="H149" s="240">
        <v>239625000</v>
      </c>
      <c r="I149" s="237" t="s">
        <v>1909</v>
      </c>
      <c r="J149" s="238">
        <v>1000</v>
      </c>
      <c r="K149" s="239" t="s">
        <v>1909</v>
      </c>
      <c r="L149" s="238">
        <v>2390</v>
      </c>
      <c r="M149" s="241">
        <v>46891</v>
      </c>
      <c r="N149" s="239" t="s">
        <v>1909</v>
      </c>
      <c r="O149" s="241"/>
    </row>
    <row r="150" spans="1:15" ht="15" hidden="1" customHeight="1" outlineLevel="2" x14ac:dyDescent="0.25">
      <c r="A150" s="242"/>
      <c r="B150" s="242"/>
      <c r="C150" s="242" t="s">
        <v>1913</v>
      </c>
      <c r="D150" s="242" t="s">
        <v>549</v>
      </c>
      <c r="E150" s="243">
        <v>7500000000</v>
      </c>
      <c r="F150" s="244">
        <v>100</v>
      </c>
      <c r="G150" s="245">
        <v>239625000</v>
      </c>
      <c r="H150" s="245">
        <v>239625000</v>
      </c>
      <c r="I150" s="242" t="s">
        <v>1930</v>
      </c>
      <c r="J150" s="243">
        <v>1000</v>
      </c>
      <c r="K150" s="244" t="s">
        <v>1931</v>
      </c>
      <c r="L150" s="243">
        <v>2390</v>
      </c>
      <c r="M150" s="246">
        <v>46891</v>
      </c>
      <c r="N150" s="244" t="s">
        <v>1909</v>
      </c>
      <c r="O150" s="246"/>
    </row>
    <row r="151" spans="1:15" ht="15" customHeight="1" outlineLevel="1" collapsed="1" x14ac:dyDescent="0.25">
      <c r="A151" s="237"/>
      <c r="B151" s="237" t="s">
        <v>2008</v>
      </c>
      <c r="C151" s="237" t="s">
        <v>1913</v>
      </c>
      <c r="D151" s="237" t="s">
        <v>546</v>
      </c>
      <c r="E151" s="238">
        <v>585000000</v>
      </c>
      <c r="F151" s="239">
        <v>100</v>
      </c>
      <c r="G151" s="240">
        <v>18983250</v>
      </c>
      <c r="H151" s="240">
        <v>18983250</v>
      </c>
      <c r="I151" s="237" t="s">
        <v>1909</v>
      </c>
      <c r="J151" s="238">
        <v>1000</v>
      </c>
      <c r="K151" s="239" t="s">
        <v>1909</v>
      </c>
      <c r="L151" s="238">
        <v>569</v>
      </c>
      <c r="M151" s="241">
        <v>45070</v>
      </c>
      <c r="N151" s="239" t="s">
        <v>1909</v>
      </c>
      <c r="O151" s="241"/>
    </row>
    <row r="152" spans="1:15" ht="15" hidden="1" customHeight="1" outlineLevel="2" x14ac:dyDescent="0.25">
      <c r="A152" s="242"/>
      <c r="B152" s="242"/>
      <c r="C152" s="242" t="s">
        <v>1913</v>
      </c>
      <c r="D152" s="242" t="s">
        <v>546</v>
      </c>
      <c r="E152" s="243">
        <v>585000000</v>
      </c>
      <c r="F152" s="244">
        <v>100</v>
      </c>
      <c r="G152" s="245">
        <v>18983250</v>
      </c>
      <c r="H152" s="245">
        <v>18983250</v>
      </c>
      <c r="I152" s="242" t="s">
        <v>1930</v>
      </c>
      <c r="J152" s="243">
        <v>1000</v>
      </c>
      <c r="K152" s="244" t="s">
        <v>1931</v>
      </c>
      <c r="L152" s="243">
        <v>569</v>
      </c>
      <c r="M152" s="246">
        <v>45070</v>
      </c>
      <c r="N152" s="244" t="s">
        <v>1909</v>
      </c>
      <c r="O152" s="246"/>
    </row>
    <row r="153" spans="1:15" ht="15" customHeight="1" x14ac:dyDescent="0.25">
      <c r="A153" s="232" t="s">
        <v>2009</v>
      </c>
      <c r="B153" s="232"/>
      <c r="C153" s="232" t="s">
        <v>1909</v>
      </c>
      <c r="D153" s="232" t="s">
        <v>1909</v>
      </c>
      <c r="E153" s="233">
        <v>377969000</v>
      </c>
      <c r="F153" s="234" t="s">
        <v>1909</v>
      </c>
      <c r="G153" s="235">
        <v>15929581.890000001</v>
      </c>
      <c r="H153" s="235">
        <v>15929581.890000001</v>
      </c>
      <c r="I153" s="232" t="s">
        <v>1909</v>
      </c>
      <c r="J153" s="233" t="s">
        <v>1909</v>
      </c>
      <c r="K153" s="234" t="s">
        <v>1909</v>
      </c>
      <c r="L153" s="233" t="s">
        <v>1909</v>
      </c>
      <c r="M153" s="236"/>
      <c r="N153" s="234" t="s">
        <v>1909</v>
      </c>
      <c r="O153" s="236"/>
    </row>
    <row r="154" spans="1:15" ht="15" customHeight="1" outlineLevel="1" collapsed="1" x14ac:dyDescent="0.25">
      <c r="A154" s="237"/>
      <c r="B154" s="237" t="s">
        <v>2010</v>
      </c>
      <c r="C154" s="237" t="s">
        <v>349</v>
      </c>
      <c r="D154" s="237" t="s">
        <v>535</v>
      </c>
      <c r="E154" s="238">
        <v>10000000</v>
      </c>
      <c r="F154" s="239">
        <v>101.02800000000001</v>
      </c>
      <c r="G154" s="240">
        <v>14486581.890000001</v>
      </c>
      <c r="H154" s="240">
        <v>175313</v>
      </c>
      <c r="I154" s="237" t="s">
        <v>1909</v>
      </c>
      <c r="J154" s="238">
        <v>100000</v>
      </c>
      <c r="K154" s="239" t="s">
        <v>1909</v>
      </c>
      <c r="L154" s="238">
        <v>4037</v>
      </c>
      <c r="M154" s="241">
        <v>48538</v>
      </c>
      <c r="N154" s="239" t="s">
        <v>1909</v>
      </c>
      <c r="O154" s="241"/>
    </row>
    <row r="155" spans="1:15" ht="15" hidden="1" customHeight="1" outlineLevel="2" x14ac:dyDescent="0.25">
      <c r="A155" s="247"/>
      <c r="B155" s="247"/>
      <c r="C155" s="247" t="s">
        <v>349</v>
      </c>
      <c r="D155" s="247" t="s">
        <v>535</v>
      </c>
      <c r="E155" s="248">
        <v>10000000</v>
      </c>
      <c r="F155" s="249">
        <v>101.02800000000001</v>
      </c>
      <c r="G155" s="250">
        <v>14486581.890000001</v>
      </c>
      <c r="H155" s="250">
        <v>175313</v>
      </c>
      <c r="I155" s="247" t="s">
        <v>1930</v>
      </c>
      <c r="J155" s="248">
        <v>100000</v>
      </c>
      <c r="K155" s="249" t="s">
        <v>1931</v>
      </c>
      <c r="L155" s="248">
        <v>4037</v>
      </c>
      <c r="M155" s="251">
        <v>48538</v>
      </c>
      <c r="N155" s="249" t="s">
        <v>1909</v>
      </c>
      <c r="O155" s="251"/>
    </row>
    <row r="156" spans="1:15" ht="15" customHeight="1" outlineLevel="1" collapsed="1" x14ac:dyDescent="0.25">
      <c r="A156" s="237"/>
      <c r="B156" s="237" t="s">
        <v>2011</v>
      </c>
      <c r="C156" s="237" t="s">
        <v>1913</v>
      </c>
      <c r="D156" s="237" t="s">
        <v>564</v>
      </c>
      <c r="E156" s="238">
        <v>250000000</v>
      </c>
      <c r="F156" s="239">
        <v>101.999</v>
      </c>
      <c r="G156" s="240">
        <v>780000</v>
      </c>
      <c r="H156" s="240">
        <v>780000</v>
      </c>
      <c r="I156" s="237" t="s">
        <v>1909</v>
      </c>
      <c r="J156" s="238">
        <v>1000</v>
      </c>
      <c r="K156" s="239" t="s">
        <v>1909</v>
      </c>
      <c r="L156" s="238">
        <v>2165</v>
      </c>
      <c r="M156" s="241">
        <v>46666</v>
      </c>
      <c r="N156" s="239" t="s">
        <v>1909</v>
      </c>
      <c r="O156" s="241"/>
    </row>
    <row r="157" spans="1:15" ht="15" hidden="1" customHeight="1" outlineLevel="2" x14ac:dyDescent="0.25">
      <c r="A157" s="247"/>
      <c r="B157" s="247"/>
      <c r="C157" s="247" t="s">
        <v>1913</v>
      </c>
      <c r="D157" s="247" t="s">
        <v>564</v>
      </c>
      <c r="E157" s="248">
        <v>250000000</v>
      </c>
      <c r="F157" s="249">
        <v>101.999</v>
      </c>
      <c r="G157" s="250">
        <v>780000</v>
      </c>
      <c r="H157" s="250">
        <v>780000</v>
      </c>
      <c r="I157" s="247" t="s">
        <v>1930</v>
      </c>
      <c r="J157" s="248">
        <v>1000</v>
      </c>
      <c r="K157" s="249" t="s">
        <v>1931</v>
      </c>
      <c r="L157" s="248">
        <v>2165</v>
      </c>
      <c r="M157" s="251">
        <v>46666</v>
      </c>
      <c r="N157" s="249" t="s">
        <v>1909</v>
      </c>
      <c r="O157" s="251"/>
    </row>
    <row r="158" spans="1:15" ht="15" customHeight="1" outlineLevel="1" collapsed="1" x14ac:dyDescent="0.25">
      <c r="A158" s="237"/>
      <c r="B158" s="237" t="s">
        <v>2012</v>
      </c>
      <c r="C158" s="237" t="s">
        <v>1913</v>
      </c>
      <c r="D158" s="237" t="s">
        <v>563</v>
      </c>
      <c r="E158" s="238">
        <v>117969000</v>
      </c>
      <c r="F158" s="239">
        <v>101.392</v>
      </c>
      <c r="G158" s="240">
        <v>663000</v>
      </c>
      <c r="H158" s="240">
        <v>663000</v>
      </c>
      <c r="I158" s="237" t="s">
        <v>1909</v>
      </c>
      <c r="J158" s="238">
        <v>1000</v>
      </c>
      <c r="K158" s="239" t="s">
        <v>1909</v>
      </c>
      <c r="L158" s="238">
        <v>2284</v>
      </c>
      <c r="M158" s="241">
        <v>46785</v>
      </c>
      <c r="N158" s="239" t="s">
        <v>1909</v>
      </c>
      <c r="O158" s="241"/>
    </row>
    <row r="159" spans="1:15" ht="15" hidden="1" customHeight="1" outlineLevel="2" x14ac:dyDescent="0.25">
      <c r="A159" s="247"/>
      <c r="B159" s="247"/>
      <c r="C159" s="247" t="s">
        <v>1913</v>
      </c>
      <c r="D159" s="247" t="s">
        <v>563</v>
      </c>
      <c r="E159" s="248">
        <v>117969000</v>
      </c>
      <c r="F159" s="249">
        <v>101.392</v>
      </c>
      <c r="G159" s="250">
        <v>663000</v>
      </c>
      <c r="H159" s="250">
        <v>663000</v>
      </c>
      <c r="I159" s="247" t="s">
        <v>1930</v>
      </c>
      <c r="J159" s="248">
        <v>1000</v>
      </c>
      <c r="K159" s="249" t="s">
        <v>1931</v>
      </c>
      <c r="L159" s="248">
        <v>2284</v>
      </c>
      <c r="M159" s="251">
        <v>46785</v>
      </c>
      <c r="N159" s="249" t="s">
        <v>1909</v>
      </c>
      <c r="O159" s="251"/>
    </row>
    <row r="160" spans="1:15" ht="15" customHeight="1" x14ac:dyDescent="0.25">
      <c r="A160" s="232" t="s">
        <v>2013</v>
      </c>
      <c r="B160" s="232"/>
      <c r="C160" s="232" t="s">
        <v>1909</v>
      </c>
      <c r="D160" s="232" t="s">
        <v>1909</v>
      </c>
      <c r="E160" s="233">
        <v>728920000</v>
      </c>
      <c r="F160" s="234" t="s">
        <v>1909</v>
      </c>
      <c r="G160" s="235">
        <v>22654645.460000001</v>
      </c>
      <c r="H160" s="235">
        <v>22654645.460000001</v>
      </c>
      <c r="I160" s="232" t="s">
        <v>1909</v>
      </c>
      <c r="J160" s="233" t="s">
        <v>1909</v>
      </c>
      <c r="K160" s="234" t="s">
        <v>1909</v>
      </c>
      <c r="L160" s="233" t="s">
        <v>1909</v>
      </c>
      <c r="M160" s="236"/>
      <c r="N160" s="234" t="s">
        <v>1909</v>
      </c>
      <c r="O160" s="236"/>
    </row>
    <row r="161" spans="1:15" ht="15" customHeight="1" outlineLevel="1" collapsed="1" x14ac:dyDescent="0.25">
      <c r="A161" s="237"/>
      <c r="B161" s="237" t="s">
        <v>2010</v>
      </c>
      <c r="C161" s="237" t="s">
        <v>349</v>
      </c>
      <c r="D161" s="237" t="s">
        <v>535</v>
      </c>
      <c r="E161" s="238">
        <v>10900000</v>
      </c>
      <c r="F161" s="239">
        <v>99.862399999999994</v>
      </c>
      <c r="G161" s="240">
        <v>15790374.26</v>
      </c>
      <c r="H161" s="240">
        <v>191091.17</v>
      </c>
      <c r="I161" s="237" t="s">
        <v>1909</v>
      </c>
      <c r="J161" s="238">
        <v>100000</v>
      </c>
      <c r="K161" s="239" t="s">
        <v>1909</v>
      </c>
      <c r="L161" s="238">
        <v>4037</v>
      </c>
      <c r="M161" s="241">
        <v>48538</v>
      </c>
      <c r="N161" s="239" t="s">
        <v>1909</v>
      </c>
      <c r="O161" s="241"/>
    </row>
    <row r="162" spans="1:15" ht="15" hidden="1" customHeight="1" outlineLevel="2" x14ac:dyDescent="0.25">
      <c r="A162" s="242"/>
      <c r="B162" s="242"/>
      <c r="C162" s="242" t="s">
        <v>349</v>
      </c>
      <c r="D162" s="242" t="s">
        <v>535</v>
      </c>
      <c r="E162" s="243">
        <v>10900000</v>
      </c>
      <c r="F162" s="244">
        <v>99.862399999999994</v>
      </c>
      <c r="G162" s="245">
        <v>15790374.26</v>
      </c>
      <c r="H162" s="245">
        <v>191091.17</v>
      </c>
      <c r="I162" s="242" t="s">
        <v>1930</v>
      </c>
      <c r="J162" s="243">
        <v>100000</v>
      </c>
      <c r="K162" s="244" t="s">
        <v>1931</v>
      </c>
      <c r="L162" s="243">
        <v>4037</v>
      </c>
      <c r="M162" s="246">
        <v>48538</v>
      </c>
      <c r="N162" s="244" t="s">
        <v>1909</v>
      </c>
      <c r="O162" s="246"/>
    </row>
    <row r="163" spans="1:15" ht="15" customHeight="1" outlineLevel="1" collapsed="1" x14ac:dyDescent="0.25">
      <c r="A163" s="237"/>
      <c r="B163" s="237" t="s">
        <v>1991</v>
      </c>
      <c r="C163" s="237" t="s">
        <v>1913</v>
      </c>
      <c r="D163" s="237" t="s">
        <v>534</v>
      </c>
      <c r="E163" s="238">
        <v>718020000</v>
      </c>
      <c r="F163" s="239">
        <v>106.8991</v>
      </c>
      <c r="G163" s="240">
        <v>6864271.2000000002</v>
      </c>
      <c r="H163" s="240">
        <v>6864271.2000000002</v>
      </c>
      <c r="I163" s="237" t="s">
        <v>1909</v>
      </c>
      <c r="J163" s="238">
        <v>1000</v>
      </c>
      <c r="K163" s="239" t="s">
        <v>1909</v>
      </c>
      <c r="L163" s="238">
        <v>1948</v>
      </c>
      <c r="M163" s="241">
        <v>46449</v>
      </c>
      <c r="N163" s="239" t="s">
        <v>1909</v>
      </c>
      <c r="O163" s="241"/>
    </row>
    <row r="164" spans="1:15" ht="15" hidden="1" customHeight="1" outlineLevel="2" x14ac:dyDescent="0.25">
      <c r="A164" s="242"/>
      <c r="B164" s="242"/>
      <c r="C164" s="242" t="s">
        <v>1913</v>
      </c>
      <c r="D164" s="242" t="s">
        <v>534</v>
      </c>
      <c r="E164" s="243">
        <v>718020000</v>
      </c>
      <c r="F164" s="244">
        <v>106.8991</v>
      </c>
      <c r="G164" s="245">
        <v>6864271.2000000002</v>
      </c>
      <c r="H164" s="245">
        <v>6864271.2000000002</v>
      </c>
      <c r="I164" s="242" t="s">
        <v>1930</v>
      </c>
      <c r="J164" s="243">
        <v>1000</v>
      </c>
      <c r="K164" s="244" t="s">
        <v>1931</v>
      </c>
      <c r="L164" s="243">
        <v>1948</v>
      </c>
      <c r="M164" s="246">
        <v>46449</v>
      </c>
      <c r="N164" s="244" t="s">
        <v>1909</v>
      </c>
      <c r="O164" s="246"/>
    </row>
    <row r="165" spans="1:15" ht="15" customHeight="1" x14ac:dyDescent="0.25">
      <c r="A165" s="232" t="s">
        <v>2014</v>
      </c>
      <c r="B165" s="232"/>
      <c r="C165" s="232" t="s">
        <v>1909</v>
      </c>
      <c r="D165" s="232" t="s">
        <v>1909</v>
      </c>
      <c r="E165" s="233">
        <v>2447306348</v>
      </c>
      <c r="F165" s="234" t="s">
        <v>1909</v>
      </c>
      <c r="G165" s="235">
        <v>100320470.79000001</v>
      </c>
      <c r="H165" s="235">
        <v>100320470.79000001</v>
      </c>
      <c r="I165" s="232" t="s">
        <v>1909</v>
      </c>
      <c r="J165" s="233" t="s">
        <v>1909</v>
      </c>
      <c r="K165" s="234" t="s">
        <v>1909</v>
      </c>
      <c r="L165" s="233" t="s">
        <v>1909</v>
      </c>
      <c r="M165" s="236"/>
      <c r="N165" s="234" t="s">
        <v>1909</v>
      </c>
      <c r="O165" s="236"/>
    </row>
    <row r="166" spans="1:15" ht="15" customHeight="1" outlineLevel="1" collapsed="1" x14ac:dyDescent="0.25">
      <c r="A166" s="237"/>
      <c r="B166" s="237" t="s">
        <v>2015</v>
      </c>
      <c r="C166" s="237" t="s">
        <v>351</v>
      </c>
      <c r="D166" s="237" t="s">
        <v>573</v>
      </c>
      <c r="E166" s="238">
        <v>13540000</v>
      </c>
      <c r="F166" s="239">
        <v>99.154700000000005</v>
      </c>
      <c r="G166" s="240">
        <v>4160141.48</v>
      </c>
      <c r="H166" s="240">
        <v>58357.4</v>
      </c>
      <c r="I166" s="237" t="s">
        <v>1909</v>
      </c>
      <c r="J166" s="238">
        <v>1000</v>
      </c>
      <c r="K166" s="239" t="s">
        <v>1909</v>
      </c>
      <c r="L166" s="238">
        <v>1785</v>
      </c>
      <c r="M166" s="241">
        <v>46286</v>
      </c>
      <c r="N166" s="239" t="s">
        <v>1909</v>
      </c>
      <c r="O166" s="241"/>
    </row>
    <row r="167" spans="1:15" ht="15" hidden="1" customHeight="1" outlineLevel="2" x14ac:dyDescent="0.25">
      <c r="A167" s="247"/>
      <c r="B167" s="247"/>
      <c r="C167" s="247" t="s">
        <v>351</v>
      </c>
      <c r="D167" s="247" t="s">
        <v>573</v>
      </c>
      <c r="E167" s="248">
        <v>13540000</v>
      </c>
      <c r="F167" s="249">
        <v>99.154700000000005</v>
      </c>
      <c r="G167" s="250">
        <v>4160141.48</v>
      </c>
      <c r="H167" s="250">
        <v>58357.4</v>
      </c>
      <c r="I167" s="247" t="s">
        <v>1930</v>
      </c>
      <c r="J167" s="248">
        <v>1000</v>
      </c>
      <c r="K167" s="249" t="s">
        <v>1931</v>
      </c>
      <c r="L167" s="248">
        <v>1785</v>
      </c>
      <c r="M167" s="251">
        <v>46286</v>
      </c>
      <c r="N167" s="249" t="s">
        <v>1909</v>
      </c>
      <c r="O167" s="251"/>
    </row>
    <row r="168" spans="1:15" ht="15" customHeight="1" outlineLevel="1" collapsed="1" x14ac:dyDescent="0.25">
      <c r="A168" s="237"/>
      <c r="B168" s="237" t="s">
        <v>2016</v>
      </c>
      <c r="C168" s="237" t="s">
        <v>351</v>
      </c>
      <c r="D168" s="237" t="s">
        <v>551</v>
      </c>
      <c r="E168" s="238">
        <v>29289000</v>
      </c>
      <c r="F168" s="239">
        <v>99.524500000000003</v>
      </c>
      <c r="G168" s="240">
        <v>16077089.720000001</v>
      </c>
      <c r="H168" s="240">
        <v>225525.3</v>
      </c>
      <c r="I168" s="237" t="s">
        <v>1909</v>
      </c>
      <c r="J168" s="238">
        <v>1000</v>
      </c>
      <c r="K168" s="239" t="s">
        <v>1909</v>
      </c>
      <c r="L168" s="238">
        <v>2644</v>
      </c>
      <c r="M168" s="241">
        <v>47145</v>
      </c>
      <c r="N168" s="239" t="s">
        <v>1909</v>
      </c>
      <c r="O168" s="241"/>
    </row>
    <row r="169" spans="1:15" ht="15" hidden="1" customHeight="1" outlineLevel="2" x14ac:dyDescent="0.25">
      <c r="A169" s="247"/>
      <c r="B169" s="247"/>
      <c r="C169" s="247" t="s">
        <v>351</v>
      </c>
      <c r="D169" s="247" t="s">
        <v>551</v>
      </c>
      <c r="E169" s="248">
        <v>29289000</v>
      </c>
      <c r="F169" s="249">
        <v>99.524500000000003</v>
      </c>
      <c r="G169" s="250">
        <v>16077089.720000001</v>
      </c>
      <c r="H169" s="250">
        <v>225525.3</v>
      </c>
      <c r="I169" s="247" t="s">
        <v>1930</v>
      </c>
      <c r="J169" s="248">
        <v>1000</v>
      </c>
      <c r="K169" s="249" t="s">
        <v>1931</v>
      </c>
      <c r="L169" s="248">
        <v>2644</v>
      </c>
      <c r="M169" s="251">
        <v>47145</v>
      </c>
      <c r="N169" s="249" t="s">
        <v>1909</v>
      </c>
      <c r="O169" s="251"/>
    </row>
    <row r="170" spans="1:15" ht="15" customHeight="1" outlineLevel="1" collapsed="1" x14ac:dyDescent="0.25">
      <c r="A170" s="237"/>
      <c r="B170" s="237" t="s">
        <v>2017</v>
      </c>
      <c r="C170" s="237" t="s">
        <v>351</v>
      </c>
      <c r="D170" s="237" t="s">
        <v>550</v>
      </c>
      <c r="E170" s="238">
        <v>2000000</v>
      </c>
      <c r="F170" s="239">
        <v>102.291</v>
      </c>
      <c r="G170" s="240">
        <v>504714.08</v>
      </c>
      <c r="H170" s="240">
        <v>7080</v>
      </c>
      <c r="I170" s="237" t="s">
        <v>1909</v>
      </c>
      <c r="J170" s="238">
        <v>1000</v>
      </c>
      <c r="K170" s="239" t="s">
        <v>1909</v>
      </c>
      <c r="L170" s="238">
        <v>1410</v>
      </c>
      <c r="M170" s="241">
        <v>45911</v>
      </c>
      <c r="N170" s="239" t="s">
        <v>1909</v>
      </c>
      <c r="O170" s="241"/>
    </row>
    <row r="171" spans="1:15" ht="15" hidden="1" customHeight="1" outlineLevel="2" x14ac:dyDescent="0.25">
      <c r="A171" s="247"/>
      <c r="B171" s="247"/>
      <c r="C171" s="247" t="s">
        <v>351</v>
      </c>
      <c r="D171" s="247" t="s">
        <v>550</v>
      </c>
      <c r="E171" s="248">
        <v>2000000</v>
      </c>
      <c r="F171" s="249">
        <v>102.291</v>
      </c>
      <c r="G171" s="250">
        <v>504714.08</v>
      </c>
      <c r="H171" s="250">
        <v>7080</v>
      </c>
      <c r="I171" s="247" t="s">
        <v>1930</v>
      </c>
      <c r="J171" s="248">
        <v>1000</v>
      </c>
      <c r="K171" s="249" t="s">
        <v>1931</v>
      </c>
      <c r="L171" s="248">
        <v>1410</v>
      </c>
      <c r="M171" s="251">
        <v>45911</v>
      </c>
      <c r="N171" s="249" t="s">
        <v>1909</v>
      </c>
      <c r="O171" s="251"/>
    </row>
    <row r="172" spans="1:15" ht="15" customHeight="1" outlineLevel="1" collapsed="1" x14ac:dyDescent="0.25">
      <c r="A172" s="237"/>
      <c r="B172" s="237" t="s">
        <v>2018</v>
      </c>
      <c r="C172" s="237" t="s">
        <v>1913</v>
      </c>
      <c r="D172" s="237" t="s">
        <v>561</v>
      </c>
      <c r="E172" s="238">
        <v>45000000</v>
      </c>
      <c r="F172" s="239">
        <v>100.41</v>
      </c>
      <c r="G172" s="240">
        <v>389700</v>
      </c>
      <c r="H172" s="240">
        <v>389700</v>
      </c>
      <c r="I172" s="237" t="s">
        <v>1909</v>
      </c>
      <c r="J172" s="238">
        <v>1000</v>
      </c>
      <c r="K172" s="239" t="s">
        <v>1909</v>
      </c>
      <c r="L172" s="238">
        <v>770</v>
      </c>
      <c r="M172" s="241">
        <v>45271</v>
      </c>
      <c r="N172" s="239" t="s">
        <v>1909</v>
      </c>
      <c r="O172" s="241"/>
    </row>
    <row r="173" spans="1:15" ht="15" hidden="1" customHeight="1" outlineLevel="2" x14ac:dyDescent="0.25">
      <c r="A173" s="247"/>
      <c r="B173" s="247"/>
      <c r="C173" s="247" t="s">
        <v>1913</v>
      </c>
      <c r="D173" s="247" t="s">
        <v>561</v>
      </c>
      <c r="E173" s="248">
        <v>45000000</v>
      </c>
      <c r="F173" s="249">
        <v>100.41</v>
      </c>
      <c r="G173" s="250">
        <v>389700</v>
      </c>
      <c r="H173" s="250">
        <v>389700</v>
      </c>
      <c r="I173" s="247" t="s">
        <v>1930</v>
      </c>
      <c r="J173" s="248">
        <v>1000</v>
      </c>
      <c r="K173" s="249" t="s">
        <v>1931</v>
      </c>
      <c r="L173" s="248">
        <v>770</v>
      </c>
      <c r="M173" s="251">
        <v>45271</v>
      </c>
      <c r="N173" s="249" t="s">
        <v>1909</v>
      </c>
      <c r="O173" s="251"/>
    </row>
    <row r="174" spans="1:15" ht="15" customHeight="1" outlineLevel="1" collapsed="1" x14ac:dyDescent="0.25">
      <c r="A174" s="237"/>
      <c r="B174" s="237" t="s">
        <v>2119</v>
      </c>
      <c r="C174" s="237" t="s">
        <v>351</v>
      </c>
      <c r="D174" s="237" t="s">
        <v>1104</v>
      </c>
      <c r="E174" s="238">
        <v>5000000</v>
      </c>
      <c r="F174" s="239">
        <v>100</v>
      </c>
      <c r="G174" s="240">
        <v>139010.23999999999</v>
      </c>
      <c r="H174" s="240">
        <v>1950</v>
      </c>
      <c r="I174" s="237" t="s">
        <v>1909</v>
      </c>
      <c r="J174" s="238">
        <v>1000</v>
      </c>
      <c r="K174" s="239" t="s">
        <v>1909</v>
      </c>
      <c r="L174" s="238">
        <v>2002</v>
      </c>
      <c r="M174" s="241">
        <v>46503</v>
      </c>
      <c r="N174" s="239" t="s">
        <v>1909</v>
      </c>
      <c r="O174" s="241"/>
    </row>
    <row r="175" spans="1:15" ht="15" hidden="1" customHeight="1" outlineLevel="2" x14ac:dyDescent="0.25">
      <c r="A175" s="247"/>
      <c r="B175" s="247"/>
      <c r="C175" s="247" t="s">
        <v>351</v>
      </c>
      <c r="D175" s="247" t="s">
        <v>1104</v>
      </c>
      <c r="E175" s="248">
        <v>5000000</v>
      </c>
      <c r="F175" s="249">
        <v>100</v>
      </c>
      <c r="G175" s="250">
        <v>139010.23999999999</v>
      </c>
      <c r="H175" s="250">
        <v>1950</v>
      </c>
      <c r="I175" s="247" t="s">
        <v>1930</v>
      </c>
      <c r="J175" s="248">
        <v>1000</v>
      </c>
      <c r="K175" s="249" t="s">
        <v>1931</v>
      </c>
      <c r="L175" s="248">
        <v>2002</v>
      </c>
      <c r="M175" s="251">
        <v>46503</v>
      </c>
      <c r="N175" s="249" t="s">
        <v>1909</v>
      </c>
      <c r="O175" s="251"/>
    </row>
    <row r="176" spans="1:15" ht="15" customHeight="1" outlineLevel="1" collapsed="1" x14ac:dyDescent="0.25">
      <c r="A176" s="237"/>
      <c r="B176" s="237" t="s">
        <v>2118</v>
      </c>
      <c r="C176" s="237" t="s">
        <v>351</v>
      </c>
      <c r="D176" s="237" t="s">
        <v>1105</v>
      </c>
      <c r="E176" s="238">
        <v>10000000</v>
      </c>
      <c r="F176" s="239">
        <v>100</v>
      </c>
      <c r="G176" s="240">
        <v>356436.5</v>
      </c>
      <c r="H176" s="240">
        <v>5000</v>
      </c>
      <c r="I176" s="237" t="s">
        <v>1909</v>
      </c>
      <c r="J176" s="238">
        <v>1000</v>
      </c>
      <c r="K176" s="239" t="s">
        <v>1909</v>
      </c>
      <c r="L176" s="238">
        <v>3646</v>
      </c>
      <c r="M176" s="241">
        <v>48147</v>
      </c>
      <c r="N176" s="239" t="s">
        <v>1909</v>
      </c>
      <c r="O176" s="241"/>
    </row>
    <row r="177" spans="1:15" ht="15" hidden="1" customHeight="1" outlineLevel="2" x14ac:dyDescent="0.25">
      <c r="A177" s="247"/>
      <c r="B177" s="247"/>
      <c r="C177" s="247" t="s">
        <v>351</v>
      </c>
      <c r="D177" s="247" t="s">
        <v>1105</v>
      </c>
      <c r="E177" s="248">
        <v>10000000</v>
      </c>
      <c r="F177" s="249">
        <v>100</v>
      </c>
      <c r="G177" s="250">
        <v>356436.5</v>
      </c>
      <c r="H177" s="250">
        <v>5000</v>
      </c>
      <c r="I177" s="247" t="s">
        <v>1930</v>
      </c>
      <c r="J177" s="248">
        <v>1000</v>
      </c>
      <c r="K177" s="249" t="s">
        <v>1931</v>
      </c>
      <c r="L177" s="248">
        <v>3646</v>
      </c>
      <c r="M177" s="251">
        <v>48147</v>
      </c>
      <c r="N177" s="249" t="s">
        <v>1909</v>
      </c>
      <c r="O177" s="251"/>
    </row>
    <row r="178" spans="1:15" ht="15" customHeight="1" outlineLevel="1" collapsed="1" x14ac:dyDescent="0.25">
      <c r="A178" s="237"/>
      <c r="B178" s="237" t="s">
        <v>2019</v>
      </c>
      <c r="C178" s="237" t="s">
        <v>351</v>
      </c>
      <c r="D178" s="237" t="s">
        <v>537</v>
      </c>
      <c r="E178" s="238">
        <v>3500000</v>
      </c>
      <c r="F178" s="239">
        <v>105.5724</v>
      </c>
      <c r="G178" s="240">
        <v>4700684.5599999996</v>
      </c>
      <c r="H178" s="240">
        <v>65940</v>
      </c>
      <c r="I178" s="237" t="s">
        <v>1909</v>
      </c>
      <c r="J178" s="238">
        <v>1000</v>
      </c>
      <c r="K178" s="239" t="s">
        <v>1909</v>
      </c>
      <c r="L178" s="238">
        <v>3108</v>
      </c>
      <c r="M178" s="241">
        <v>47609</v>
      </c>
      <c r="N178" s="239" t="s">
        <v>1909</v>
      </c>
      <c r="O178" s="241"/>
    </row>
    <row r="179" spans="1:15" ht="15" hidden="1" customHeight="1" outlineLevel="2" x14ac:dyDescent="0.25">
      <c r="A179" s="247"/>
      <c r="B179" s="247"/>
      <c r="C179" s="247" t="s">
        <v>351</v>
      </c>
      <c r="D179" s="247" t="s">
        <v>537</v>
      </c>
      <c r="E179" s="248">
        <v>3500000</v>
      </c>
      <c r="F179" s="249">
        <v>105.5724</v>
      </c>
      <c r="G179" s="250">
        <v>4700684.5599999996</v>
      </c>
      <c r="H179" s="250">
        <v>65940</v>
      </c>
      <c r="I179" s="247" t="s">
        <v>1930</v>
      </c>
      <c r="J179" s="248">
        <v>1000</v>
      </c>
      <c r="K179" s="249" t="s">
        <v>1931</v>
      </c>
      <c r="L179" s="248">
        <v>3108</v>
      </c>
      <c r="M179" s="251">
        <v>47609</v>
      </c>
      <c r="N179" s="249" t="s">
        <v>1909</v>
      </c>
      <c r="O179" s="251"/>
    </row>
    <row r="180" spans="1:15" ht="15" customHeight="1" outlineLevel="1" collapsed="1" x14ac:dyDescent="0.25">
      <c r="A180" s="237"/>
      <c r="B180" s="237" t="s">
        <v>2020</v>
      </c>
      <c r="C180" s="237" t="s">
        <v>351</v>
      </c>
      <c r="D180" s="237" t="s">
        <v>553</v>
      </c>
      <c r="E180" s="238">
        <v>4000000</v>
      </c>
      <c r="F180" s="239">
        <v>101.785</v>
      </c>
      <c r="G180" s="240">
        <v>4171732.8</v>
      </c>
      <c r="H180" s="240">
        <v>58520</v>
      </c>
      <c r="I180" s="237" t="s">
        <v>1909</v>
      </c>
      <c r="J180" s="238">
        <v>1000</v>
      </c>
      <c r="K180" s="239" t="s">
        <v>1909</v>
      </c>
      <c r="L180" s="238">
        <v>2215</v>
      </c>
      <c r="M180" s="241">
        <v>46716</v>
      </c>
      <c r="N180" s="239" t="s">
        <v>1909</v>
      </c>
      <c r="O180" s="241"/>
    </row>
    <row r="181" spans="1:15" ht="15" hidden="1" customHeight="1" outlineLevel="2" x14ac:dyDescent="0.25">
      <c r="A181" s="247"/>
      <c r="B181" s="247"/>
      <c r="C181" s="247" t="s">
        <v>351</v>
      </c>
      <c r="D181" s="247" t="s">
        <v>553</v>
      </c>
      <c r="E181" s="248">
        <v>4000000</v>
      </c>
      <c r="F181" s="249">
        <v>101.785</v>
      </c>
      <c r="G181" s="250">
        <v>4171732.8</v>
      </c>
      <c r="H181" s="250">
        <v>58520</v>
      </c>
      <c r="I181" s="247" t="s">
        <v>1930</v>
      </c>
      <c r="J181" s="248">
        <v>1000</v>
      </c>
      <c r="K181" s="249" t="s">
        <v>1931</v>
      </c>
      <c r="L181" s="248">
        <v>2215</v>
      </c>
      <c r="M181" s="251">
        <v>46716</v>
      </c>
      <c r="N181" s="249" t="s">
        <v>1909</v>
      </c>
      <c r="O181" s="251"/>
    </row>
    <row r="182" spans="1:15" ht="15" customHeight="1" outlineLevel="1" collapsed="1" x14ac:dyDescent="0.25">
      <c r="A182" s="237"/>
      <c r="B182" s="237" t="s">
        <v>2021</v>
      </c>
      <c r="C182" s="237" t="s">
        <v>351</v>
      </c>
      <c r="D182" s="237" t="s">
        <v>552</v>
      </c>
      <c r="E182" s="238">
        <v>11271000</v>
      </c>
      <c r="F182" s="239">
        <v>108.8407</v>
      </c>
      <c r="G182" s="240">
        <v>30741112.600000001</v>
      </c>
      <c r="H182" s="240">
        <v>431228.46</v>
      </c>
      <c r="I182" s="237" t="s">
        <v>1909</v>
      </c>
      <c r="J182" s="238">
        <v>1000</v>
      </c>
      <c r="K182" s="239" t="s">
        <v>1909</v>
      </c>
      <c r="L182" s="238">
        <v>400</v>
      </c>
      <c r="M182" s="241">
        <v>44901</v>
      </c>
      <c r="N182" s="239" t="s">
        <v>1909</v>
      </c>
      <c r="O182" s="241"/>
    </row>
    <row r="183" spans="1:15" ht="15" hidden="1" customHeight="1" outlineLevel="2" x14ac:dyDescent="0.25">
      <c r="A183" s="247"/>
      <c r="B183" s="247"/>
      <c r="C183" s="247" t="s">
        <v>351</v>
      </c>
      <c r="D183" s="247" t="s">
        <v>552</v>
      </c>
      <c r="E183" s="248">
        <v>11271000</v>
      </c>
      <c r="F183" s="249">
        <v>108.8407</v>
      </c>
      <c r="G183" s="250">
        <v>30741112.600000001</v>
      </c>
      <c r="H183" s="250">
        <v>431228.46</v>
      </c>
      <c r="I183" s="247" t="s">
        <v>1930</v>
      </c>
      <c r="J183" s="248">
        <v>1000</v>
      </c>
      <c r="K183" s="249" t="s">
        <v>1931</v>
      </c>
      <c r="L183" s="248">
        <v>400</v>
      </c>
      <c r="M183" s="251">
        <v>44901</v>
      </c>
      <c r="N183" s="249" t="s">
        <v>1909</v>
      </c>
      <c r="O183" s="251"/>
    </row>
    <row r="184" spans="1:15" ht="15" customHeight="1" outlineLevel="1" collapsed="1" x14ac:dyDescent="0.25">
      <c r="A184" s="237"/>
      <c r="B184" s="237" t="s">
        <v>2022</v>
      </c>
      <c r="C184" s="237" t="s">
        <v>1913</v>
      </c>
      <c r="D184" s="237" t="s">
        <v>557</v>
      </c>
      <c r="E184" s="238">
        <v>543333000</v>
      </c>
      <c r="F184" s="239">
        <v>100.19329999999999</v>
      </c>
      <c r="G184" s="240">
        <v>7367595.4800000004</v>
      </c>
      <c r="H184" s="240">
        <v>7367595.4800000004</v>
      </c>
      <c r="I184" s="237" t="s">
        <v>1909</v>
      </c>
      <c r="J184" s="238">
        <v>1000</v>
      </c>
      <c r="K184" s="239" t="s">
        <v>1909</v>
      </c>
      <c r="L184" s="238">
        <v>280</v>
      </c>
      <c r="M184" s="241">
        <v>44781</v>
      </c>
      <c r="N184" s="239" t="s">
        <v>1909</v>
      </c>
      <c r="O184" s="241"/>
    </row>
    <row r="185" spans="1:15" ht="15" hidden="1" customHeight="1" outlineLevel="2" x14ac:dyDescent="0.25">
      <c r="A185" s="247"/>
      <c r="B185" s="247"/>
      <c r="C185" s="247" t="s">
        <v>1913</v>
      </c>
      <c r="D185" s="247" t="s">
        <v>557</v>
      </c>
      <c r="E185" s="248">
        <v>543333000</v>
      </c>
      <c r="F185" s="249">
        <v>100.19329999999999</v>
      </c>
      <c r="G185" s="250">
        <v>7367595.4800000004</v>
      </c>
      <c r="H185" s="250">
        <v>7367595.4800000004</v>
      </c>
      <c r="I185" s="247" t="s">
        <v>1930</v>
      </c>
      <c r="J185" s="248">
        <v>1000</v>
      </c>
      <c r="K185" s="249" t="s">
        <v>1931</v>
      </c>
      <c r="L185" s="248">
        <v>280</v>
      </c>
      <c r="M185" s="251">
        <v>44781</v>
      </c>
      <c r="N185" s="249" t="s">
        <v>1909</v>
      </c>
      <c r="O185" s="251"/>
    </row>
    <row r="186" spans="1:15" ht="15" customHeight="1" outlineLevel="1" collapsed="1" x14ac:dyDescent="0.25">
      <c r="A186" s="237"/>
      <c r="B186" s="237" t="s">
        <v>2023</v>
      </c>
      <c r="C186" s="237" t="s">
        <v>1913</v>
      </c>
      <c r="D186" s="237" t="s">
        <v>558</v>
      </c>
      <c r="E186" s="238">
        <v>156667000</v>
      </c>
      <c r="F186" s="239">
        <v>100.5429</v>
      </c>
      <c r="G186" s="240">
        <v>2124404.52</v>
      </c>
      <c r="H186" s="240">
        <v>2124404.52</v>
      </c>
      <c r="I186" s="237" t="s">
        <v>1909</v>
      </c>
      <c r="J186" s="238">
        <v>1000</v>
      </c>
      <c r="K186" s="239" t="s">
        <v>1909</v>
      </c>
      <c r="L186" s="238">
        <v>280</v>
      </c>
      <c r="M186" s="241">
        <v>44781</v>
      </c>
      <c r="N186" s="239" t="s">
        <v>1909</v>
      </c>
      <c r="O186" s="241"/>
    </row>
    <row r="187" spans="1:15" ht="15" hidden="1" customHeight="1" outlineLevel="2" x14ac:dyDescent="0.25">
      <c r="A187" s="247"/>
      <c r="B187" s="247"/>
      <c r="C187" s="247" t="s">
        <v>1913</v>
      </c>
      <c r="D187" s="247" t="s">
        <v>558</v>
      </c>
      <c r="E187" s="248">
        <v>156667000</v>
      </c>
      <c r="F187" s="249">
        <v>100.5429</v>
      </c>
      <c r="G187" s="250">
        <v>2124404.52</v>
      </c>
      <c r="H187" s="250">
        <v>2124404.52</v>
      </c>
      <c r="I187" s="247" t="s">
        <v>1930</v>
      </c>
      <c r="J187" s="248">
        <v>1000</v>
      </c>
      <c r="K187" s="249" t="s">
        <v>1931</v>
      </c>
      <c r="L187" s="248">
        <v>280</v>
      </c>
      <c r="M187" s="251">
        <v>44781</v>
      </c>
      <c r="N187" s="249" t="s">
        <v>1909</v>
      </c>
      <c r="O187" s="251"/>
    </row>
    <row r="188" spans="1:15" ht="15" customHeight="1" outlineLevel="1" collapsed="1" x14ac:dyDescent="0.25">
      <c r="A188" s="237"/>
      <c r="B188" s="237" t="s">
        <v>2120</v>
      </c>
      <c r="C188" s="237" t="s">
        <v>351</v>
      </c>
      <c r="D188" s="237" t="s">
        <v>1030</v>
      </c>
      <c r="E188" s="238">
        <v>200000</v>
      </c>
      <c r="F188" s="239">
        <v>100</v>
      </c>
      <c r="G188" s="240">
        <v>6843.58</v>
      </c>
      <c r="H188" s="240">
        <v>96</v>
      </c>
      <c r="I188" s="237" t="s">
        <v>1909</v>
      </c>
      <c r="J188" s="238">
        <v>1000</v>
      </c>
      <c r="K188" s="239" t="s">
        <v>1909</v>
      </c>
      <c r="L188" s="238">
        <v>2675</v>
      </c>
      <c r="M188" s="241">
        <v>47176</v>
      </c>
      <c r="N188" s="239" t="s">
        <v>1909</v>
      </c>
      <c r="O188" s="241"/>
    </row>
    <row r="189" spans="1:15" ht="15" hidden="1" customHeight="1" outlineLevel="2" x14ac:dyDescent="0.25">
      <c r="A189" s="247"/>
      <c r="B189" s="247"/>
      <c r="C189" s="247" t="s">
        <v>351</v>
      </c>
      <c r="D189" s="247" t="s">
        <v>1030</v>
      </c>
      <c r="E189" s="248">
        <v>200000</v>
      </c>
      <c r="F189" s="249">
        <v>100</v>
      </c>
      <c r="G189" s="250">
        <v>6843.58</v>
      </c>
      <c r="H189" s="250">
        <v>96</v>
      </c>
      <c r="I189" s="247" t="s">
        <v>1930</v>
      </c>
      <c r="J189" s="248">
        <v>1000</v>
      </c>
      <c r="K189" s="249" t="s">
        <v>1931</v>
      </c>
      <c r="L189" s="248">
        <v>2675</v>
      </c>
      <c r="M189" s="251">
        <v>47176</v>
      </c>
      <c r="N189" s="249" t="s">
        <v>1909</v>
      </c>
      <c r="O189" s="251"/>
    </row>
    <row r="190" spans="1:15" ht="15" customHeight="1" outlineLevel="1" collapsed="1" x14ac:dyDescent="0.25">
      <c r="A190" s="237"/>
      <c r="B190" s="237" t="s">
        <v>1967</v>
      </c>
      <c r="C190" s="237" t="s">
        <v>1913</v>
      </c>
      <c r="D190" s="237" t="s">
        <v>507</v>
      </c>
      <c r="E190" s="238">
        <v>356098</v>
      </c>
      <c r="F190" s="239">
        <v>133</v>
      </c>
      <c r="G190" s="240">
        <v>3801.28</v>
      </c>
      <c r="H190" s="240">
        <v>3801.28</v>
      </c>
      <c r="I190" s="237" t="s">
        <v>1909</v>
      </c>
      <c r="J190" s="238">
        <v>1000</v>
      </c>
      <c r="K190" s="239" t="s">
        <v>1909</v>
      </c>
      <c r="L190" s="238">
        <v>9276</v>
      </c>
      <c r="M190" s="241">
        <v>53777</v>
      </c>
      <c r="N190" s="239" t="s">
        <v>1909</v>
      </c>
      <c r="O190" s="241"/>
    </row>
    <row r="191" spans="1:15" ht="15" hidden="1" customHeight="1" outlineLevel="2" x14ac:dyDescent="0.25">
      <c r="A191" s="247"/>
      <c r="B191" s="247"/>
      <c r="C191" s="247" t="s">
        <v>1913</v>
      </c>
      <c r="D191" s="247" t="s">
        <v>507</v>
      </c>
      <c r="E191" s="248">
        <v>356098</v>
      </c>
      <c r="F191" s="249">
        <v>133</v>
      </c>
      <c r="G191" s="250">
        <v>3801.28</v>
      </c>
      <c r="H191" s="250">
        <v>3801.28</v>
      </c>
      <c r="I191" s="247" t="s">
        <v>1930</v>
      </c>
      <c r="J191" s="248">
        <v>1000</v>
      </c>
      <c r="K191" s="249" t="s">
        <v>1931</v>
      </c>
      <c r="L191" s="248">
        <v>9276</v>
      </c>
      <c r="M191" s="251">
        <v>53777</v>
      </c>
      <c r="N191" s="249" t="s">
        <v>1909</v>
      </c>
      <c r="O191" s="251"/>
    </row>
    <row r="192" spans="1:15" ht="15" customHeight="1" outlineLevel="1" collapsed="1" x14ac:dyDescent="0.25">
      <c r="A192" s="237"/>
      <c r="B192" s="237" t="s">
        <v>2024</v>
      </c>
      <c r="C192" s="237" t="s">
        <v>1913</v>
      </c>
      <c r="D192" s="237" t="s">
        <v>575</v>
      </c>
      <c r="E192" s="238">
        <v>99416000</v>
      </c>
      <c r="F192" s="239">
        <v>100</v>
      </c>
      <c r="G192" s="240">
        <v>850006.8</v>
      </c>
      <c r="H192" s="240">
        <v>850006.8</v>
      </c>
      <c r="I192" s="237" t="s">
        <v>1909</v>
      </c>
      <c r="J192" s="238">
        <v>1000</v>
      </c>
      <c r="K192" s="239" t="s">
        <v>1909</v>
      </c>
      <c r="L192" s="238">
        <v>1110</v>
      </c>
      <c r="M192" s="241">
        <v>45611</v>
      </c>
      <c r="N192" s="239" t="s">
        <v>1909</v>
      </c>
      <c r="O192" s="241"/>
    </row>
    <row r="193" spans="1:15" ht="15" hidden="1" customHeight="1" outlineLevel="2" x14ac:dyDescent="0.25">
      <c r="A193" s="247"/>
      <c r="B193" s="247"/>
      <c r="C193" s="247" t="s">
        <v>1913</v>
      </c>
      <c r="D193" s="247" t="s">
        <v>575</v>
      </c>
      <c r="E193" s="248">
        <v>99416000</v>
      </c>
      <c r="F193" s="249">
        <v>100</v>
      </c>
      <c r="G193" s="250">
        <v>850006.8</v>
      </c>
      <c r="H193" s="250">
        <v>850006.8</v>
      </c>
      <c r="I193" s="247" t="s">
        <v>1930</v>
      </c>
      <c r="J193" s="248">
        <v>1000</v>
      </c>
      <c r="K193" s="249" t="s">
        <v>1931</v>
      </c>
      <c r="L193" s="248">
        <v>1110</v>
      </c>
      <c r="M193" s="251">
        <v>45611</v>
      </c>
      <c r="N193" s="249" t="s">
        <v>1909</v>
      </c>
      <c r="O193" s="251"/>
    </row>
    <row r="194" spans="1:15" ht="15" customHeight="1" outlineLevel="1" collapsed="1" x14ac:dyDescent="0.25">
      <c r="A194" s="237"/>
      <c r="B194" s="237" t="s">
        <v>2025</v>
      </c>
      <c r="C194" s="237" t="s">
        <v>1913</v>
      </c>
      <c r="D194" s="237" t="s">
        <v>560</v>
      </c>
      <c r="E194" s="238">
        <v>56250000</v>
      </c>
      <c r="F194" s="239">
        <v>100</v>
      </c>
      <c r="G194" s="240">
        <v>477000</v>
      </c>
      <c r="H194" s="240">
        <v>477000</v>
      </c>
      <c r="I194" s="237" t="s">
        <v>1909</v>
      </c>
      <c r="J194" s="238">
        <v>1000</v>
      </c>
      <c r="K194" s="239" t="s">
        <v>1909</v>
      </c>
      <c r="L194" s="238">
        <v>494</v>
      </c>
      <c r="M194" s="241">
        <v>44995</v>
      </c>
      <c r="N194" s="239" t="s">
        <v>1909</v>
      </c>
      <c r="O194" s="241"/>
    </row>
    <row r="195" spans="1:15" ht="15" hidden="1" customHeight="1" outlineLevel="2" x14ac:dyDescent="0.25">
      <c r="A195" s="247"/>
      <c r="B195" s="247"/>
      <c r="C195" s="247" t="s">
        <v>1913</v>
      </c>
      <c r="D195" s="247" t="s">
        <v>560</v>
      </c>
      <c r="E195" s="248">
        <v>56250000</v>
      </c>
      <c r="F195" s="249">
        <v>100</v>
      </c>
      <c r="G195" s="250">
        <v>477000</v>
      </c>
      <c r="H195" s="250">
        <v>477000</v>
      </c>
      <c r="I195" s="247" t="s">
        <v>1930</v>
      </c>
      <c r="J195" s="248">
        <v>1000</v>
      </c>
      <c r="K195" s="249" t="s">
        <v>1931</v>
      </c>
      <c r="L195" s="248">
        <v>494</v>
      </c>
      <c r="M195" s="251">
        <v>44995</v>
      </c>
      <c r="N195" s="249" t="s">
        <v>1909</v>
      </c>
      <c r="O195" s="251"/>
    </row>
    <row r="196" spans="1:15" ht="15" customHeight="1" outlineLevel="1" collapsed="1" x14ac:dyDescent="0.25">
      <c r="A196" s="237"/>
      <c r="B196" s="237" t="s">
        <v>1969</v>
      </c>
      <c r="C196" s="237" t="s">
        <v>1913</v>
      </c>
      <c r="D196" s="237" t="s">
        <v>524</v>
      </c>
      <c r="E196" s="238">
        <v>180555000</v>
      </c>
      <c r="F196" s="239">
        <v>103</v>
      </c>
      <c r="G196" s="240">
        <v>2536797.75</v>
      </c>
      <c r="H196" s="240">
        <v>2536797.75</v>
      </c>
      <c r="I196" s="237" t="s">
        <v>1909</v>
      </c>
      <c r="J196" s="238">
        <v>1000</v>
      </c>
      <c r="K196" s="239" t="s">
        <v>1909</v>
      </c>
      <c r="L196" s="238">
        <v>561</v>
      </c>
      <c r="M196" s="241">
        <v>45062</v>
      </c>
      <c r="N196" s="239" t="s">
        <v>1909</v>
      </c>
      <c r="O196" s="241"/>
    </row>
    <row r="197" spans="1:15" ht="15" hidden="1" customHeight="1" outlineLevel="2" x14ac:dyDescent="0.25">
      <c r="A197" s="247"/>
      <c r="B197" s="247"/>
      <c r="C197" s="247" t="s">
        <v>1913</v>
      </c>
      <c r="D197" s="247" t="s">
        <v>524</v>
      </c>
      <c r="E197" s="248">
        <v>180555000</v>
      </c>
      <c r="F197" s="249">
        <v>103</v>
      </c>
      <c r="G197" s="250">
        <v>2536797.75</v>
      </c>
      <c r="H197" s="250">
        <v>2536797.75</v>
      </c>
      <c r="I197" s="247" t="s">
        <v>1930</v>
      </c>
      <c r="J197" s="248">
        <v>1000</v>
      </c>
      <c r="K197" s="249" t="s">
        <v>1931</v>
      </c>
      <c r="L197" s="248">
        <v>561</v>
      </c>
      <c r="M197" s="251">
        <v>45062</v>
      </c>
      <c r="N197" s="249" t="s">
        <v>1909</v>
      </c>
      <c r="O197" s="251"/>
    </row>
    <row r="198" spans="1:15" ht="15" customHeight="1" outlineLevel="1" collapsed="1" x14ac:dyDescent="0.25">
      <c r="A198" s="237"/>
      <c r="B198" s="237" t="s">
        <v>2026</v>
      </c>
      <c r="C198" s="237" t="s">
        <v>1913</v>
      </c>
      <c r="D198" s="237" t="s">
        <v>554</v>
      </c>
      <c r="E198" s="238">
        <v>38214000</v>
      </c>
      <c r="F198" s="239">
        <v>1E-3</v>
      </c>
      <c r="G198" s="240">
        <v>1182723.3</v>
      </c>
      <c r="H198" s="240">
        <v>1182723.3</v>
      </c>
      <c r="I198" s="237" t="s">
        <v>1909</v>
      </c>
      <c r="J198" s="238">
        <v>1000</v>
      </c>
      <c r="K198" s="239" t="s">
        <v>1909</v>
      </c>
      <c r="L198" s="238">
        <v>2367</v>
      </c>
      <c r="M198" s="241">
        <v>46868</v>
      </c>
      <c r="N198" s="239" t="s">
        <v>1909</v>
      </c>
      <c r="O198" s="241"/>
    </row>
    <row r="199" spans="1:15" ht="15" hidden="1" customHeight="1" outlineLevel="2" x14ac:dyDescent="0.25">
      <c r="A199" s="247"/>
      <c r="B199" s="247"/>
      <c r="C199" s="247" t="s">
        <v>1913</v>
      </c>
      <c r="D199" s="247" t="s">
        <v>554</v>
      </c>
      <c r="E199" s="248">
        <v>38214000</v>
      </c>
      <c r="F199" s="249">
        <v>1E-3</v>
      </c>
      <c r="G199" s="250">
        <v>1182723.3</v>
      </c>
      <c r="H199" s="250">
        <v>1182723.3</v>
      </c>
      <c r="I199" s="247" t="s">
        <v>1930</v>
      </c>
      <c r="J199" s="248">
        <v>1000</v>
      </c>
      <c r="K199" s="249" t="s">
        <v>1931</v>
      </c>
      <c r="L199" s="248">
        <v>2367</v>
      </c>
      <c r="M199" s="251">
        <v>46868</v>
      </c>
      <c r="N199" s="249" t="s">
        <v>1909</v>
      </c>
      <c r="O199" s="251"/>
    </row>
    <row r="200" spans="1:15" ht="15" customHeight="1" outlineLevel="1" collapsed="1" x14ac:dyDescent="0.25">
      <c r="A200" s="237"/>
      <c r="B200" s="237" t="s">
        <v>2027</v>
      </c>
      <c r="C200" s="237" t="s">
        <v>1913</v>
      </c>
      <c r="D200" s="237" t="s">
        <v>556</v>
      </c>
      <c r="E200" s="238">
        <v>8497000</v>
      </c>
      <c r="F200" s="239">
        <v>100.99</v>
      </c>
      <c r="G200" s="240">
        <v>204352.85</v>
      </c>
      <c r="H200" s="240">
        <v>204352.85</v>
      </c>
      <c r="I200" s="237" t="s">
        <v>1909</v>
      </c>
      <c r="J200" s="238">
        <v>1000</v>
      </c>
      <c r="K200" s="239" t="s">
        <v>1909</v>
      </c>
      <c r="L200" s="238">
        <v>417</v>
      </c>
      <c r="M200" s="241">
        <v>44918</v>
      </c>
      <c r="N200" s="239" t="s">
        <v>1909</v>
      </c>
      <c r="O200" s="241"/>
    </row>
    <row r="201" spans="1:15" ht="15" hidden="1" customHeight="1" outlineLevel="2" x14ac:dyDescent="0.25">
      <c r="A201" s="247"/>
      <c r="B201" s="247"/>
      <c r="C201" s="247" t="s">
        <v>1913</v>
      </c>
      <c r="D201" s="247" t="s">
        <v>556</v>
      </c>
      <c r="E201" s="248">
        <v>8497000</v>
      </c>
      <c r="F201" s="249">
        <v>100.99</v>
      </c>
      <c r="G201" s="250">
        <v>204352.85</v>
      </c>
      <c r="H201" s="250">
        <v>204352.85</v>
      </c>
      <c r="I201" s="247" t="s">
        <v>1930</v>
      </c>
      <c r="J201" s="248">
        <v>1000</v>
      </c>
      <c r="K201" s="249" t="s">
        <v>1931</v>
      </c>
      <c r="L201" s="248">
        <v>417</v>
      </c>
      <c r="M201" s="251">
        <v>44918</v>
      </c>
      <c r="N201" s="249" t="s">
        <v>1909</v>
      </c>
      <c r="O201" s="251"/>
    </row>
    <row r="202" spans="1:15" ht="15" customHeight="1" outlineLevel="1" collapsed="1" x14ac:dyDescent="0.25">
      <c r="A202" s="237"/>
      <c r="B202" s="237" t="s">
        <v>1978</v>
      </c>
      <c r="C202" s="237" t="s">
        <v>1913</v>
      </c>
      <c r="D202" s="237" t="s">
        <v>508</v>
      </c>
      <c r="E202" s="238">
        <v>28164000</v>
      </c>
      <c r="F202" s="239">
        <v>127.71</v>
      </c>
      <c r="G202" s="240">
        <v>362752.32</v>
      </c>
      <c r="H202" s="240">
        <v>362752.32</v>
      </c>
      <c r="I202" s="237" t="s">
        <v>1909</v>
      </c>
      <c r="J202" s="238">
        <v>1000</v>
      </c>
      <c r="K202" s="239" t="s">
        <v>1909</v>
      </c>
      <c r="L202" s="238">
        <v>1787</v>
      </c>
      <c r="M202" s="241">
        <v>46288</v>
      </c>
      <c r="N202" s="239" t="s">
        <v>1909</v>
      </c>
      <c r="O202" s="241"/>
    </row>
    <row r="203" spans="1:15" ht="15" hidden="1" customHeight="1" outlineLevel="2" x14ac:dyDescent="0.25">
      <c r="A203" s="247"/>
      <c r="B203" s="247"/>
      <c r="C203" s="247" t="s">
        <v>1913</v>
      </c>
      <c r="D203" s="247" t="s">
        <v>508</v>
      </c>
      <c r="E203" s="248">
        <v>28164000</v>
      </c>
      <c r="F203" s="249">
        <v>127.71</v>
      </c>
      <c r="G203" s="250">
        <v>362752.32</v>
      </c>
      <c r="H203" s="250">
        <v>362752.32</v>
      </c>
      <c r="I203" s="247" t="s">
        <v>1930</v>
      </c>
      <c r="J203" s="248">
        <v>1000</v>
      </c>
      <c r="K203" s="249" t="s">
        <v>1931</v>
      </c>
      <c r="L203" s="248">
        <v>1787</v>
      </c>
      <c r="M203" s="251">
        <v>46288</v>
      </c>
      <c r="N203" s="249" t="s">
        <v>1909</v>
      </c>
      <c r="O203" s="251"/>
    </row>
    <row r="204" spans="1:15" ht="15" customHeight="1" outlineLevel="1" collapsed="1" x14ac:dyDescent="0.25">
      <c r="A204" s="237"/>
      <c r="B204" s="237" t="s">
        <v>1980</v>
      </c>
      <c r="C204" s="237" t="s">
        <v>349</v>
      </c>
      <c r="D204" s="237" t="s">
        <v>489</v>
      </c>
      <c r="E204" s="238">
        <v>4800000</v>
      </c>
      <c r="F204" s="239">
        <v>94.5</v>
      </c>
      <c r="G204" s="240">
        <v>7824058.1699999999</v>
      </c>
      <c r="H204" s="240">
        <v>94684.800000000003</v>
      </c>
      <c r="I204" s="237" t="s">
        <v>1909</v>
      </c>
      <c r="J204" s="238">
        <v>150000</v>
      </c>
      <c r="K204" s="239" t="s">
        <v>1909</v>
      </c>
      <c r="L204" s="238">
        <v>1312</v>
      </c>
      <c r="M204" s="241">
        <v>45813</v>
      </c>
      <c r="N204" s="239" t="s">
        <v>1909</v>
      </c>
      <c r="O204" s="241"/>
    </row>
    <row r="205" spans="1:15" ht="15" hidden="1" customHeight="1" outlineLevel="2" x14ac:dyDescent="0.25">
      <c r="A205" s="247"/>
      <c r="B205" s="247"/>
      <c r="C205" s="247" t="s">
        <v>349</v>
      </c>
      <c r="D205" s="247" t="s">
        <v>489</v>
      </c>
      <c r="E205" s="248">
        <v>4800000</v>
      </c>
      <c r="F205" s="249">
        <v>94.5</v>
      </c>
      <c r="G205" s="250">
        <v>7824058.1699999999</v>
      </c>
      <c r="H205" s="250">
        <v>94684.800000000003</v>
      </c>
      <c r="I205" s="247" t="s">
        <v>1930</v>
      </c>
      <c r="J205" s="248">
        <v>150000</v>
      </c>
      <c r="K205" s="249" t="s">
        <v>1931</v>
      </c>
      <c r="L205" s="248">
        <v>1312</v>
      </c>
      <c r="M205" s="251">
        <v>45813</v>
      </c>
      <c r="N205" s="249" t="s">
        <v>1909</v>
      </c>
      <c r="O205" s="251"/>
    </row>
    <row r="206" spans="1:15" ht="15" customHeight="1" outlineLevel="1" collapsed="1" x14ac:dyDescent="0.25">
      <c r="A206" s="237"/>
      <c r="B206" s="237" t="s">
        <v>1983</v>
      </c>
      <c r="C206" s="237" t="s">
        <v>1913</v>
      </c>
      <c r="D206" s="237" t="s">
        <v>519</v>
      </c>
      <c r="E206" s="238">
        <v>160019000</v>
      </c>
      <c r="F206" s="239">
        <v>100.535</v>
      </c>
      <c r="G206" s="240">
        <v>4603746.63</v>
      </c>
      <c r="H206" s="240">
        <v>4603746.63</v>
      </c>
      <c r="I206" s="237" t="s">
        <v>1909</v>
      </c>
      <c r="J206" s="238">
        <v>1000</v>
      </c>
      <c r="K206" s="239" t="s">
        <v>1909</v>
      </c>
      <c r="L206" s="238">
        <v>246</v>
      </c>
      <c r="M206" s="241">
        <v>44747</v>
      </c>
      <c r="N206" s="239" t="s">
        <v>1909</v>
      </c>
      <c r="O206" s="241"/>
    </row>
    <row r="207" spans="1:15" ht="15" hidden="1" customHeight="1" outlineLevel="2" x14ac:dyDescent="0.25">
      <c r="A207" s="247"/>
      <c r="B207" s="247"/>
      <c r="C207" s="247" t="s">
        <v>1913</v>
      </c>
      <c r="D207" s="247" t="s">
        <v>519</v>
      </c>
      <c r="E207" s="248">
        <v>160019000</v>
      </c>
      <c r="F207" s="249">
        <v>100.535</v>
      </c>
      <c r="G207" s="250">
        <v>4603746.63</v>
      </c>
      <c r="H207" s="250">
        <v>4603746.63</v>
      </c>
      <c r="I207" s="247" t="s">
        <v>1930</v>
      </c>
      <c r="J207" s="248">
        <v>1000</v>
      </c>
      <c r="K207" s="249" t="s">
        <v>1931</v>
      </c>
      <c r="L207" s="248">
        <v>246</v>
      </c>
      <c r="M207" s="251">
        <v>44747</v>
      </c>
      <c r="N207" s="249" t="s">
        <v>1909</v>
      </c>
      <c r="O207" s="251"/>
    </row>
    <row r="208" spans="1:15" ht="15" customHeight="1" outlineLevel="1" collapsed="1" x14ac:dyDescent="0.25">
      <c r="A208" s="237"/>
      <c r="B208" s="237" t="s">
        <v>2028</v>
      </c>
      <c r="C208" s="237" t="s">
        <v>1913</v>
      </c>
      <c r="D208" s="237" t="s">
        <v>559</v>
      </c>
      <c r="E208" s="238">
        <v>520716000</v>
      </c>
      <c r="F208" s="239">
        <v>97.5</v>
      </c>
      <c r="G208" s="240">
        <v>5352960.4800000004</v>
      </c>
      <c r="H208" s="240">
        <v>5352960.4800000004</v>
      </c>
      <c r="I208" s="237" t="s">
        <v>1909</v>
      </c>
      <c r="J208" s="238">
        <v>1000</v>
      </c>
      <c r="K208" s="239" t="s">
        <v>1909</v>
      </c>
      <c r="L208" s="238">
        <v>1039</v>
      </c>
      <c r="M208" s="241">
        <v>45540</v>
      </c>
      <c r="N208" s="239" t="s">
        <v>1909</v>
      </c>
      <c r="O208" s="241"/>
    </row>
    <row r="209" spans="1:15" ht="15" hidden="1" customHeight="1" outlineLevel="2" x14ac:dyDescent="0.25">
      <c r="A209" s="247"/>
      <c r="B209" s="247"/>
      <c r="C209" s="247" t="s">
        <v>1913</v>
      </c>
      <c r="D209" s="247" t="s">
        <v>559</v>
      </c>
      <c r="E209" s="248">
        <v>520716000</v>
      </c>
      <c r="F209" s="249">
        <v>97.5</v>
      </c>
      <c r="G209" s="250">
        <v>5352960.4800000004</v>
      </c>
      <c r="H209" s="250">
        <v>5352960.4800000004</v>
      </c>
      <c r="I209" s="247" t="s">
        <v>1930</v>
      </c>
      <c r="J209" s="248">
        <v>1000</v>
      </c>
      <c r="K209" s="249" t="s">
        <v>1931</v>
      </c>
      <c r="L209" s="248">
        <v>1039</v>
      </c>
      <c r="M209" s="251">
        <v>45540</v>
      </c>
      <c r="N209" s="249" t="s">
        <v>1909</v>
      </c>
      <c r="O209" s="251"/>
    </row>
    <row r="210" spans="1:15" ht="15" customHeight="1" outlineLevel="1" collapsed="1" x14ac:dyDescent="0.25">
      <c r="A210" s="237"/>
      <c r="B210" s="237" t="s">
        <v>1984</v>
      </c>
      <c r="C210" s="237" t="s">
        <v>1913</v>
      </c>
      <c r="D210" s="237" t="s">
        <v>511</v>
      </c>
      <c r="E210" s="238">
        <v>158275000</v>
      </c>
      <c r="F210" s="239">
        <v>104.34</v>
      </c>
      <c r="G210" s="240">
        <v>1141162.75</v>
      </c>
      <c r="H210" s="240">
        <v>1141162.75</v>
      </c>
      <c r="I210" s="237" t="s">
        <v>1909</v>
      </c>
      <c r="J210" s="238">
        <v>1000</v>
      </c>
      <c r="K210" s="239" t="s">
        <v>1909</v>
      </c>
      <c r="L210" s="238">
        <v>158</v>
      </c>
      <c r="M210" s="241">
        <v>44659</v>
      </c>
      <c r="N210" s="239" t="s">
        <v>1909</v>
      </c>
      <c r="O210" s="241"/>
    </row>
    <row r="211" spans="1:15" ht="15" hidden="1" customHeight="1" outlineLevel="2" x14ac:dyDescent="0.25">
      <c r="A211" s="247"/>
      <c r="B211" s="247"/>
      <c r="C211" s="247" t="s">
        <v>1913</v>
      </c>
      <c r="D211" s="247" t="s">
        <v>511</v>
      </c>
      <c r="E211" s="248">
        <v>158275000</v>
      </c>
      <c r="F211" s="249">
        <v>104.34</v>
      </c>
      <c r="G211" s="250">
        <v>1141162.75</v>
      </c>
      <c r="H211" s="250">
        <v>1141162.75</v>
      </c>
      <c r="I211" s="247" t="s">
        <v>1930</v>
      </c>
      <c r="J211" s="248">
        <v>1000</v>
      </c>
      <c r="K211" s="249" t="s">
        <v>1931</v>
      </c>
      <c r="L211" s="248">
        <v>158</v>
      </c>
      <c r="M211" s="251">
        <v>44659</v>
      </c>
      <c r="N211" s="249" t="s">
        <v>1909</v>
      </c>
      <c r="O211" s="251"/>
    </row>
    <row r="212" spans="1:15" ht="15" customHeight="1" outlineLevel="1" collapsed="1" x14ac:dyDescent="0.25">
      <c r="A212" s="237"/>
      <c r="B212" s="237" t="s">
        <v>1985</v>
      </c>
      <c r="C212" s="237" t="s">
        <v>1913</v>
      </c>
      <c r="D212" s="237" t="s">
        <v>513</v>
      </c>
      <c r="E212" s="238">
        <v>54448000</v>
      </c>
      <c r="F212" s="239">
        <v>100.33</v>
      </c>
      <c r="G212" s="240">
        <v>1686254.56</v>
      </c>
      <c r="H212" s="240">
        <v>1686254.56</v>
      </c>
      <c r="I212" s="237" t="s">
        <v>1909</v>
      </c>
      <c r="J212" s="238">
        <v>1000</v>
      </c>
      <c r="K212" s="239" t="s">
        <v>1909</v>
      </c>
      <c r="L212" s="238">
        <v>738</v>
      </c>
      <c r="M212" s="241">
        <v>45239</v>
      </c>
      <c r="N212" s="239" t="s">
        <v>1909</v>
      </c>
      <c r="O212" s="241"/>
    </row>
    <row r="213" spans="1:15" ht="15" hidden="1" customHeight="1" outlineLevel="2" x14ac:dyDescent="0.25">
      <c r="A213" s="247"/>
      <c r="B213" s="247"/>
      <c r="C213" s="247" t="s">
        <v>1913</v>
      </c>
      <c r="D213" s="247" t="s">
        <v>513</v>
      </c>
      <c r="E213" s="248">
        <v>54448000</v>
      </c>
      <c r="F213" s="249">
        <v>100.33</v>
      </c>
      <c r="G213" s="250">
        <v>1686254.56</v>
      </c>
      <c r="H213" s="250">
        <v>1686254.56</v>
      </c>
      <c r="I213" s="247" t="s">
        <v>1930</v>
      </c>
      <c r="J213" s="248">
        <v>1000</v>
      </c>
      <c r="K213" s="249" t="s">
        <v>1931</v>
      </c>
      <c r="L213" s="248">
        <v>738</v>
      </c>
      <c r="M213" s="251">
        <v>45239</v>
      </c>
      <c r="N213" s="249" t="s">
        <v>1909</v>
      </c>
      <c r="O213" s="251"/>
    </row>
    <row r="214" spans="1:15" ht="15" customHeight="1" outlineLevel="1" collapsed="1" x14ac:dyDescent="0.25">
      <c r="A214" s="237"/>
      <c r="B214" s="237" t="s">
        <v>1986</v>
      </c>
      <c r="C214" s="237" t="s">
        <v>1913</v>
      </c>
      <c r="D214" s="237" t="s">
        <v>526</v>
      </c>
      <c r="E214" s="238">
        <v>15796250</v>
      </c>
      <c r="F214" s="239">
        <v>102.77</v>
      </c>
      <c r="G214" s="240">
        <v>183868.35</v>
      </c>
      <c r="H214" s="240">
        <v>183868.35</v>
      </c>
      <c r="I214" s="237" t="s">
        <v>1909</v>
      </c>
      <c r="J214" s="238">
        <v>1000</v>
      </c>
      <c r="K214" s="239" t="s">
        <v>1909</v>
      </c>
      <c r="L214" s="238">
        <v>50</v>
      </c>
      <c r="M214" s="241">
        <v>44551</v>
      </c>
      <c r="N214" s="239" t="s">
        <v>1909</v>
      </c>
      <c r="O214" s="241"/>
    </row>
    <row r="215" spans="1:15" ht="15" hidden="1" customHeight="1" outlineLevel="2" x14ac:dyDescent="0.25">
      <c r="A215" s="247"/>
      <c r="B215" s="247"/>
      <c r="C215" s="247" t="s">
        <v>1913</v>
      </c>
      <c r="D215" s="247" t="s">
        <v>526</v>
      </c>
      <c r="E215" s="248">
        <v>15796250</v>
      </c>
      <c r="F215" s="249">
        <v>102.77</v>
      </c>
      <c r="G215" s="250">
        <v>183868.35</v>
      </c>
      <c r="H215" s="250">
        <v>183868.35</v>
      </c>
      <c r="I215" s="247" t="s">
        <v>1930</v>
      </c>
      <c r="J215" s="248">
        <v>1000</v>
      </c>
      <c r="K215" s="249" t="s">
        <v>1931</v>
      </c>
      <c r="L215" s="248">
        <v>50</v>
      </c>
      <c r="M215" s="251">
        <v>44551</v>
      </c>
      <c r="N215" s="249" t="s">
        <v>1909</v>
      </c>
      <c r="O215" s="251"/>
    </row>
    <row r="216" spans="1:15" ht="15" customHeight="1" outlineLevel="1" collapsed="1" x14ac:dyDescent="0.25">
      <c r="A216" s="237"/>
      <c r="B216" s="237" t="s">
        <v>2029</v>
      </c>
      <c r="C216" s="237" t="s">
        <v>1913</v>
      </c>
      <c r="D216" s="237" t="s">
        <v>555</v>
      </c>
      <c r="E216" s="238">
        <v>218000000</v>
      </c>
      <c r="F216" s="239">
        <v>103.61</v>
      </c>
      <c r="G216" s="240">
        <v>1970720</v>
      </c>
      <c r="H216" s="240">
        <v>1970720</v>
      </c>
      <c r="I216" s="237" t="s">
        <v>1909</v>
      </c>
      <c r="J216" s="238">
        <v>1000</v>
      </c>
      <c r="K216" s="239" t="s">
        <v>1909</v>
      </c>
      <c r="L216" s="238">
        <v>329</v>
      </c>
      <c r="M216" s="241">
        <v>44830</v>
      </c>
      <c r="N216" s="239" t="s">
        <v>1909</v>
      </c>
      <c r="O216" s="241"/>
    </row>
    <row r="217" spans="1:15" ht="15" hidden="1" customHeight="1" outlineLevel="2" x14ac:dyDescent="0.25">
      <c r="A217" s="247"/>
      <c r="B217" s="247"/>
      <c r="C217" s="247" t="s">
        <v>1913</v>
      </c>
      <c r="D217" s="247" t="s">
        <v>555</v>
      </c>
      <c r="E217" s="248">
        <v>218000000</v>
      </c>
      <c r="F217" s="249">
        <v>103.61</v>
      </c>
      <c r="G217" s="250">
        <v>1970720</v>
      </c>
      <c r="H217" s="250">
        <v>1970720</v>
      </c>
      <c r="I217" s="247" t="s">
        <v>1930</v>
      </c>
      <c r="J217" s="248">
        <v>1000</v>
      </c>
      <c r="K217" s="249" t="s">
        <v>1931</v>
      </c>
      <c r="L217" s="248">
        <v>329</v>
      </c>
      <c r="M217" s="251">
        <v>44830</v>
      </c>
      <c r="N217" s="249" t="s">
        <v>1909</v>
      </c>
      <c r="O217" s="251"/>
    </row>
    <row r="218" spans="1:15" ht="15" customHeight="1" outlineLevel="1" collapsed="1" x14ac:dyDescent="0.25">
      <c r="A218" s="237"/>
      <c r="B218" s="237" t="s">
        <v>2030</v>
      </c>
      <c r="C218" s="237" t="s">
        <v>1913</v>
      </c>
      <c r="D218" s="237" t="s">
        <v>562</v>
      </c>
      <c r="E218" s="238">
        <v>80000000</v>
      </c>
      <c r="F218" s="239">
        <v>100</v>
      </c>
      <c r="G218" s="240">
        <v>1200800</v>
      </c>
      <c r="H218" s="240">
        <v>1200800</v>
      </c>
      <c r="I218" s="237" t="s">
        <v>1909</v>
      </c>
      <c r="J218" s="238">
        <v>1000</v>
      </c>
      <c r="K218" s="239" t="s">
        <v>1909</v>
      </c>
      <c r="L218" s="238">
        <v>835</v>
      </c>
      <c r="M218" s="241">
        <v>45336</v>
      </c>
      <c r="N218" s="239" t="s">
        <v>1909</v>
      </c>
      <c r="O218" s="241"/>
    </row>
    <row r="219" spans="1:15" ht="15" hidden="1" customHeight="1" outlineLevel="2" x14ac:dyDescent="0.25">
      <c r="A219" s="247"/>
      <c r="B219" s="247"/>
      <c r="C219" s="247" t="s">
        <v>1913</v>
      </c>
      <c r="D219" s="247" t="s">
        <v>562</v>
      </c>
      <c r="E219" s="248">
        <v>80000000</v>
      </c>
      <c r="F219" s="249">
        <v>100</v>
      </c>
      <c r="G219" s="250">
        <v>1200800</v>
      </c>
      <c r="H219" s="250">
        <v>1200800</v>
      </c>
      <c r="I219" s="247" t="s">
        <v>1930</v>
      </c>
      <c r="J219" s="248">
        <v>1000</v>
      </c>
      <c r="K219" s="249" t="s">
        <v>1931</v>
      </c>
      <c r="L219" s="248">
        <v>835</v>
      </c>
      <c r="M219" s="251">
        <v>45336</v>
      </c>
      <c r="N219" s="249" t="s">
        <v>1909</v>
      </c>
      <c r="O219" s="251"/>
    </row>
    <row r="220" spans="1:15" ht="15" customHeight="1" x14ac:dyDescent="0.25">
      <c r="A220" s="232" t="s">
        <v>2031</v>
      </c>
      <c r="B220" s="232"/>
      <c r="C220" s="232" t="s">
        <v>1909</v>
      </c>
      <c r="D220" s="232" t="s">
        <v>1909</v>
      </c>
      <c r="E220" s="233">
        <v>498441000</v>
      </c>
      <c r="F220" s="234" t="s">
        <v>1909</v>
      </c>
      <c r="G220" s="235">
        <v>852780314.38</v>
      </c>
      <c r="H220" s="235">
        <v>852780314.38</v>
      </c>
      <c r="I220" s="232" t="s">
        <v>1909</v>
      </c>
      <c r="J220" s="233" t="s">
        <v>1909</v>
      </c>
      <c r="K220" s="234" t="s">
        <v>1909</v>
      </c>
      <c r="L220" s="233" t="s">
        <v>1909</v>
      </c>
      <c r="M220" s="236"/>
      <c r="N220" s="234" t="s">
        <v>1909</v>
      </c>
      <c r="O220" s="236"/>
    </row>
    <row r="221" spans="1:15" ht="15" customHeight="1" outlineLevel="1" collapsed="1" x14ac:dyDescent="0.25">
      <c r="A221" s="237"/>
      <c r="B221" s="237" t="s">
        <v>2032</v>
      </c>
      <c r="C221" s="237" t="s">
        <v>351</v>
      </c>
      <c r="D221" s="237" t="s">
        <v>2033</v>
      </c>
      <c r="E221" s="238">
        <v>498441000</v>
      </c>
      <c r="F221" s="239">
        <v>105.5812</v>
      </c>
      <c r="G221" s="240">
        <v>852780314.38</v>
      </c>
      <c r="H221" s="240">
        <v>11962584</v>
      </c>
      <c r="I221" s="237" t="s">
        <v>1909</v>
      </c>
      <c r="J221" s="238">
        <v>1000</v>
      </c>
      <c r="K221" s="239" t="s">
        <v>1909</v>
      </c>
      <c r="L221" s="238">
        <v>254</v>
      </c>
      <c r="M221" s="241">
        <v>44755</v>
      </c>
      <c r="N221" s="239" t="s">
        <v>1909</v>
      </c>
      <c r="O221" s="241"/>
    </row>
    <row r="222" spans="1:15" ht="15" hidden="1" customHeight="1" outlineLevel="2" x14ac:dyDescent="0.25">
      <c r="A222" s="242"/>
      <c r="B222" s="242"/>
      <c r="C222" s="242" t="s">
        <v>351</v>
      </c>
      <c r="D222" s="242" t="s">
        <v>2033</v>
      </c>
      <c r="E222" s="243">
        <v>498441000</v>
      </c>
      <c r="F222" s="244">
        <v>105.5812</v>
      </c>
      <c r="G222" s="245">
        <v>852780314.38</v>
      </c>
      <c r="H222" s="245">
        <v>11962584</v>
      </c>
      <c r="I222" s="242" t="s">
        <v>1930</v>
      </c>
      <c r="J222" s="243">
        <v>1000</v>
      </c>
      <c r="K222" s="244" t="s">
        <v>1931</v>
      </c>
      <c r="L222" s="243">
        <v>254</v>
      </c>
      <c r="M222" s="246">
        <v>44755</v>
      </c>
      <c r="N222" s="244" t="s">
        <v>1909</v>
      </c>
      <c r="O222" s="246"/>
    </row>
  </sheetData>
  <autoFilter ref="A6:P222">
    <filterColumn colId="8">
      <filters blank="1"/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3" t="s">
        <v>421</v>
      </c>
      <c r="C2" s="183" t="s">
        <v>422</v>
      </c>
      <c r="D2" s="183" t="s">
        <v>423</v>
      </c>
      <c r="E2" s="183" t="s">
        <v>424</v>
      </c>
      <c r="F2" s="183" t="s">
        <v>425</v>
      </c>
      <c r="G2" s="183" t="s">
        <v>426</v>
      </c>
      <c r="H2" s="183" t="s">
        <v>457</v>
      </c>
      <c r="I2" s="183" t="s">
        <v>458</v>
      </c>
      <c r="J2" s="216" t="s">
        <v>459</v>
      </c>
      <c r="K2" s="188" t="s">
        <v>471</v>
      </c>
    </row>
    <row r="3" spans="1:11" x14ac:dyDescent="0.25">
      <c r="A3" s="5" t="s">
        <v>427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7">
        <v>20010.22417275206</v>
      </c>
      <c r="K3" s="25">
        <v>22781.429500196231</v>
      </c>
    </row>
    <row r="4" spans="1:11" x14ac:dyDescent="0.25">
      <c r="A4" s="5" t="s">
        <v>411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7">
        <v>745.57405171516007</v>
      </c>
      <c r="K4" s="25">
        <v>817.87964110103769</v>
      </c>
    </row>
    <row r="5" spans="1:11" x14ac:dyDescent="0.25">
      <c r="A5" t="s">
        <v>411</v>
      </c>
      <c r="B5" s="184">
        <f>B4/B3</f>
        <v>5.1038023858933503E-2</v>
      </c>
      <c r="C5" s="184">
        <f t="shared" ref="C5:G5" si="0">C4/C3</f>
        <v>3.3665124883173025E-2</v>
      </c>
      <c r="D5" s="184">
        <f t="shared" si="0"/>
        <v>3.4354086903529903E-2</v>
      </c>
      <c r="E5" s="184">
        <f t="shared" si="0"/>
        <v>3.8218000524879177E-2</v>
      </c>
      <c r="F5" s="184">
        <f t="shared" si="0"/>
        <v>3.4615418709587731E-2</v>
      </c>
      <c r="G5" s="184">
        <f t="shared" si="0"/>
        <v>3.1547453232015847E-2</v>
      </c>
      <c r="H5" s="184">
        <f>H4/H3</f>
        <v>3.2753661074625393E-2</v>
      </c>
      <c r="I5" s="184">
        <f>I4/I3</f>
        <v>3.2632088603136586E-2</v>
      </c>
      <c r="J5" s="184">
        <f>J4/J3</f>
        <v>3.7259655128222345E-2</v>
      </c>
      <c r="K5" s="184">
        <f>K4/K3</f>
        <v>3.590115541669555E-2</v>
      </c>
    </row>
    <row r="6" spans="1:11" x14ac:dyDescent="0.25">
      <c r="B6" s="209" t="s">
        <v>412</v>
      </c>
      <c r="C6" s="209" t="s">
        <v>412</v>
      </c>
      <c r="D6" s="209" t="s">
        <v>412</v>
      </c>
      <c r="E6" s="209" t="s">
        <v>412</v>
      </c>
      <c r="F6" s="209" t="s">
        <v>412</v>
      </c>
      <c r="G6" s="209" t="s">
        <v>412</v>
      </c>
      <c r="H6" s="209" t="s">
        <v>412</v>
      </c>
      <c r="I6" s="209" t="s">
        <v>412</v>
      </c>
      <c r="J6" s="209" t="s">
        <v>412</v>
      </c>
      <c r="K6" t="s">
        <v>412</v>
      </c>
    </row>
    <row r="7" spans="1:11" x14ac:dyDescent="0.25">
      <c r="B7" s="209" t="s">
        <v>413</v>
      </c>
      <c r="C7" s="209" t="s">
        <v>415</v>
      </c>
      <c r="D7" s="209" t="s">
        <v>414</v>
      </c>
      <c r="E7" s="209" t="s">
        <v>414</v>
      </c>
      <c r="F7" s="209" t="s">
        <v>416</v>
      </c>
      <c r="G7" s="209" t="s">
        <v>416</v>
      </c>
      <c r="H7" s="209" t="s">
        <v>416</v>
      </c>
      <c r="I7" s="209" t="s">
        <v>416</v>
      </c>
      <c r="J7" s="209" t="s">
        <v>416</v>
      </c>
      <c r="K7" t="s">
        <v>416</v>
      </c>
    </row>
    <row r="8" spans="1:11" x14ac:dyDescent="0.25">
      <c r="B8" s="209" t="s">
        <v>414</v>
      </c>
      <c r="C8" s="209" t="s">
        <v>414</v>
      </c>
      <c r="D8" s="209" t="s">
        <v>416</v>
      </c>
      <c r="E8" s="209" t="s">
        <v>416</v>
      </c>
      <c r="F8" s="209" t="s">
        <v>417</v>
      </c>
      <c r="G8" s="209" t="s">
        <v>417</v>
      </c>
      <c r="H8" s="209" t="s">
        <v>417</v>
      </c>
      <c r="I8" s="209" t="s">
        <v>417</v>
      </c>
      <c r="J8" s="209" t="s">
        <v>456</v>
      </c>
      <c r="K8" t="s">
        <v>456</v>
      </c>
    </row>
    <row r="9" spans="1:11" x14ac:dyDescent="0.25">
      <c r="B9" s="209"/>
      <c r="C9" s="209" t="s">
        <v>416</v>
      </c>
      <c r="D9" s="209"/>
      <c r="E9" s="209"/>
      <c r="F9" s="209"/>
      <c r="G9" s="209" t="s">
        <v>418</v>
      </c>
      <c r="H9" s="209" t="s">
        <v>418</v>
      </c>
      <c r="I9" s="209" t="s">
        <v>418</v>
      </c>
      <c r="J9" s="209" t="s">
        <v>418</v>
      </c>
      <c r="K9" t="s">
        <v>418</v>
      </c>
    </row>
    <row r="10" spans="1:11" x14ac:dyDescent="0.25">
      <c r="B10" s="209"/>
      <c r="C10" s="209"/>
      <c r="D10" s="209"/>
      <c r="E10" s="209"/>
      <c r="F10" s="209"/>
      <c r="G10" s="209" t="s">
        <v>420</v>
      </c>
      <c r="H10" s="209" t="s">
        <v>420</v>
      </c>
      <c r="I10" s="209" t="s">
        <v>420</v>
      </c>
      <c r="J10" s="209" t="s">
        <v>420</v>
      </c>
      <c r="K10" t="s">
        <v>420</v>
      </c>
    </row>
    <row r="11" spans="1:11" x14ac:dyDescent="0.25">
      <c r="B11" s="182"/>
      <c r="C11" s="182"/>
      <c r="D11" s="182"/>
      <c r="E11" s="182"/>
      <c r="F11" s="182"/>
      <c r="J11" s="209" t="s">
        <v>143</v>
      </c>
      <c r="K11" t="s">
        <v>143</v>
      </c>
    </row>
    <row r="12" spans="1:11" x14ac:dyDescent="0.25">
      <c r="B12" s="182"/>
      <c r="C12" s="182"/>
      <c r="D12" s="182"/>
      <c r="E12" s="182"/>
      <c r="F12" s="182"/>
      <c r="J12" s="209" t="s">
        <v>455</v>
      </c>
      <c r="K12" t="s">
        <v>455</v>
      </c>
    </row>
    <row r="33" spans="1:4" x14ac:dyDescent="0.25">
      <c r="C33" t="s">
        <v>430</v>
      </c>
      <c r="D33" t="s">
        <v>431</v>
      </c>
    </row>
    <row r="34" spans="1:4" x14ac:dyDescent="0.25">
      <c r="A34" s="189" t="s">
        <v>412</v>
      </c>
      <c r="B34" s="190">
        <v>619970000</v>
      </c>
      <c r="C34" s="189" t="s">
        <v>80</v>
      </c>
      <c r="D34" s="189"/>
    </row>
    <row r="35" spans="1:4" x14ac:dyDescent="0.25">
      <c r="A35" s="189" t="s">
        <v>416</v>
      </c>
      <c r="B35" s="190">
        <v>743823000</v>
      </c>
      <c r="C35" s="189" t="s">
        <v>78</v>
      </c>
      <c r="D35" s="189" t="s">
        <v>80</v>
      </c>
    </row>
    <row r="36" spans="1:4" x14ac:dyDescent="0.25">
      <c r="A36" s="189" t="s">
        <v>456</v>
      </c>
      <c r="B36" s="190">
        <v>9916643000</v>
      </c>
      <c r="C36" s="189" t="s">
        <v>82</v>
      </c>
      <c r="D36" s="189"/>
    </row>
    <row r="37" spans="1:4" x14ac:dyDescent="0.25">
      <c r="A37" s="189" t="s">
        <v>418</v>
      </c>
      <c r="B37" s="190">
        <v>368192385</v>
      </c>
      <c r="C37" s="189" t="s">
        <v>76</v>
      </c>
      <c r="D37" s="189"/>
    </row>
    <row r="38" spans="1:4" x14ac:dyDescent="0.25">
      <c r="A38" s="189" t="s">
        <v>419</v>
      </c>
      <c r="B38" s="190">
        <v>3719115000</v>
      </c>
      <c r="C38" s="189" t="s">
        <v>80</v>
      </c>
      <c r="D38" s="189"/>
    </row>
    <row r="39" spans="1:4" x14ac:dyDescent="0.25">
      <c r="A39" s="189" t="s">
        <v>143</v>
      </c>
      <c r="B39" s="190">
        <v>2460599988</v>
      </c>
      <c r="C39" s="189" t="s">
        <v>82</v>
      </c>
      <c r="D39" s="189"/>
    </row>
    <row r="40" spans="1:4" x14ac:dyDescent="0.25">
      <c r="A40" s="189" t="s">
        <v>455</v>
      </c>
      <c r="B40" s="190">
        <v>2181880799.752059</v>
      </c>
      <c r="C40" s="189" t="s">
        <v>86</v>
      </c>
      <c r="D40" s="189"/>
    </row>
    <row r="41" spans="1:4" x14ac:dyDescent="0.25">
      <c r="A41" s="189"/>
      <c r="B41" s="190"/>
      <c r="C41" s="189"/>
      <c r="D41" s="189"/>
    </row>
    <row r="42" spans="1:4" x14ac:dyDescent="0.25">
      <c r="B42" s="2">
        <f>SUM(B34:B40)</f>
        <v>20010224172.75206</v>
      </c>
    </row>
    <row r="45" spans="1:4" x14ac:dyDescent="0.25">
      <c r="A45" t="s">
        <v>76</v>
      </c>
      <c r="B45" s="191">
        <f>SUMIF($C$34:$C$38,A45,$B$34:$B$38)</f>
        <v>368192385</v>
      </c>
      <c r="C45" s="215">
        <f>B45/$B$50</f>
        <v>1.8400212902230647E-2</v>
      </c>
    </row>
    <row r="46" spans="1:4" x14ac:dyDescent="0.25">
      <c r="A46" t="s">
        <v>78</v>
      </c>
      <c r="B46" s="191">
        <f t="shared" ref="B46:B47" si="1">SUMIF($C$34:$C$38,A46,$B$34:$B$38)</f>
        <v>743823000</v>
      </c>
      <c r="C46" s="215">
        <f t="shared" ref="C46:C49" si="2">B46/$B$50</f>
        <v>3.7172147277233628E-2</v>
      </c>
    </row>
    <row r="47" spans="1:4" x14ac:dyDescent="0.25">
      <c r="A47" t="s">
        <v>80</v>
      </c>
      <c r="B47" s="191">
        <f t="shared" si="1"/>
        <v>4339085000</v>
      </c>
      <c r="C47" s="215">
        <f t="shared" si="2"/>
        <v>0.21684339778204664</v>
      </c>
    </row>
    <row r="48" spans="1:4" x14ac:dyDescent="0.25">
      <c r="A48" t="s">
        <v>82</v>
      </c>
      <c r="B48" s="191">
        <f>SUMIF($C$34:$C$40,A48,$B$34:$B$40)</f>
        <v>12377242988</v>
      </c>
      <c r="C48" s="215">
        <f t="shared" si="2"/>
        <v>0.61854594337099444</v>
      </c>
    </row>
    <row r="49" spans="1:3" x14ac:dyDescent="0.25">
      <c r="A49" t="s">
        <v>86</v>
      </c>
      <c r="B49" s="191">
        <f>SUMIF($C$34:$C$40,A49,$B$34:$B$40)</f>
        <v>2181880799.752059</v>
      </c>
      <c r="C49" s="215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2" t="s">
        <v>14</v>
      </c>
      <c r="B51" s="193">
        <f>B50-B42</f>
        <v>0</v>
      </c>
    </row>
    <row r="52" spans="1:3" x14ac:dyDescent="0.25">
      <c r="A52" s="192"/>
      <c r="B52" s="192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445</v>
      </c>
    </row>
    <row r="2" spans="1:19" ht="15.75" thickBot="1" x14ac:dyDescent="0.3">
      <c r="A2" s="287" t="s">
        <v>41</v>
      </c>
      <c r="B2" s="288"/>
      <c r="C2" s="288"/>
      <c r="D2" s="288"/>
      <c r="E2" s="289"/>
      <c r="H2" s="287" t="s">
        <v>48</v>
      </c>
      <c r="I2" s="288"/>
      <c r="J2" s="288"/>
      <c r="K2" s="288"/>
      <c r="L2" s="289"/>
    </row>
    <row r="3" spans="1:19" x14ac:dyDescent="0.25">
      <c r="A3" s="285" t="s">
        <v>439</v>
      </c>
      <c r="B3" s="285"/>
      <c r="C3" s="285"/>
      <c r="D3" s="285"/>
      <c r="E3" s="285"/>
    </row>
    <row r="4" spans="1:19" ht="25.5" x14ac:dyDescent="0.25">
      <c r="A4" s="196" t="s">
        <v>43</v>
      </c>
      <c r="B4" s="196" t="s">
        <v>440</v>
      </c>
      <c r="C4" s="196" t="s">
        <v>101</v>
      </c>
      <c r="D4" s="197" t="s">
        <v>432</v>
      </c>
      <c r="E4" s="80" t="s">
        <v>163</v>
      </c>
    </row>
    <row r="5" spans="1:19" x14ac:dyDescent="0.25">
      <c r="A5" s="5"/>
      <c r="B5" s="5"/>
      <c r="C5" s="5"/>
      <c r="D5" s="198"/>
      <c r="E5" s="108" t="s">
        <v>76</v>
      </c>
    </row>
    <row r="8" spans="1:19" x14ac:dyDescent="0.25">
      <c r="A8" s="290" t="s">
        <v>441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</row>
    <row r="9" spans="1:19" x14ac:dyDescent="0.25">
      <c r="A9" s="285" t="s">
        <v>442</v>
      </c>
      <c r="B9" s="285"/>
      <c r="C9" s="285"/>
      <c r="D9" s="285"/>
      <c r="E9" s="285"/>
      <c r="H9" s="285" t="s">
        <v>442</v>
      </c>
      <c r="I9" s="285"/>
      <c r="J9" s="285"/>
      <c r="K9" s="285"/>
      <c r="L9" s="285"/>
      <c r="O9" s="285" t="s">
        <v>443</v>
      </c>
      <c r="P9" s="285"/>
      <c r="Q9" s="285"/>
      <c r="R9" s="285"/>
      <c r="S9" s="285"/>
    </row>
    <row r="10" spans="1:19" ht="25.5" x14ac:dyDescent="0.25">
      <c r="A10" s="196" t="s">
        <v>43</v>
      </c>
      <c r="B10" s="196" t="s">
        <v>440</v>
      </c>
      <c r="C10" s="196" t="s">
        <v>101</v>
      </c>
      <c r="D10" s="197" t="str">
        <f>D4</f>
        <v>Вложения (руб) на 01.03.2021</v>
      </c>
      <c r="E10" s="80" t="s">
        <v>163</v>
      </c>
      <c r="H10" s="196" t="s">
        <v>43</v>
      </c>
      <c r="I10" s="196" t="s">
        <v>440</v>
      </c>
      <c r="J10" s="196" t="s">
        <v>101</v>
      </c>
      <c r="K10" s="197" t="str">
        <f>D4</f>
        <v>Вложения (руб) на 01.03.2021</v>
      </c>
      <c r="L10" s="80" t="s">
        <v>163</v>
      </c>
      <c r="O10" s="286" t="s">
        <v>41</v>
      </c>
      <c r="P10" s="286"/>
      <c r="Q10" s="199"/>
      <c r="R10" s="286" t="s">
        <v>48</v>
      </c>
      <c r="S10" s="286"/>
    </row>
    <row r="11" spans="1:19" x14ac:dyDescent="0.25">
      <c r="A11" s="196" t="s">
        <v>41</v>
      </c>
      <c r="B11" s="196" t="s">
        <v>433</v>
      </c>
      <c r="C11" s="196" t="s">
        <v>162</v>
      </c>
      <c r="D11" s="198"/>
      <c r="E11" s="108" t="s">
        <v>76</v>
      </c>
      <c r="H11" s="5"/>
      <c r="I11" s="5"/>
      <c r="J11" s="5"/>
      <c r="K11" s="5"/>
      <c r="L11" s="5"/>
      <c r="O11" s="156" t="s">
        <v>70</v>
      </c>
      <c r="P11" s="140">
        <f>SUMIF($E$23:$E$88,O11,$D$23:D$88)</f>
        <v>0</v>
      </c>
      <c r="Q11" s="199"/>
      <c r="R11" s="156" t="s">
        <v>70</v>
      </c>
      <c r="S11" s="140">
        <f>SUMIF($L$23:L$39,R11,$K$23:$K$39)</f>
        <v>0</v>
      </c>
    </row>
    <row r="12" spans="1:19" x14ac:dyDescent="0.25">
      <c r="A12" s="200"/>
      <c r="B12" s="200"/>
      <c r="C12" s="200"/>
      <c r="D12" s="201"/>
      <c r="E12" s="202"/>
      <c r="O12" s="139" t="s">
        <v>72</v>
      </c>
      <c r="P12" s="140">
        <f>SUMIF($E$23:$E$88,O12,$D$23:D$88)</f>
        <v>0</v>
      </c>
      <c r="Q12" s="199"/>
      <c r="R12" s="139" t="s">
        <v>72</v>
      </c>
      <c r="S12" s="140">
        <f>SUMIF($L$23:L$39,R12,$K$23:$K$39)</f>
        <v>0</v>
      </c>
    </row>
    <row r="13" spans="1:19" x14ac:dyDescent="0.25">
      <c r="O13" s="139" t="s">
        <v>74</v>
      </c>
      <c r="P13" s="140">
        <f>SUMIF($E$23:$E$88,O13,$D$23:D$88)</f>
        <v>0</v>
      </c>
      <c r="Q13" s="199"/>
      <c r="R13" s="139" t="s">
        <v>74</v>
      </c>
      <c r="S13" s="140">
        <f>SUMIF($L$23:L$39,R13,$K$23:$K$39)</f>
        <v>0</v>
      </c>
    </row>
    <row r="14" spans="1:19" x14ac:dyDescent="0.25">
      <c r="A14" s="200"/>
      <c r="B14" s="200"/>
      <c r="C14" s="200"/>
      <c r="D14" s="201"/>
      <c r="E14" s="202"/>
      <c r="O14" s="139" t="s">
        <v>76</v>
      </c>
      <c r="P14" s="140">
        <f>SUMIF($E$23:$E$88,O14,$D$23:D$88)</f>
        <v>0</v>
      </c>
      <c r="Q14" s="199"/>
      <c r="R14" s="139" t="s">
        <v>76</v>
      </c>
      <c r="S14" s="140">
        <f>SUMIF($L$23:L$39,R14,$K$23:$K$39)</f>
        <v>0</v>
      </c>
    </row>
    <row r="15" spans="1:19" x14ac:dyDescent="0.25">
      <c r="A15" s="285" t="s">
        <v>444</v>
      </c>
      <c r="B15" s="285"/>
      <c r="C15" s="285"/>
      <c r="D15" s="285"/>
      <c r="E15" s="285"/>
      <c r="H15" s="285" t="s">
        <v>444</v>
      </c>
      <c r="I15" s="285"/>
      <c r="J15" s="285"/>
      <c r="K15" s="285"/>
      <c r="L15" s="285"/>
      <c r="O15" s="156" t="s">
        <v>78</v>
      </c>
      <c r="P15" s="140">
        <f>SUMIF($E$23:$E$88,O15,$D$23:D$88)</f>
        <v>0</v>
      </c>
      <c r="Q15" s="199"/>
      <c r="R15" s="156" t="s">
        <v>78</v>
      </c>
      <c r="S15" s="140">
        <f>SUMIF($L$23:L$39,R15,$K$23:$K$39)</f>
        <v>0</v>
      </c>
    </row>
    <row r="16" spans="1:19" ht="25.5" x14ac:dyDescent="0.25">
      <c r="A16" s="196" t="s">
        <v>43</v>
      </c>
      <c r="B16" s="196" t="s">
        <v>440</v>
      </c>
      <c r="C16" s="196" t="s">
        <v>101</v>
      </c>
      <c r="D16" s="197" t="str">
        <f>D4</f>
        <v>Вложения (руб) на 01.03.2021</v>
      </c>
      <c r="E16" s="80" t="s">
        <v>163</v>
      </c>
      <c r="H16" s="196" t="s">
        <v>43</v>
      </c>
      <c r="I16" s="196" t="s">
        <v>440</v>
      </c>
      <c r="J16" s="196" t="s">
        <v>101</v>
      </c>
      <c r="K16" s="197" t="str">
        <f>D4</f>
        <v>Вложения (руб) на 01.03.2021</v>
      </c>
      <c r="L16" s="80" t="s">
        <v>163</v>
      </c>
      <c r="O16" s="157" t="s">
        <v>80</v>
      </c>
      <c r="P16" s="140">
        <f>SUMIF($E$23:$E$88,O16,$D$23:D$88)</f>
        <v>0</v>
      </c>
      <c r="Q16" s="199"/>
      <c r="R16" s="157" t="s">
        <v>80</v>
      </c>
      <c r="S16" s="140">
        <f>SUMIF($L$23:L$39,R16,$K$23:$K$39)</f>
        <v>0</v>
      </c>
    </row>
    <row r="17" spans="1:21" x14ac:dyDescent="0.25">
      <c r="A17" s="196"/>
      <c r="B17" s="196"/>
      <c r="C17" s="196"/>
      <c r="D17" s="198">
        <v>0</v>
      </c>
      <c r="E17" s="108"/>
      <c r="H17" s="196"/>
      <c r="I17" s="196"/>
      <c r="J17" s="196"/>
      <c r="K17" s="198"/>
      <c r="L17" s="108"/>
      <c r="O17" s="157" t="s">
        <v>82</v>
      </c>
      <c r="P17" s="140">
        <f>SUMIF($E$23:$E$88,O17,$D$23:D$88)</f>
        <v>0</v>
      </c>
      <c r="Q17" s="199"/>
      <c r="R17" s="157" t="s">
        <v>82</v>
      </c>
      <c r="S17" s="140">
        <f>SUMIF($L$23:L$39,R17,$K$23:$K$39)</f>
        <v>0</v>
      </c>
    </row>
    <row r="18" spans="1:21" x14ac:dyDescent="0.25">
      <c r="O18" s="156" t="s">
        <v>84</v>
      </c>
      <c r="P18" s="140">
        <f>SUMIF($E$23:$E$88,O18,$D$23:D$88)</f>
        <v>0</v>
      </c>
      <c r="Q18" s="199"/>
      <c r="R18" s="156" t="s">
        <v>84</v>
      </c>
      <c r="S18" s="140">
        <f>SUMIF($L$23:L$39,R18,$K$23:$K$39)</f>
        <v>0</v>
      </c>
    </row>
    <row r="19" spans="1:21" x14ac:dyDescent="0.25">
      <c r="O19" s="156" t="s">
        <v>86</v>
      </c>
      <c r="P19" s="140">
        <f>SUMIF($E$23:$E$88,O19,$D$23:D$88)</f>
        <v>0</v>
      </c>
      <c r="Q19" s="199"/>
      <c r="R19" s="156" t="s">
        <v>86</v>
      </c>
      <c r="S19" s="140">
        <f>SUMIF($L$23:L$39,R19,$K$23:$K$39)</f>
        <v>0</v>
      </c>
    </row>
    <row r="20" spans="1:21" x14ac:dyDescent="0.25">
      <c r="O20" s="156" t="s">
        <v>88</v>
      </c>
      <c r="P20" s="140">
        <f>SUMIF($E$23:$E$88,O20,$D$23:D$88)</f>
        <v>0</v>
      </c>
      <c r="Q20" s="199"/>
      <c r="R20" s="156" t="s">
        <v>88</v>
      </c>
      <c r="S20" s="140">
        <f>SUMIF($L$23:L$39,R20,$K$23:$K$39)</f>
        <v>0</v>
      </c>
    </row>
    <row r="21" spans="1:21" x14ac:dyDescent="0.25">
      <c r="A21" s="285" t="s">
        <v>443</v>
      </c>
      <c r="B21" s="285"/>
      <c r="C21" s="285"/>
      <c r="D21" s="285"/>
      <c r="E21" s="285"/>
      <c r="F21" s="79"/>
      <c r="G21" s="79"/>
      <c r="H21" s="285" t="s">
        <v>443</v>
      </c>
      <c r="I21" s="285"/>
      <c r="J21" s="285"/>
      <c r="K21" s="285"/>
      <c r="L21" s="285"/>
      <c r="M21" s="79"/>
      <c r="N21" s="199"/>
      <c r="O21" s="156" t="s">
        <v>115</v>
      </c>
      <c r="P21" s="140">
        <f>SUMIF($E$23:$E$88,O21,$D$23:D$88)</f>
        <v>0</v>
      </c>
      <c r="Q21" s="199"/>
      <c r="R21" s="156" t="s">
        <v>115</v>
      </c>
      <c r="S21" s="140">
        <f>SUMIF($L$23:L$39,R21,$K$23:$K$39)</f>
        <v>0</v>
      </c>
    </row>
    <row r="22" spans="1:21" ht="38.25" customHeight="1" x14ac:dyDescent="0.25">
      <c r="A22" s="196" t="s">
        <v>43</v>
      </c>
      <c r="B22" s="196" t="s">
        <v>440</v>
      </c>
      <c r="C22" s="196" t="s">
        <v>101</v>
      </c>
      <c r="D22" s="197" t="str">
        <f>D4</f>
        <v>Вложения (руб) на 01.03.2021</v>
      </c>
      <c r="E22" s="80" t="s">
        <v>163</v>
      </c>
      <c r="F22" s="202"/>
      <c r="G22" s="202"/>
      <c r="H22" s="196" t="s">
        <v>43</v>
      </c>
      <c r="I22" s="196" t="s">
        <v>440</v>
      </c>
      <c r="J22" s="196" t="s">
        <v>101</v>
      </c>
      <c r="K22" s="197" t="str">
        <f>D4</f>
        <v>Вложения (руб) на 01.03.2021</v>
      </c>
      <c r="L22" s="80" t="s">
        <v>163</v>
      </c>
      <c r="M22" s="202"/>
      <c r="N22" s="199"/>
      <c r="O22" s="156"/>
      <c r="P22" s="140">
        <f>SUM(P11:P21)</f>
        <v>0</v>
      </c>
      <c r="Q22" s="199"/>
      <c r="R22" s="156"/>
      <c r="S22" s="140">
        <f>SUM(S11:S21)</f>
        <v>0</v>
      </c>
    </row>
    <row r="23" spans="1:21" x14ac:dyDescent="0.25">
      <c r="A23" s="196"/>
      <c r="B23" s="196"/>
      <c r="C23" s="196"/>
      <c r="D23" s="198"/>
      <c r="E23" s="108"/>
      <c r="F23" s="203"/>
      <c r="G23" s="203"/>
      <c r="H23" s="196"/>
      <c r="I23" s="196"/>
      <c r="J23" s="196"/>
      <c r="K23" s="198"/>
      <c r="L23" s="108"/>
      <c r="M23" s="203"/>
      <c r="N23" s="199"/>
      <c r="O23" s="144" t="s">
        <v>14</v>
      </c>
      <c r="P23" s="140">
        <f ca="1">P22+D5+D11+D17-'портефль до погашения'!F3</f>
        <v>-58897840563.089996</v>
      </c>
      <c r="Q23" s="199"/>
      <c r="R23" s="144" t="s">
        <v>14</v>
      </c>
      <c r="S23" s="140">
        <f ca="1">S22+K11+K17-'портефль до погашения'!F4</f>
        <v>-2939086706.9229999</v>
      </c>
    </row>
    <row r="24" spans="1:21" x14ac:dyDescent="0.25">
      <c r="A24" s="196"/>
      <c r="B24" s="196"/>
      <c r="C24" s="196"/>
      <c r="D24" s="198"/>
      <c r="E24" s="108"/>
      <c r="F24" s="203"/>
      <c r="G24" s="203"/>
      <c r="H24" s="196"/>
      <c r="I24" s="196"/>
      <c r="J24" s="196"/>
      <c r="K24" s="198"/>
      <c r="L24" s="108"/>
      <c r="M24" s="203"/>
      <c r="N24" s="199"/>
      <c r="O24" s="199"/>
      <c r="P24" s="199"/>
      <c r="Q24" s="199"/>
      <c r="R24" s="199"/>
      <c r="S24" s="199"/>
    </row>
    <row r="25" spans="1:21" x14ac:dyDescent="0.25">
      <c r="A25" s="196"/>
      <c r="B25" s="196"/>
      <c r="C25" s="196"/>
      <c r="D25" s="198"/>
      <c r="E25" s="108"/>
      <c r="F25" s="203"/>
      <c r="G25" s="203"/>
      <c r="H25" s="196"/>
      <c r="I25" s="196"/>
      <c r="J25" s="196"/>
      <c r="K25" s="198"/>
      <c r="L25" s="108"/>
      <c r="M25" s="203"/>
      <c r="N25" s="199"/>
      <c r="O25" s="199"/>
      <c r="P25" s="199"/>
      <c r="Q25" s="199"/>
      <c r="R25" s="199"/>
      <c r="S25" s="199"/>
    </row>
    <row r="26" spans="1:21" x14ac:dyDescent="0.25">
      <c r="A26" s="196"/>
      <c r="B26" s="196"/>
      <c r="C26" s="196"/>
      <c r="D26" s="198"/>
      <c r="E26" s="108"/>
      <c r="F26" s="203"/>
      <c r="G26" s="203"/>
      <c r="H26" s="196"/>
      <c r="I26" s="196"/>
      <c r="J26" s="196"/>
      <c r="K26" s="198"/>
      <c r="L26" s="108"/>
      <c r="M26" s="203"/>
      <c r="N26" s="199"/>
      <c r="O26" s="199"/>
      <c r="P26" s="199"/>
      <c r="Q26" s="199"/>
      <c r="R26" s="199"/>
      <c r="S26" s="199"/>
    </row>
    <row r="27" spans="1:21" x14ac:dyDescent="0.25">
      <c r="A27" s="196"/>
      <c r="B27" s="196"/>
      <c r="C27" s="196"/>
      <c r="D27" s="198"/>
      <c r="E27" s="108"/>
      <c r="F27" s="203"/>
      <c r="G27" s="203"/>
      <c r="H27" s="196"/>
      <c r="I27" s="196"/>
      <c r="J27" s="196"/>
      <c r="K27" s="198"/>
      <c r="L27" s="108"/>
      <c r="M27" s="203"/>
      <c r="N27" s="199"/>
      <c r="O27" s="199"/>
      <c r="P27" s="199"/>
      <c r="Q27" s="199"/>
      <c r="R27" s="199"/>
      <c r="S27" s="199"/>
      <c r="T27" s="199"/>
      <c r="U27" s="199"/>
    </row>
    <row r="28" spans="1:21" x14ac:dyDescent="0.25">
      <c r="A28" s="196"/>
      <c r="B28" s="196"/>
      <c r="C28" s="196"/>
      <c r="D28" s="198"/>
      <c r="E28" s="108"/>
      <c r="F28" s="203"/>
      <c r="G28" s="203"/>
      <c r="H28" s="196"/>
      <c r="I28" s="196"/>
      <c r="J28" s="196"/>
      <c r="K28" s="198"/>
      <c r="L28" s="108"/>
      <c r="M28" s="203"/>
      <c r="N28" s="199"/>
      <c r="O28" s="199"/>
      <c r="P28" s="199"/>
      <c r="Q28" s="199"/>
      <c r="R28" s="199"/>
      <c r="S28" s="199"/>
      <c r="T28" s="199"/>
      <c r="U28" s="199"/>
    </row>
    <row r="29" spans="1:21" x14ac:dyDescent="0.25">
      <c r="A29" s="196"/>
      <c r="B29" s="196"/>
      <c r="C29" s="196"/>
      <c r="D29" s="198"/>
      <c r="E29" s="108"/>
      <c r="F29" s="203"/>
      <c r="G29" s="203"/>
      <c r="H29" s="196"/>
      <c r="I29" s="196"/>
      <c r="J29" s="196"/>
      <c r="K29" s="198"/>
      <c r="L29" s="108"/>
      <c r="M29" s="203"/>
      <c r="N29" s="199"/>
      <c r="O29" s="199"/>
      <c r="P29" s="199"/>
      <c r="Q29" s="199"/>
      <c r="R29" s="199"/>
      <c r="S29" s="199"/>
      <c r="T29" s="199"/>
      <c r="U29" s="199"/>
    </row>
    <row r="30" spans="1:21" x14ac:dyDescent="0.25">
      <c r="A30" s="196"/>
      <c r="B30" s="196"/>
      <c r="C30" s="196"/>
      <c r="D30" s="198"/>
      <c r="E30" s="108"/>
      <c r="F30" s="203"/>
      <c r="G30" s="203"/>
      <c r="H30" s="196"/>
      <c r="I30" s="196"/>
      <c r="J30" s="196"/>
      <c r="K30" s="198"/>
      <c r="L30" s="108"/>
      <c r="M30" s="203"/>
      <c r="N30" s="199"/>
      <c r="O30" s="199"/>
      <c r="P30" s="199"/>
      <c r="Q30" s="199"/>
      <c r="R30" s="199"/>
      <c r="S30" s="199"/>
      <c r="T30" s="199"/>
      <c r="U30" s="199"/>
    </row>
    <row r="31" spans="1:21" x14ac:dyDescent="0.25">
      <c r="A31" s="196"/>
      <c r="B31" s="196"/>
      <c r="C31" s="196"/>
      <c r="D31" s="198"/>
      <c r="E31" s="108"/>
      <c r="F31" s="203"/>
      <c r="G31" s="203"/>
      <c r="H31" s="203"/>
      <c r="I31" s="203"/>
      <c r="J31" s="203"/>
      <c r="K31" s="203"/>
      <c r="L31" s="203"/>
      <c r="M31" s="203"/>
      <c r="N31" s="199"/>
      <c r="O31" s="199"/>
      <c r="P31" s="199"/>
      <c r="Q31" s="199"/>
      <c r="R31" s="199"/>
      <c r="S31" s="199"/>
      <c r="T31" s="199"/>
      <c r="U31" s="199"/>
    </row>
    <row r="32" spans="1:21" x14ac:dyDescent="0.25">
      <c r="A32" s="196"/>
      <c r="B32" s="196"/>
      <c r="C32" s="196"/>
      <c r="D32" s="198"/>
      <c r="E32" s="108"/>
      <c r="F32" s="203"/>
      <c r="G32" s="203"/>
      <c r="H32" s="203"/>
      <c r="I32" s="203"/>
      <c r="J32" s="203"/>
      <c r="K32" s="203"/>
      <c r="L32" s="203"/>
      <c r="M32" s="203"/>
      <c r="N32" s="199"/>
      <c r="O32" s="199"/>
      <c r="P32" s="199"/>
      <c r="Q32" s="199"/>
      <c r="R32" s="199"/>
      <c r="S32" s="199"/>
      <c r="T32" s="199"/>
      <c r="U32" s="199"/>
    </row>
    <row r="33" spans="1:21" x14ac:dyDescent="0.25">
      <c r="A33" s="196"/>
      <c r="B33" s="196"/>
      <c r="C33" s="196"/>
      <c r="D33" s="198"/>
      <c r="E33" s="108"/>
      <c r="F33" s="203"/>
      <c r="G33" s="203"/>
      <c r="H33" s="203"/>
      <c r="I33" s="203"/>
      <c r="J33" s="203"/>
      <c r="K33" s="203"/>
      <c r="L33" s="203"/>
      <c r="M33" s="203"/>
      <c r="N33" s="199"/>
      <c r="O33" s="199"/>
      <c r="P33" s="199"/>
      <c r="Q33" s="199"/>
      <c r="R33" s="199"/>
      <c r="S33" s="199"/>
      <c r="T33" s="199"/>
      <c r="U33" s="199"/>
    </row>
    <row r="34" spans="1:21" x14ac:dyDescent="0.25">
      <c r="A34" s="196"/>
      <c r="B34" s="196"/>
      <c r="C34" s="196"/>
      <c r="D34" s="198"/>
      <c r="E34" s="108"/>
      <c r="F34" s="203"/>
      <c r="G34" s="203"/>
      <c r="H34" s="203"/>
      <c r="I34" s="203"/>
      <c r="J34" s="203"/>
      <c r="K34" s="203"/>
      <c r="L34" s="203"/>
      <c r="M34" s="203"/>
      <c r="N34" s="199"/>
      <c r="O34" s="199"/>
      <c r="P34" s="199"/>
      <c r="Q34" s="199"/>
      <c r="R34" s="199"/>
      <c r="S34" s="199"/>
      <c r="T34" s="199"/>
      <c r="U34" s="199"/>
    </row>
    <row r="35" spans="1:21" x14ac:dyDescent="0.25">
      <c r="A35" s="196"/>
      <c r="B35" s="196"/>
      <c r="C35" s="196"/>
      <c r="D35" s="198"/>
      <c r="E35" s="108"/>
      <c r="F35" s="203"/>
      <c r="G35" s="203"/>
      <c r="H35" s="203"/>
      <c r="I35" s="203"/>
      <c r="J35" s="203"/>
      <c r="K35" s="203"/>
      <c r="L35" s="203"/>
      <c r="M35" s="203"/>
      <c r="N35" s="199"/>
      <c r="O35" s="199"/>
      <c r="P35" s="199"/>
      <c r="Q35" s="199"/>
      <c r="R35" s="199"/>
      <c r="S35" s="199"/>
    </row>
    <row r="36" spans="1:21" x14ac:dyDescent="0.25">
      <c r="A36" s="196"/>
      <c r="B36" s="196"/>
      <c r="C36" s="196"/>
      <c r="D36" s="198"/>
      <c r="E36" s="108"/>
      <c r="F36" s="203"/>
      <c r="G36" s="203"/>
      <c r="H36" s="203"/>
      <c r="I36" s="203"/>
      <c r="J36" s="203"/>
      <c r="K36" s="203"/>
      <c r="L36" s="203"/>
      <c r="M36" s="203"/>
      <c r="N36" s="199"/>
      <c r="O36" s="199"/>
      <c r="P36" s="199"/>
      <c r="Q36" s="199"/>
      <c r="R36" s="199"/>
      <c r="S36" s="199"/>
    </row>
    <row r="37" spans="1:21" x14ac:dyDescent="0.25">
      <c r="A37" s="196"/>
      <c r="B37" s="196"/>
      <c r="C37" s="196"/>
      <c r="D37" s="198"/>
      <c r="E37" s="108"/>
      <c r="F37" s="203"/>
      <c r="G37" s="203"/>
      <c r="H37" s="203"/>
      <c r="I37" s="203"/>
      <c r="J37" s="203"/>
      <c r="K37" s="203"/>
      <c r="L37" s="203"/>
      <c r="M37" s="203"/>
      <c r="N37" s="199"/>
      <c r="O37" s="199"/>
      <c r="P37" s="199"/>
      <c r="Q37" s="199"/>
      <c r="R37" s="199"/>
      <c r="S37" s="199"/>
    </row>
    <row r="38" spans="1:21" x14ac:dyDescent="0.25">
      <c r="A38" s="196"/>
      <c r="B38" s="196"/>
      <c r="C38" s="196"/>
      <c r="D38" s="198"/>
      <c r="E38" s="108"/>
      <c r="F38" s="203"/>
      <c r="G38" s="203"/>
      <c r="H38" s="203"/>
      <c r="I38" s="203"/>
      <c r="J38" s="203"/>
      <c r="K38" s="203"/>
      <c r="L38" s="203"/>
      <c r="M38" s="203"/>
      <c r="N38" s="199"/>
      <c r="O38" s="199"/>
      <c r="P38" s="199"/>
      <c r="Q38" s="199"/>
      <c r="R38" s="199"/>
      <c r="S38" s="199"/>
    </row>
    <row r="39" spans="1:21" x14ac:dyDescent="0.25">
      <c r="A39" s="196"/>
      <c r="B39" s="196"/>
      <c r="C39" s="196"/>
      <c r="D39" s="198"/>
      <c r="E39" s="108"/>
      <c r="F39" s="203"/>
      <c r="G39" s="203"/>
      <c r="H39" s="203"/>
      <c r="I39" s="203"/>
      <c r="J39" s="203"/>
      <c r="K39" s="203"/>
      <c r="L39" s="203"/>
      <c r="M39" s="203"/>
      <c r="N39" s="199"/>
      <c r="O39" s="199"/>
      <c r="P39" s="199"/>
      <c r="Q39" s="199"/>
      <c r="R39" s="199"/>
      <c r="S39" s="199"/>
    </row>
    <row r="40" spans="1:21" x14ac:dyDescent="0.25">
      <c r="A40" s="196"/>
      <c r="B40" s="196"/>
      <c r="C40" s="196"/>
      <c r="D40" s="198"/>
      <c r="E40" s="108"/>
      <c r="F40" s="203"/>
      <c r="G40" s="203"/>
      <c r="H40" s="203"/>
      <c r="I40" s="203"/>
      <c r="J40" s="203"/>
      <c r="K40" s="203"/>
      <c r="L40" s="203"/>
      <c r="M40" s="203"/>
      <c r="N40" s="199"/>
      <c r="O40" s="199"/>
      <c r="P40" s="199"/>
      <c r="Q40" s="199"/>
      <c r="R40" s="199"/>
      <c r="S40" s="199"/>
    </row>
    <row r="41" spans="1:21" x14ac:dyDescent="0.25">
      <c r="A41" s="196"/>
      <c r="B41" s="196"/>
      <c r="C41" s="196"/>
      <c r="D41" s="198"/>
      <c r="E41" s="108"/>
      <c r="F41" s="203"/>
      <c r="G41" s="203"/>
      <c r="H41" s="203"/>
      <c r="I41" s="203"/>
      <c r="J41" s="203"/>
      <c r="K41" s="203"/>
      <c r="L41" s="203"/>
      <c r="M41" s="203"/>
      <c r="N41" s="199"/>
      <c r="O41" s="199"/>
      <c r="P41" s="199"/>
      <c r="Q41" s="199"/>
      <c r="R41" s="199"/>
      <c r="S41" s="199"/>
    </row>
    <row r="42" spans="1:21" x14ac:dyDescent="0.25">
      <c r="A42" s="196"/>
      <c r="B42" s="196"/>
      <c r="C42" s="196"/>
      <c r="D42" s="198"/>
      <c r="E42" s="108"/>
      <c r="F42" s="203"/>
      <c r="G42" s="203"/>
      <c r="H42" s="203"/>
      <c r="I42" s="203"/>
      <c r="J42" s="203"/>
      <c r="K42" s="203"/>
      <c r="L42" s="203"/>
      <c r="M42" s="203"/>
      <c r="N42" s="199"/>
      <c r="O42" s="199"/>
      <c r="P42" s="199"/>
      <c r="Q42" s="199"/>
      <c r="R42" s="199"/>
      <c r="S42" s="199"/>
    </row>
    <row r="43" spans="1:21" x14ac:dyDescent="0.25">
      <c r="A43" s="196"/>
      <c r="B43" s="196"/>
      <c r="C43" s="196"/>
      <c r="D43" s="198"/>
      <c r="E43" s="108"/>
      <c r="F43" s="203"/>
      <c r="G43" s="203"/>
      <c r="H43" s="203"/>
      <c r="I43" s="203"/>
      <c r="J43" s="203"/>
      <c r="K43" s="203"/>
      <c r="L43" s="203"/>
      <c r="M43" s="203"/>
      <c r="N43" s="199"/>
      <c r="O43" s="199"/>
      <c r="P43" s="199"/>
      <c r="Q43" s="199"/>
      <c r="R43" s="199"/>
      <c r="S43" s="199"/>
    </row>
    <row r="44" spans="1:21" x14ac:dyDescent="0.25">
      <c r="A44" s="196"/>
      <c r="B44" s="196"/>
      <c r="C44" s="196"/>
      <c r="D44" s="198"/>
      <c r="E44" s="108"/>
      <c r="F44" s="203"/>
      <c r="G44" s="203"/>
      <c r="H44" s="203"/>
      <c r="I44" s="203"/>
      <c r="J44" s="203"/>
      <c r="K44" s="203"/>
      <c r="L44" s="203"/>
      <c r="M44" s="203"/>
      <c r="N44" s="199"/>
      <c r="O44" s="199"/>
      <c r="P44" s="199"/>
      <c r="Q44" s="199"/>
      <c r="R44" s="199"/>
      <c r="S44" s="199"/>
    </row>
    <row r="45" spans="1:21" x14ac:dyDescent="0.25">
      <c r="A45" s="196"/>
      <c r="B45" s="196"/>
      <c r="C45" s="196"/>
      <c r="D45" s="198"/>
      <c r="E45" s="108"/>
      <c r="F45" s="203"/>
      <c r="G45" s="203"/>
      <c r="H45" s="203"/>
      <c r="I45" s="203"/>
      <c r="J45" s="203"/>
      <c r="K45" s="203"/>
      <c r="L45" s="203"/>
      <c r="M45" s="203"/>
      <c r="N45" s="199"/>
      <c r="O45" s="199"/>
      <c r="P45" s="199"/>
      <c r="Q45" s="199"/>
      <c r="R45" s="199"/>
      <c r="S45" s="199"/>
    </row>
    <row r="46" spans="1:21" x14ac:dyDescent="0.25">
      <c r="A46" s="196"/>
      <c r="B46" s="196"/>
      <c r="C46" s="196"/>
      <c r="D46" s="198"/>
      <c r="E46" s="108"/>
      <c r="F46" s="203"/>
      <c r="G46" s="203"/>
      <c r="H46" s="203"/>
      <c r="I46" s="203"/>
      <c r="J46" s="203"/>
      <c r="K46" s="203"/>
      <c r="L46" s="203"/>
      <c r="M46" s="203"/>
      <c r="N46" s="199"/>
      <c r="O46" s="199"/>
      <c r="P46" s="199"/>
      <c r="Q46" s="199"/>
      <c r="R46" s="199"/>
      <c r="S46" s="199"/>
    </row>
    <row r="47" spans="1:21" x14ac:dyDescent="0.25">
      <c r="A47" s="196"/>
      <c r="B47" s="196"/>
      <c r="C47" s="196"/>
      <c r="D47" s="198"/>
      <c r="E47" s="108"/>
      <c r="F47" s="203"/>
      <c r="G47" s="203"/>
      <c r="H47" s="203"/>
      <c r="I47" s="203"/>
      <c r="J47" s="203"/>
      <c r="K47" s="203"/>
      <c r="L47" s="203"/>
      <c r="M47" s="203"/>
      <c r="N47" s="199"/>
      <c r="O47" s="199"/>
      <c r="P47" s="199"/>
      <c r="Q47" s="199"/>
      <c r="R47" s="199"/>
      <c r="S47" s="199"/>
    </row>
    <row r="48" spans="1:21" x14ac:dyDescent="0.25">
      <c r="A48" s="196"/>
      <c r="B48" s="196"/>
      <c r="C48" s="196"/>
      <c r="D48" s="198"/>
      <c r="E48" s="108"/>
      <c r="F48" s="203"/>
      <c r="G48" s="203"/>
      <c r="H48" s="203"/>
      <c r="I48" s="203"/>
      <c r="J48" s="203"/>
      <c r="K48" s="203"/>
      <c r="L48" s="203"/>
      <c r="M48" s="203"/>
      <c r="N48" s="199"/>
      <c r="O48" s="199"/>
      <c r="P48" s="199"/>
      <c r="Q48" s="199"/>
      <c r="R48" s="199"/>
      <c r="S48" s="199"/>
    </row>
    <row r="49" spans="1:19" x14ac:dyDescent="0.25">
      <c r="A49" s="196"/>
      <c r="B49" s="196"/>
      <c r="C49" s="196"/>
      <c r="D49" s="198"/>
      <c r="E49" s="108"/>
      <c r="F49" s="203"/>
      <c r="G49" s="203"/>
      <c r="H49" s="203"/>
      <c r="I49" s="203"/>
      <c r="J49" s="203"/>
      <c r="K49" s="203"/>
      <c r="L49" s="203"/>
      <c r="M49" s="203"/>
      <c r="N49" s="199"/>
      <c r="O49" s="199"/>
      <c r="P49" s="199"/>
      <c r="Q49" s="199"/>
      <c r="R49" s="199"/>
      <c r="S49" s="199"/>
    </row>
    <row r="50" spans="1:19" x14ac:dyDescent="0.25">
      <c r="A50" s="196"/>
      <c r="B50" s="196"/>
      <c r="C50" s="196"/>
      <c r="D50" s="198"/>
      <c r="E50" s="108"/>
      <c r="F50" s="203"/>
      <c r="G50" s="203"/>
      <c r="H50" s="203"/>
      <c r="I50" s="203"/>
      <c r="J50" s="203"/>
      <c r="K50" s="203"/>
      <c r="L50" s="203"/>
      <c r="M50" s="203"/>
      <c r="N50" s="199"/>
      <c r="O50" s="199"/>
      <c r="P50" s="199"/>
      <c r="Q50" s="199"/>
      <c r="R50" s="199"/>
      <c r="S50" s="199"/>
    </row>
    <row r="51" spans="1:19" x14ac:dyDescent="0.25">
      <c r="A51" s="196"/>
      <c r="B51" s="196"/>
      <c r="C51" s="196"/>
      <c r="D51" s="198"/>
      <c r="E51" s="108"/>
      <c r="F51" s="203"/>
      <c r="G51" s="203"/>
      <c r="H51" s="203"/>
      <c r="I51" s="203"/>
      <c r="J51" s="203"/>
      <c r="K51" s="203"/>
      <c r="L51" s="203"/>
      <c r="M51" s="203"/>
      <c r="N51" s="199"/>
      <c r="O51" s="199"/>
      <c r="P51" s="199"/>
      <c r="Q51" s="199"/>
      <c r="R51" s="199"/>
      <c r="S51" s="199"/>
    </row>
    <row r="52" spans="1:19" x14ac:dyDescent="0.25">
      <c r="A52" s="196"/>
      <c r="B52" s="196"/>
      <c r="C52" s="196"/>
      <c r="D52" s="198"/>
      <c r="E52" s="108"/>
      <c r="F52" s="203"/>
      <c r="G52" s="203"/>
      <c r="H52" s="203"/>
      <c r="I52" s="203"/>
      <c r="J52" s="203"/>
      <c r="K52" s="203"/>
      <c r="L52" s="203"/>
      <c r="M52" s="203"/>
      <c r="N52" s="199"/>
      <c r="O52" s="199"/>
      <c r="P52" s="199"/>
      <c r="Q52" s="199"/>
      <c r="R52" s="199"/>
      <c r="S52" s="199"/>
    </row>
    <row r="53" spans="1:19" x14ac:dyDescent="0.25">
      <c r="A53" s="196"/>
      <c r="B53" s="196"/>
      <c r="C53" s="196"/>
      <c r="D53" s="198"/>
      <c r="E53" s="108"/>
      <c r="F53" s="203"/>
      <c r="G53" s="203"/>
      <c r="H53" s="203"/>
      <c r="I53" s="203"/>
      <c r="J53" s="203"/>
      <c r="K53" s="203"/>
      <c r="L53" s="203"/>
      <c r="M53" s="203"/>
      <c r="N53" s="199"/>
      <c r="O53" s="199"/>
      <c r="P53" s="199"/>
      <c r="Q53" s="199"/>
      <c r="R53" s="199"/>
      <c r="S53" s="199"/>
    </row>
    <row r="54" spans="1:19" x14ac:dyDescent="0.25">
      <c r="A54" s="196"/>
      <c r="B54" s="196"/>
      <c r="C54" s="196"/>
      <c r="D54" s="198"/>
      <c r="E54" s="108"/>
      <c r="F54" s="203"/>
      <c r="G54" s="203"/>
      <c r="H54" s="203"/>
      <c r="I54" s="203"/>
      <c r="J54" s="203"/>
      <c r="K54" s="203"/>
      <c r="L54" s="203"/>
      <c r="M54" s="203"/>
      <c r="N54" s="199"/>
      <c r="O54" s="199"/>
      <c r="P54" s="199"/>
      <c r="Q54" s="199"/>
      <c r="R54" s="199"/>
      <c r="S54" s="199"/>
    </row>
    <row r="55" spans="1:19" x14ac:dyDescent="0.25">
      <c r="A55" s="196"/>
      <c r="B55" s="196"/>
      <c r="C55" s="196"/>
      <c r="D55" s="198"/>
      <c r="E55" s="108"/>
      <c r="F55" s="203"/>
      <c r="G55" s="203"/>
      <c r="H55" s="203"/>
      <c r="I55" s="203"/>
      <c r="J55" s="203"/>
      <c r="K55" s="203"/>
      <c r="L55" s="203"/>
      <c r="M55" s="203"/>
      <c r="N55" s="199"/>
      <c r="O55" s="199"/>
      <c r="P55" s="199"/>
      <c r="Q55" s="199"/>
      <c r="R55" s="199"/>
      <c r="S55" s="199"/>
    </row>
    <row r="56" spans="1:19" x14ac:dyDescent="0.25">
      <c r="A56" s="196"/>
      <c r="B56" s="196"/>
      <c r="C56" s="196"/>
      <c r="D56" s="198"/>
      <c r="E56" s="108"/>
      <c r="F56" s="203"/>
      <c r="G56" s="203"/>
      <c r="H56" s="203"/>
      <c r="I56" s="203"/>
      <c r="J56" s="203"/>
      <c r="K56" s="203"/>
      <c r="L56" s="203"/>
      <c r="M56" s="203"/>
      <c r="N56" s="199"/>
      <c r="O56" s="199"/>
      <c r="P56" s="199"/>
      <c r="Q56" s="199"/>
      <c r="R56" s="199"/>
      <c r="S56" s="199"/>
    </row>
    <row r="57" spans="1:19" x14ac:dyDescent="0.25">
      <c r="A57" s="196"/>
      <c r="B57" s="196"/>
      <c r="C57" s="196"/>
      <c r="D57" s="198"/>
      <c r="E57" s="108"/>
      <c r="F57" s="203"/>
      <c r="G57" s="203"/>
      <c r="H57" s="203"/>
      <c r="I57" s="203"/>
      <c r="J57" s="203"/>
      <c r="K57" s="203"/>
      <c r="L57" s="203"/>
      <c r="M57" s="203"/>
      <c r="N57" s="199"/>
      <c r="O57" s="199"/>
      <c r="P57" s="199"/>
      <c r="Q57" s="199"/>
      <c r="R57" s="199"/>
      <c r="S57" s="199"/>
    </row>
    <row r="58" spans="1:19" x14ac:dyDescent="0.25">
      <c r="A58" s="196"/>
      <c r="B58" s="196"/>
      <c r="C58" s="196"/>
      <c r="D58" s="198"/>
      <c r="E58" s="108"/>
      <c r="F58" s="203"/>
      <c r="G58" s="203"/>
      <c r="H58" s="203"/>
      <c r="I58" s="203"/>
      <c r="J58" s="203"/>
      <c r="K58" s="203"/>
      <c r="L58" s="203"/>
      <c r="M58" s="203"/>
      <c r="N58" s="199"/>
      <c r="O58" s="199"/>
      <c r="P58" s="199"/>
      <c r="Q58" s="199"/>
      <c r="R58" s="199"/>
      <c r="S58" s="199"/>
    </row>
    <row r="59" spans="1:19" x14ac:dyDescent="0.25">
      <c r="A59" s="196"/>
      <c r="B59" s="196"/>
      <c r="C59" s="196"/>
      <c r="D59" s="198"/>
      <c r="E59" s="108"/>
      <c r="F59" s="203"/>
      <c r="G59" s="203"/>
      <c r="H59" s="203"/>
      <c r="I59" s="203"/>
      <c r="J59" s="203"/>
      <c r="K59" s="203"/>
      <c r="L59" s="203"/>
      <c r="M59" s="203"/>
      <c r="N59" s="199"/>
      <c r="O59" s="199"/>
      <c r="P59" s="199"/>
      <c r="Q59" s="199"/>
      <c r="R59" s="199"/>
      <c r="S59" s="199"/>
    </row>
    <row r="60" spans="1:19" x14ac:dyDescent="0.25">
      <c r="A60" s="196"/>
      <c r="B60" s="196"/>
      <c r="C60" s="196"/>
      <c r="D60" s="198"/>
      <c r="E60" s="108"/>
      <c r="F60" s="203"/>
      <c r="G60" s="203"/>
      <c r="H60" s="203"/>
      <c r="I60" s="203"/>
      <c r="J60" s="203"/>
      <c r="K60" s="203"/>
      <c r="L60" s="203"/>
      <c r="M60" s="203"/>
      <c r="N60" s="199"/>
      <c r="O60" s="199"/>
      <c r="P60" s="199"/>
      <c r="Q60" s="199"/>
      <c r="R60" s="199"/>
      <c r="S60" s="199"/>
    </row>
    <row r="61" spans="1:19" x14ac:dyDescent="0.25">
      <c r="A61" s="196"/>
      <c r="B61" s="196"/>
      <c r="C61" s="196"/>
      <c r="D61" s="198"/>
      <c r="E61" s="108"/>
      <c r="F61" s="203"/>
      <c r="G61" s="203"/>
      <c r="H61" s="203"/>
      <c r="I61" s="203"/>
      <c r="J61" s="203"/>
      <c r="K61" s="203"/>
      <c r="L61" s="203"/>
      <c r="M61" s="203"/>
      <c r="N61" s="199"/>
      <c r="O61" s="199"/>
      <c r="P61" s="199"/>
      <c r="Q61" s="199"/>
      <c r="R61" s="199"/>
      <c r="S61" s="199"/>
    </row>
    <row r="62" spans="1:19" x14ac:dyDescent="0.25">
      <c r="A62" s="196"/>
      <c r="B62" s="196"/>
      <c r="C62" s="196"/>
      <c r="D62" s="198"/>
      <c r="E62" s="108"/>
      <c r="F62" s="203"/>
      <c r="G62" s="203"/>
      <c r="H62" s="203"/>
      <c r="I62" s="203"/>
      <c r="J62" s="203"/>
      <c r="K62" s="203"/>
      <c r="L62" s="203"/>
      <c r="M62" s="203"/>
      <c r="N62" s="199"/>
      <c r="O62" s="199"/>
      <c r="P62" s="199"/>
      <c r="Q62" s="199"/>
      <c r="R62" s="199"/>
      <c r="S62" s="199"/>
    </row>
    <row r="63" spans="1:19" x14ac:dyDescent="0.25">
      <c r="A63" s="196"/>
      <c r="B63" s="196"/>
      <c r="C63" s="196"/>
      <c r="D63" s="198"/>
      <c r="E63" s="108"/>
      <c r="F63" s="203"/>
      <c r="G63" s="203"/>
      <c r="H63" s="203"/>
      <c r="I63" s="203"/>
      <c r="J63" s="203"/>
      <c r="K63" s="203"/>
      <c r="L63" s="203"/>
      <c r="M63" s="203"/>
      <c r="N63" s="199"/>
      <c r="O63" s="199"/>
      <c r="P63" s="199"/>
      <c r="Q63" s="199"/>
      <c r="R63" s="199"/>
      <c r="S63" s="199"/>
    </row>
    <row r="64" spans="1:19" x14ac:dyDescent="0.25">
      <c r="A64" s="196"/>
      <c r="B64" s="196"/>
      <c r="C64" s="196"/>
      <c r="D64" s="198"/>
      <c r="E64" s="108"/>
      <c r="F64" s="203"/>
      <c r="G64" s="203"/>
      <c r="H64" s="203"/>
      <c r="I64" s="203"/>
      <c r="J64" s="203"/>
      <c r="K64" s="203"/>
      <c r="L64" s="203"/>
      <c r="M64" s="203"/>
      <c r="N64" s="199"/>
      <c r="O64" s="199"/>
      <c r="P64" s="199"/>
      <c r="Q64" s="199"/>
      <c r="R64" s="199"/>
      <c r="S64" s="199"/>
    </row>
    <row r="65" spans="1:19" x14ac:dyDescent="0.25">
      <c r="A65" s="196"/>
      <c r="B65" s="196"/>
      <c r="C65" s="196"/>
      <c r="D65" s="198"/>
      <c r="E65" s="108"/>
      <c r="F65" s="203"/>
      <c r="G65" s="203"/>
      <c r="H65" s="203"/>
      <c r="I65" s="203"/>
      <c r="J65" s="203"/>
      <c r="K65" s="203"/>
      <c r="L65" s="203"/>
      <c r="M65" s="203"/>
      <c r="N65" s="199"/>
      <c r="O65" s="199"/>
      <c r="P65" s="199"/>
      <c r="Q65" s="199"/>
      <c r="R65" s="199"/>
      <c r="S65" s="199"/>
    </row>
    <row r="66" spans="1:19" x14ac:dyDescent="0.25">
      <c r="A66" s="196"/>
      <c r="B66" s="196"/>
      <c r="C66" s="196"/>
      <c r="D66" s="198"/>
      <c r="E66" s="108"/>
      <c r="F66" s="203"/>
      <c r="G66" s="203"/>
      <c r="H66" s="203"/>
      <c r="I66" s="203"/>
      <c r="J66" s="203"/>
      <c r="K66" s="203"/>
      <c r="L66" s="203"/>
      <c r="M66" s="203"/>
      <c r="N66" s="199"/>
      <c r="O66" s="199"/>
      <c r="P66" s="199"/>
      <c r="Q66" s="199"/>
      <c r="R66" s="199"/>
      <c r="S66" s="199"/>
    </row>
    <row r="67" spans="1:19" x14ac:dyDescent="0.25">
      <c r="A67" s="196"/>
      <c r="B67" s="196"/>
      <c r="C67" s="196"/>
      <c r="D67" s="198"/>
      <c r="E67" s="108"/>
      <c r="F67" s="203"/>
      <c r="G67" s="203"/>
      <c r="H67" s="203"/>
      <c r="I67" s="203"/>
      <c r="J67" s="203"/>
      <c r="K67" s="203"/>
      <c r="L67" s="203"/>
      <c r="M67" s="203"/>
      <c r="N67" s="199"/>
      <c r="O67" s="199"/>
      <c r="P67" s="199"/>
      <c r="Q67" s="199"/>
      <c r="R67" s="199"/>
      <c r="S67" s="199"/>
    </row>
    <row r="68" spans="1:19" x14ac:dyDescent="0.25">
      <c r="A68" s="196"/>
      <c r="B68" s="196"/>
      <c r="C68" s="196"/>
      <c r="D68" s="198"/>
      <c r="E68" s="108"/>
      <c r="F68" s="203"/>
      <c r="G68" s="203"/>
      <c r="H68" s="203"/>
      <c r="I68" s="203"/>
      <c r="J68" s="203"/>
      <c r="K68" s="203"/>
      <c r="L68" s="203"/>
      <c r="M68" s="203"/>
      <c r="N68" s="199"/>
      <c r="O68" s="199"/>
      <c r="P68" s="199"/>
      <c r="Q68" s="199"/>
      <c r="R68" s="199"/>
      <c r="S68" s="199"/>
    </row>
    <row r="69" spans="1:19" x14ac:dyDescent="0.25">
      <c r="A69" s="196"/>
      <c r="B69" s="196"/>
      <c r="C69" s="196"/>
      <c r="D69" s="198"/>
      <c r="E69" s="108"/>
      <c r="F69" s="203"/>
      <c r="G69" s="203"/>
      <c r="H69" s="203"/>
      <c r="I69" s="203"/>
      <c r="J69" s="203"/>
      <c r="K69" s="203"/>
      <c r="L69" s="203"/>
      <c r="M69" s="203"/>
      <c r="N69" s="199"/>
      <c r="O69" s="199"/>
      <c r="P69" s="199"/>
      <c r="Q69" s="199"/>
      <c r="R69" s="199"/>
      <c r="S69" s="199"/>
    </row>
    <row r="70" spans="1:19" x14ac:dyDescent="0.25">
      <c r="A70" s="196"/>
      <c r="B70" s="196"/>
      <c r="C70" s="196"/>
      <c r="D70" s="198"/>
      <c r="E70" s="108"/>
      <c r="F70" s="203"/>
      <c r="G70" s="203"/>
      <c r="H70" s="203"/>
      <c r="I70" s="203"/>
      <c r="J70" s="203"/>
      <c r="K70" s="203"/>
      <c r="L70" s="203"/>
      <c r="M70" s="203"/>
      <c r="N70" s="199"/>
      <c r="O70" s="199"/>
      <c r="P70" s="199"/>
      <c r="Q70" s="199"/>
      <c r="R70" s="199"/>
      <c r="S70" s="199"/>
    </row>
    <row r="71" spans="1:19" x14ac:dyDescent="0.25">
      <c r="A71" s="196"/>
      <c r="B71" s="196"/>
      <c r="C71" s="196"/>
      <c r="D71" s="198"/>
      <c r="E71" s="108"/>
      <c r="F71" s="203"/>
      <c r="G71" s="203"/>
      <c r="H71" s="203"/>
      <c r="I71" s="203"/>
      <c r="J71" s="203"/>
      <c r="K71" s="203"/>
      <c r="L71" s="203"/>
      <c r="M71" s="203"/>
      <c r="N71" s="199"/>
    </row>
    <row r="72" spans="1:19" x14ac:dyDescent="0.25">
      <c r="A72" s="196"/>
      <c r="B72" s="196"/>
      <c r="C72" s="196"/>
      <c r="D72" s="198"/>
      <c r="E72" s="108"/>
      <c r="F72" s="203"/>
      <c r="G72" s="203"/>
      <c r="H72" s="203"/>
      <c r="I72" s="203"/>
      <c r="J72" s="203"/>
      <c r="K72" s="203"/>
      <c r="L72" s="203"/>
      <c r="M72" s="203"/>
      <c r="N72" s="199"/>
    </row>
    <row r="73" spans="1:19" x14ac:dyDescent="0.25">
      <c r="A73" s="196"/>
      <c r="B73" s="196"/>
      <c r="C73" s="196"/>
      <c r="D73" s="198"/>
      <c r="E73" s="108"/>
      <c r="F73" s="203"/>
      <c r="G73" s="203"/>
      <c r="H73" s="203"/>
      <c r="I73" s="203"/>
      <c r="J73" s="203"/>
      <c r="K73" s="203"/>
      <c r="L73" s="203"/>
      <c r="M73" s="203"/>
      <c r="N73" s="199"/>
    </row>
    <row r="74" spans="1:19" x14ac:dyDescent="0.25">
      <c r="A74" s="196"/>
      <c r="B74" s="196"/>
      <c r="C74" s="196"/>
      <c r="D74" s="198"/>
      <c r="E74" s="108"/>
      <c r="F74" s="203"/>
      <c r="G74" s="203"/>
      <c r="H74" s="203"/>
      <c r="I74" s="203"/>
      <c r="J74" s="203"/>
      <c r="K74" s="203"/>
      <c r="L74" s="203"/>
      <c r="M74" s="203"/>
      <c r="N74" s="199"/>
    </row>
    <row r="75" spans="1:19" x14ac:dyDescent="0.25">
      <c r="A75" s="196"/>
      <c r="B75" s="196"/>
      <c r="C75" s="196"/>
      <c r="D75" s="198"/>
      <c r="E75" s="108"/>
      <c r="F75" s="203"/>
      <c r="G75" s="203"/>
      <c r="H75" s="203"/>
      <c r="I75" s="203"/>
      <c r="J75" s="203"/>
      <c r="K75" s="203"/>
      <c r="L75" s="203"/>
      <c r="M75" s="203"/>
      <c r="N75" s="199"/>
    </row>
    <row r="76" spans="1:19" x14ac:dyDescent="0.25">
      <c r="A76" s="196"/>
      <c r="B76" s="196"/>
      <c r="C76" s="196"/>
      <c r="D76" s="198"/>
      <c r="E76" s="108"/>
      <c r="F76" s="203"/>
      <c r="G76" s="203"/>
      <c r="H76" s="203"/>
      <c r="I76" s="203"/>
      <c r="J76" s="203"/>
      <c r="K76" s="203"/>
      <c r="L76" s="203"/>
      <c r="M76" s="203"/>
      <c r="N76" s="199"/>
    </row>
    <row r="77" spans="1:19" x14ac:dyDescent="0.25">
      <c r="A77" s="196"/>
      <c r="B77" s="196"/>
      <c r="C77" s="196"/>
      <c r="D77" s="198"/>
      <c r="E77" s="108"/>
      <c r="F77" s="203"/>
      <c r="G77" s="203"/>
      <c r="H77" s="203"/>
      <c r="I77" s="203"/>
      <c r="J77" s="203"/>
      <c r="K77" s="203"/>
      <c r="L77" s="203"/>
      <c r="M77" s="203"/>
      <c r="N77" s="199"/>
    </row>
    <row r="78" spans="1:19" x14ac:dyDescent="0.25">
      <c r="A78" s="196"/>
      <c r="B78" s="196"/>
      <c r="C78" s="196"/>
      <c r="D78" s="198"/>
      <c r="E78" s="108"/>
      <c r="F78" s="203"/>
      <c r="G78" s="203"/>
      <c r="H78" s="203"/>
      <c r="I78" s="203"/>
      <c r="J78" s="203"/>
      <c r="K78" s="203"/>
      <c r="L78" s="203"/>
      <c r="M78" s="203"/>
      <c r="N78" s="199"/>
    </row>
    <row r="79" spans="1:19" x14ac:dyDescent="0.25">
      <c r="A79" s="196"/>
      <c r="B79" s="196"/>
      <c r="C79" s="196"/>
      <c r="D79" s="198"/>
      <c r="E79" s="108"/>
      <c r="F79" s="203"/>
      <c r="G79" s="203"/>
      <c r="H79" s="203"/>
      <c r="I79" s="203"/>
      <c r="J79" s="203"/>
      <c r="K79" s="203"/>
      <c r="L79" s="203"/>
      <c r="M79" s="203"/>
      <c r="N79" s="199"/>
    </row>
    <row r="80" spans="1:19" x14ac:dyDescent="0.25">
      <c r="A80" s="196"/>
      <c r="B80" s="196"/>
      <c r="C80" s="196"/>
      <c r="D80" s="198"/>
      <c r="E80" s="108"/>
      <c r="F80" s="203"/>
      <c r="G80" s="203"/>
      <c r="H80" s="203"/>
      <c r="I80" s="203"/>
      <c r="J80" s="203"/>
      <c r="K80" s="203"/>
      <c r="L80" s="203"/>
      <c r="M80" s="203"/>
      <c r="N80" s="199"/>
    </row>
    <row r="81" spans="1:14" x14ac:dyDescent="0.25">
      <c r="A81" s="196"/>
      <c r="B81" s="196"/>
      <c r="C81" s="196"/>
      <c r="D81" s="198"/>
      <c r="E81" s="108"/>
      <c r="F81" s="203"/>
      <c r="G81" s="203"/>
      <c r="H81" s="203"/>
      <c r="I81" s="203"/>
      <c r="J81" s="203"/>
      <c r="K81" s="203"/>
      <c r="L81" s="203"/>
      <c r="M81" s="203"/>
      <c r="N81" s="199"/>
    </row>
    <row r="82" spans="1:14" x14ac:dyDescent="0.25">
      <c r="A82" s="196"/>
      <c r="B82" s="196"/>
      <c r="C82" s="196"/>
      <c r="D82" s="198"/>
      <c r="E82" s="108"/>
      <c r="F82" s="203"/>
      <c r="G82" s="203"/>
      <c r="H82" s="203"/>
      <c r="I82" s="203"/>
      <c r="J82" s="203"/>
      <c r="K82" s="203"/>
      <c r="L82" s="203"/>
      <c r="M82" s="203"/>
      <c r="N82" s="199"/>
    </row>
    <row r="83" spans="1:14" x14ac:dyDescent="0.25">
      <c r="F83" s="203"/>
      <c r="G83" s="203"/>
      <c r="H83" s="203"/>
      <c r="I83" s="203"/>
      <c r="J83" s="203"/>
      <c r="K83" s="203"/>
      <c r="L83" s="203"/>
      <c r="M83" s="203"/>
      <c r="N83" s="199"/>
    </row>
  </sheetData>
  <autoFilter ref="A22:E82"/>
  <mergeCells count="13">
    <mergeCell ref="A21:E21"/>
    <mergeCell ref="H21:L21"/>
    <mergeCell ref="A2:E2"/>
    <mergeCell ref="H2:L2"/>
    <mergeCell ref="A3:E3"/>
    <mergeCell ref="A8:L8"/>
    <mergeCell ref="A9:E9"/>
    <mergeCell ref="H9:L9"/>
    <mergeCell ref="O9:S9"/>
    <mergeCell ref="O10:P10"/>
    <mergeCell ref="R10:S10"/>
    <mergeCell ref="A15:E15"/>
    <mergeCell ref="H15:L1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4" customFormat="1" ht="12.75" x14ac:dyDescent="0.2">
      <c r="A2" s="88" t="s">
        <v>21</v>
      </c>
      <c r="B2" s="89" t="s">
        <v>24</v>
      </c>
      <c r="C2" s="90" t="s">
        <v>20</v>
      </c>
      <c r="D2" s="89" t="s">
        <v>20</v>
      </c>
      <c r="E2" s="84" t="s">
        <v>96</v>
      </c>
    </row>
    <row r="3" spans="1:5" s="84" customFormat="1" ht="12.75" x14ac:dyDescent="0.2">
      <c r="A3" s="106" t="s">
        <v>118</v>
      </c>
      <c r="B3" s="104" t="s">
        <v>97</v>
      </c>
      <c r="C3" s="105" t="s">
        <v>98</v>
      </c>
      <c r="D3" s="104" t="str">
        <f>A51</f>
        <v>Отказ в установлении</v>
      </c>
    </row>
    <row r="4" spans="1:5" s="84" customFormat="1" ht="12.75" x14ac:dyDescent="0.2">
      <c r="A4" s="91" t="s">
        <v>104</v>
      </c>
      <c r="B4" s="92">
        <v>43949</v>
      </c>
      <c r="C4" s="90" t="s">
        <v>119</v>
      </c>
      <c r="D4" s="89" t="str">
        <f>A50</f>
        <v>Установление/Увеличение лимита</v>
      </c>
    </row>
    <row r="5" spans="1:5" s="84" customFormat="1" ht="12.75" x14ac:dyDescent="0.2">
      <c r="A5" s="91" t="s">
        <v>116</v>
      </c>
      <c r="B5" s="89" t="s">
        <v>97</v>
      </c>
      <c r="C5" s="90" t="s">
        <v>120</v>
      </c>
      <c r="D5" s="89" t="str">
        <f>A49</f>
        <v>Закрытие / Приостановление</v>
      </c>
    </row>
    <row r="6" spans="1:5" s="84" customFormat="1" ht="12.75" x14ac:dyDescent="0.2">
      <c r="A6" s="91" t="s">
        <v>117</v>
      </c>
      <c r="B6" s="89" t="s">
        <v>97</v>
      </c>
      <c r="C6" s="90" t="s">
        <v>120</v>
      </c>
      <c r="D6" s="89" t="str">
        <f>A49</f>
        <v>Закрытие / Приостановление</v>
      </c>
    </row>
    <row r="7" spans="1:5" s="84" customFormat="1" ht="12.75" x14ac:dyDescent="0.2">
      <c r="A7" s="103" t="s">
        <v>100</v>
      </c>
      <c r="B7" s="104" t="s">
        <v>97</v>
      </c>
      <c r="C7" s="105"/>
      <c r="D7" s="104" t="str">
        <f>A52</f>
        <v>Аналитическая справка</v>
      </c>
    </row>
    <row r="8" spans="1:5" s="84" customFormat="1" ht="12.75" x14ac:dyDescent="0.2">
      <c r="A8" s="103" t="s">
        <v>103</v>
      </c>
      <c r="B8" s="104" t="s">
        <v>97</v>
      </c>
      <c r="C8" s="105"/>
      <c r="D8" s="104" t="str">
        <f>A52</f>
        <v>Аналитическая справка</v>
      </c>
    </row>
    <row r="9" spans="1:5" s="84" customFormat="1" ht="12.75" x14ac:dyDescent="0.2">
      <c r="A9" s="103" t="s">
        <v>121</v>
      </c>
      <c r="B9" s="104" t="s">
        <v>97</v>
      </c>
      <c r="C9" s="105"/>
      <c r="D9" s="104" t="str">
        <f>A52</f>
        <v>Аналитическая справка</v>
      </c>
    </row>
    <row r="10" spans="1:5" s="84" customFormat="1" ht="12.75" x14ac:dyDescent="0.2">
      <c r="A10" s="106" t="s">
        <v>99</v>
      </c>
      <c r="B10" s="104" t="s">
        <v>97</v>
      </c>
      <c r="C10" s="105"/>
      <c r="D10" s="104" t="str">
        <f>A52</f>
        <v>Аналитическая справка</v>
      </c>
    </row>
    <row r="11" spans="1:5" s="84" customFormat="1" ht="12.75" x14ac:dyDescent="0.2">
      <c r="A11" s="106" t="s">
        <v>122</v>
      </c>
      <c r="B11" s="104" t="s">
        <v>97</v>
      </c>
      <c r="C11" s="105"/>
      <c r="D11" s="104" t="str">
        <f>A52</f>
        <v>Аналитическая справка</v>
      </c>
    </row>
    <row r="12" spans="1:5" s="84" customFormat="1" ht="12.75" x14ac:dyDescent="0.2">
      <c r="A12" s="103" t="s">
        <v>123</v>
      </c>
      <c r="B12" s="104" t="s">
        <v>97</v>
      </c>
      <c r="C12" s="105"/>
      <c r="D12" s="104" t="str">
        <f>A52</f>
        <v>Аналитическая справка</v>
      </c>
    </row>
    <row r="13" spans="1:5" s="84" customFormat="1" ht="12.75" x14ac:dyDescent="0.2">
      <c r="A13" s="103" t="s">
        <v>104</v>
      </c>
      <c r="B13" s="104" t="s">
        <v>97</v>
      </c>
      <c r="C13" s="105"/>
      <c r="D13" s="104" t="str">
        <f>A52</f>
        <v>Аналитическая справка</v>
      </c>
    </row>
    <row r="14" spans="1:5" s="84" customFormat="1" ht="12.75" x14ac:dyDescent="0.2">
      <c r="A14" s="103" t="s">
        <v>124</v>
      </c>
      <c r="B14" s="104" t="s">
        <v>97</v>
      </c>
      <c r="C14" s="105"/>
      <c r="D14" s="104" t="str">
        <f>A52</f>
        <v>Аналитическая справка</v>
      </c>
    </row>
    <row r="15" spans="1:5" s="84" customFormat="1" ht="12.75" x14ac:dyDescent="0.2">
      <c r="A15" s="103" t="s">
        <v>125</v>
      </c>
      <c r="B15" s="104" t="s">
        <v>97</v>
      </c>
      <c r="C15" s="105"/>
      <c r="D15" s="104" t="str">
        <f>A52</f>
        <v>Аналитическая справка</v>
      </c>
    </row>
    <row r="16" spans="1:5" s="84" customFormat="1" ht="12.75" hidden="1" x14ac:dyDescent="0.2">
      <c r="A16" s="85"/>
      <c r="B16" s="82"/>
      <c r="C16" s="83"/>
      <c r="D16" s="82"/>
    </row>
    <row r="17" spans="1:5" s="84" customFormat="1" ht="12.75" hidden="1" x14ac:dyDescent="0.2">
      <c r="A17" s="85"/>
      <c r="B17" s="82"/>
      <c r="C17" s="83"/>
      <c r="D17" s="82"/>
    </row>
    <row r="18" spans="1:5" s="84" customFormat="1" ht="12.75" hidden="1" x14ac:dyDescent="0.2">
      <c r="A18" s="85"/>
      <c r="B18" s="82"/>
      <c r="C18" s="83"/>
      <c r="D18" s="85"/>
    </row>
    <row r="19" spans="1:5" s="84" customFormat="1" ht="12.75" hidden="1" x14ac:dyDescent="0.2">
      <c r="A19" s="85"/>
      <c r="B19" s="82"/>
      <c r="C19" s="83"/>
      <c r="D19" s="85"/>
    </row>
    <row r="20" spans="1:5" s="84" customFormat="1" ht="12.75" hidden="1" x14ac:dyDescent="0.2">
      <c r="A20" s="85"/>
      <c r="B20" s="82"/>
      <c r="C20" s="83"/>
      <c r="D20" s="85"/>
    </row>
    <row r="21" spans="1:5" s="84" customFormat="1" ht="12.75" hidden="1" x14ac:dyDescent="0.2">
      <c r="A21" s="85"/>
      <c r="B21" s="82"/>
      <c r="C21" s="83"/>
      <c r="D21" s="85"/>
    </row>
    <row r="22" spans="1:5" s="84" customFormat="1" ht="12.75" hidden="1" x14ac:dyDescent="0.2">
      <c r="A22" s="85"/>
      <c r="B22" s="82"/>
      <c r="C22" s="83"/>
      <c r="D22" s="85"/>
    </row>
    <row r="23" spans="1:5" s="84" customFormat="1" ht="12.75" hidden="1" x14ac:dyDescent="0.2">
      <c r="A23" s="85"/>
      <c r="B23" s="82"/>
      <c r="C23" s="83"/>
      <c r="D23" s="85"/>
    </row>
    <row r="24" spans="1:5" s="84" customFormat="1" ht="12.75" x14ac:dyDescent="0.2">
      <c r="A24" s="85"/>
      <c r="B24" s="82"/>
      <c r="C24" s="83"/>
      <c r="D24" s="85"/>
    </row>
    <row r="25" spans="1:5" x14ac:dyDescent="0.25">
      <c r="A25" s="69"/>
      <c r="B25" s="70"/>
      <c r="C25" s="71"/>
      <c r="D25" s="69"/>
    </row>
    <row r="26" spans="1:5" x14ac:dyDescent="0.25">
      <c r="A26" s="88" t="s">
        <v>34</v>
      </c>
      <c r="B26" s="99" t="s">
        <v>24</v>
      </c>
      <c r="C26" s="100" t="s">
        <v>20</v>
      </c>
      <c r="D26" s="99" t="s">
        <v>20</v>
      </c>
    </row>
    <row r="27" spans="1:5" x14ac:dyDescent="0.25">
      <c r="A27" s="88"/>
      <c r="B27" s="99"/>
      <c r="C27" s="100"/>
      <c r="D27" s="99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40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3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3" customFormat="1" hidden="1" x14ac:dyDescent="0.25">
      <c r="A47" s="94" t="s">
        <v>25</v>
      </c>
      <c r="B47" s="94">
        <f>SUM(B48:B53)</f>
        <v>13</v>
      </c>
      <c r="C47" s="94">
        <f>SUM(C48:C51)</f>
        <v>0</v>
      </c>
      <c r="D47" s="94">
        <f>SUM(D48:D51)</f>
        <v>4</v>
      </c>
      <c r="E47" s="95"/>
    </row>
    <row r="48" spans="1:5" s="98" customFormat="1" x14ac:dyDescent="0.25">
      <c r="A48" s="96" t="s">
        <v>23</v>
      </c>
      <c r="B48" s="96"/>
      <c r="C48" s="96"/>
      <c r="D48" s="96">
        <f>B48+C48</f>
        <v>0</v>
      </c>
      <c r="E48" s="97" t="s">
        <v>130</v>
      </c>
    </row>
    <row r="49" spans="1:5" s="72" customFormat="1" ht="30" x14ac:dyDescent="0.25">
      <c r="A49" s="96" t="s">
        <v>26</v>
      </c>
      <c r="B49" s="96">
        <v>2</v>
      </c>
      <c r="C49" s="77"/>
      <c r="D49" s="96">
        <f>B49+C49</f>
        <v>2</v>
      </c>
      <c r="E49" s="101" t="s">
        <v>128</v>
      </c>
    </row>
    <row r="50" spans="1:5" s="72" customFormat="1" ht="30" x14ac:dyDescent="0.25">
      <c r="A50" s="96" t="s">
        <v>27</v>
      </c>
      <c r="B50" s="96">
        <v>1</v>
      </c>
      <c r="C50" s="77"/>
      <c r="D50" s="96">
        <f t="shared" ref="D50:D53" si="0">B50+C50</f>
        <v>1</v>
      </c>
      <c r="E50" s="102" t="s">
        <v>126</v>
      </c>
    </row>
    <row r="51" spans="1:5" s="98" customFormat="1" ht="30" x14ac:dyDescent="0.25">
      <c r="A51" s="96" t="s">
        <v>32</v>
      </c>
      <c r="B51" s="96">
        <v>1</v>
      </c>
      <c r="C51" s="96"/>
      <c r="D51" s="96">
        <f t="shared" si="0"/>
        <v>1</v>
      </c>
      <c r="E51" s="96" t="s">
        <v>127</v>
      </c>
    </row>
    <row r="52" spans="1:5" s="98" customFormat="1" ht="30" x14ac:dyDescent="0.25">
      <c r="A52" s="96" t="s">
        <v>33</v>
      </c>
      <c r="B52" s="96">
        <v>9</v>
      </c>
      <c r="C52" s="96"/>
      <c r="D52" s="96">
        <f t="shared" si="0"/>
        <v>9</v>
      </c>
      <c r="E52" s="96" t="s">
        <v>129</v>
      </c>
    </row>
    <row r="53" spans="1:5" s="72" customFormat="1" x14ac:dyDescent="0.25">
      <c r="A53" s="96" t="s">
        <v>31</v>
      </c>
      <c r="B53" s="77"/>
      <c r="C53" s="77"/>
      <c r="D53" s="96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доля  в выпуске</vt:lpstr>
      <vt:lpstr>PositionPortfolioReport 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2024-04-18T10:07:50Z</dcterms:modified>
</cp:coreProperties>
</file>
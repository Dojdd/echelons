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866" activeTab="6"/>
  </bookViews>
  <sheets>
    <sheet name="1" sheetId="16" r:id="rId1"/>
    <sheet name="портефль до погашения" sheetId="19" r:id="rId2"/>
    <sheet name="страт портфель" sheetId="33" r:id="rId3"/>
    <sheet name="РейтPD FRED Graph" sheetId="20" r:id="rId4"/>
    <sheet name="Инвест политика" sheetId="25" r:id="rId5"/>
    <sheet name="Справочник отрасли" sheetId="24" r:id="rId6"/>
    <sheet name="Эшелоны результат" sheetId="28" r:id="rId7"/>
    <sheet name="Синдикаты" sheetId="29" state="hidden" r:id="rId8"/>
    <sheet name="для стресс-теста" sheetId="30" r:id="rId9"/>
    <sheet name="Для КУАП" sheetId="18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DumProb">OFFSET([1]BetaSolver!$R$4,0,0,COUNTA([1]BetaSolver!$R$5:$R$1000),1)</definedName>
    <definedName name="_xlnm._FilterDatabase" localSheetId="9" hidden="1">'Для КУАП'!$A$2:$E$24</definedName>
    <definedName name="_xlnm._FilterDatabase" localSheetId="8" hidden="1">'для стресс-теста'!$A$22:$E$82</definedName>
    <definedName name="_xlnm._FilterDatabase" localSheetId="4" hidden="1">'Инвест политика'!$A$25:$V$125</definedName>
    <definedName name="_xlnm._FilterDatabase" localSheetId="1" hidden="1">'портефль до погашения'!$A$7:$O$73</definedName>
    <definedName name="_xlnm._FilterDatabase" localSheetId="3" hidden="1">'РейтPD FRED Graph'!#REF!</definedName>
    <definedName name="_xlnm._FilterDatabase" localSheetId="5" hidden="1">'Справочник отрасли'!$A$1:$D$56</definedName>
    <definedName name="_xlnm._FilterDatabase" localSheetId="2" hidden="1">'страт портфель'!$A$20:$N$33</definedName>
    <definedName name="a" localSheetId="3">#REF!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3">#REF!</definedName>
    <definedName name="acdr_average" localSheetId="2">#REF!</definedName>
    <definedName name="acdr_average">#REF!</definedName>
    <definedName name="acdr_avg_head" localSheetId="3">#REF!</definedName>
    <definedName name="acdr_avg_head" localSheetId="2">#REF!</definedName>
    <definedName name="acdr_avg_head">#REF!</definedName>
    <definedName name="acdr_cohort_annual_default" localSheetId="3">#REF!</definedName>
    <definedName name="acdr_cohort_annual_default" localSheetId="2">#REF!</definedName>
    <definedName name="acdr_cohort_annual_default">#REF!</definedName>
    <definedName name="acdr_cohort_cum_default" localSheetId="3">#REF!</definedName>
    <definedName name="acdr_cohort_cum_default" localSheetId="2">#REF!</definedName>
    <definedName name="acdr_cohort_cum_default">#REF!</definedName>
    <definedName name="acdr_cohort_name" localSheetId="3">#REF!</definedName>
    <definedName name="acdr_cohort_name" localSheetId="2">#REF!</definedName>
    <definedName name="acdr_cohort_name">#REF!</definedName>
    <definedName name="acdr_cohort_year" localSheetId="3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3">#REF!</definedName>
    <definedName name="asdfasdfas" localSheetId="2">#REF!</definedName>
    <definedName name="asdfasdfas">#REF!</definedName>
    <definedName name="b" localSheetId="3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8">'для стресс-теста'!ButtonGoto</definedName>
    <definedName name="ButtonGoto" localSheetId="3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lient" localSheetId="2">#REF!</definedName>
    <definedName name="client">#REF!</definedName>
    <definedName name="Code_rang1" localSheetId="2">#REF!</definedName>
    <definedName name="Code_rang1">#REF!</definedName>
    <definedName name="Code_rang1_1" localSheetId="2">#REF!</definedName>
    <definedName name="Code_rang1_1">#REF!</definedName>
    <definedName name="Code_rang1_2" localSheetId="2">#REF!</definedName>
    <definedName name="Code_rang1_2">#REF!</definedName>
    <definedName name="Code_rang1_3" localSheetId="2">#REF!</definedName>
    <definedName name="Code_rang1_3">#REF!</definedName>
    <definedName name="Code_rang1_4" localSheetId="2">#REF!</definedName>
    <definedName name="Code_rang1_4">#REF!</definedName>
    <definedName name="Code_rang1_5" localSheetId="2">#REF!</definedName>
    <definedName name="Code_rang1_5">#REF!</definedName>
    <definedName name="Code_rang1_6" localSheetId="2">#REF!</definedName>
    <definedName name="Code_rang1_6">#REF!</definedName>
    <definedName name="Code_rang1_7" localSheetId="2">#REF!</definedName>
    <definedName name="Code_rang1_7">#REF!</definedName>
    <definedName name="Code_rang1_8" localSheetId="2">#REF!</definedName>
    <definedName name="Code_rang1_8">#REF!</definedName>
    <definedName name="Code_rang2" localSheetId="2">#REF!</definedName>
    <definedName name="Code_rang2">#REF!</definedName>
    <definedName name="Code_rang2_2" localSheetId="2">#REF!</definedName>
    <definedName name="Code_rang2_2">#REF!</definedName>
    <definedName name="Code_rang2_3" localSheetId="2">#REF!</definedName>
    <definedName name="Code_rang2_3">#REF!</definedName>
    <definedName name="Code_rang2_4" localSheetId="2">#REF!</definedName>
    <definedName name="Code_rang2_4">#REF!</definedName>
    <definedName name="Code_rang2_5" localSheetId="2">#REF!</definedName>
    <definedName name="Code_rang2_5">#REF!</definedName>
    <definedName name="Code_rang2_6" localSheetId="2">#REF!</definedName>
    <definedName name="Code_rang2_6">#REF!</definedName>
    <definedName name="Code_rang2_7" localSheetId="2">#REF!</definedName>
    <definedName name="Code_rang2_7">#REF!</definedName>
    <definedName name="Code_rang2_8" localSheetId="2">#REF!</definedName>
    <definedName name="Code_rang2_8">#REF!</definedName>
    <definedName name="Code_rang3" localSheetId="2">#REF!</definedName>
    <definedName name="Code_rang3">#REF!</definedName>
    <definedName name="Code_rang3_3" localSheetId="2">#REF!</definedName>
    <definedName name="Code_rang3_3">#REF!</definedName>
    <definedName name="Code_rang3_4" localSheetId="2">#REF!</definedName>
    <definedName name="Code_rang3_4">#REF!</definedName>
    <definedName name="Code_rang3_5" localSheetId="2">#REF!</definedName>
    <definedName name="Code_rang3_5">#REF!</definedName>
    <definedName name="Code_rang3_6" localSheetId="2">#REF!</definedName>
    <definedName name="Code_rang3_6">#REF!</definedName>
    <definedName name="Code_rang3_7" localSheetId="2">#REF!</definedName>
    <definedName name="Code_rang3_7">#REF!</definedName>
    <definedName name="Code_rang3_8" localSheetId="2">#REF!</definedName>
    <definedName name="Code_rang3_8">#REF!</definedName>
    <definedName name="Code_rang4" localSheetId="2">#REF!</definedName>
    <definedName name="Code_rang4">#REF!</definedName>
    <definedName name="Code_rang4_4" localSheetId="2">#REF!</definedName>
    <definedName name="Code_rang4_4">#REF!</definedName>
    <definedName name="Code_rang4_5" localSheetId="2">#REF!</definedName>
    <definedName name="Code_rang4_5">#REF!</definedName>
    <definedName name="Code_rang4_6" localSheetId="2">#REF!</definedName>
    <definedName name="Code_rang4_6">#REF!</definedName>
    <definedName name="Code_rang4_7" localSheetId="2">#REF!</definedName>
    <definedName name="Code_rang4_7">#REF!</definedName>
    <definedName name="Code_rang4_8" localSheetId="2">#REF!</definedName>
    <definedName name="Code_rang4_8">#REF!</definedName>
    <definedName name="Code_rang5" localSheetId="2">#REF!</definedName>
    <definedName name="Code_rang5">#REF!</definedName>
    <definedName name="Code_rang5_5" localSheetId="2">#REF!</definedName>
    <definedName name="Code_rang5_5">#REF!</definedName>
    <definedName name="Code_rang5_6" localSheetId="2">#REF!</definedName>
    <definedName name="Code_rang5_6">#REF!</definedName>
    <definedName name="Code_rang5_7" localSheetId="2">#REF!</definedName>
    <definedName name="Code_rang5_7">#REF!</definedName>
    <definedName name="Code_rang5_8" localSheetId="2">#REF!</definedName>
    <definedName name="Code_rang5_8">#REF!</definedName>
    <definedName name="Code_rang6" localSheetId="2">#REF!</definedName>
    <definedName name="Code_rang6">#REF!</definedName>
    <definedName name="Code_rang6_6" localSheetId="2">#REF!</definedName>
    <definedName name="Code_rang6_6">#REF!</definedName>
    <definedName name="Code_rang6_7" localSheetId="2">#REF!</definedName>
    <definedName name="Code_rang6_7">#REF!</definedName>
    <definedName name="Code_rang6_8" localSheetId="2">#REF!</definedName>
    <definedName name="Code_rang6_8">#REF!</definedName>
    <definedName name="Code_rang7" localSheetId="2">#REF!</definedName>
    <definedName name="Code_rang7">#REF!</definedName>
    <definedName name="Code_rang7_7" localSheetId="2">#REF!</definedName>
    <definedName name="Code_rang7_7">#REF!</definedName>
    <definedName name="Code_rang7_8" localSheetId="2">#REF!</definedName>
    <definedName name="Code_rang7_8">#REF!</definedName>
    <definedName name="Code_rang8" localSheetId="2">#REF!</definedName>
    <definedName name="Code_rang8">#REF!</definedName>
    <definedName name="Code_rang8_8" localSheetId="2">#REF!</definedName>
    <definedName name="Code_rang8_8">#REF!</definedName>
    <definedName name="CreditMetrixPropabilities" localSheetId="8">'для стресс-теста'!CreditMetrixPropabilities</definedName>
    <definedName name="CreditMetrixPropabilities" localSheetId="3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8">OFFSET(CurrenciesStart,0,1,COUNTA(CurrencyRecords),2)</definedName>
    <definedName name="Currency_Lookback" localSheetId="3">OFFSET(CurrenciesStart,0,1,COUNTA(CurrencyRecords),2)</definedName>
    <definedName name="Currency_Lookback">OFFSET(CurrenciesStart,0,1,COUNTA(CurrencyRecords),2)</definedName>
    <definedName name="CurrencyChoices" localSheetId="8">OFFSET(CurrenciesStart,0,0,COUNTA(CurrencyRecords),1)</definedName>
    <definedName name="CurrencyChoices" localSheetId="3">OFFSET(CurrenciesStart,0,0,COUNTA(CurrencyRecords),1)</definedName>
    <definedName name="CurrencyChoices">OFFSET(CurrenciesStart,0,0,COUNTA(CurrencyRecords),1)</definedName>
    <definedName name="CurrencyLookup" localSheetId="8">OFFSET(CurrenciesStart,0,0,COUNTA(CurrencyRecords),2)</definedName>
    <definedName name="CurrencyLookup" localSheetId="3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 localSheetId="2">'[3]Letter Numerators'!#REF!</definedName>
    <definedName name="d">'[3]Letter Numerators'!#REF!</definedName>
    <definedName name="Day_cur_12" localSheetId="2">#REF!</definedName>
    <definedName name="Day_cur_12">#REF!</definedName>
    <definedName name="Day_next_12" localSheetId="2">#REF!</definedName>
    <definedName name="Day_next_12">#REF!</definedName>
    <definedName name="Day_next_3" localSheetId="2">#REF!</definedName>
    <definedName name="Day_next_3">#REF!</definedName>
    <definedName name="Day_next_6" localSheetId="2">#REF!</definedName>
    <definedName name="Day_next_6">#REF!</definedName>
    <definedName name="Day_next_9" localSheetId="2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 localSheetId="2">'[3]Alpha Numeric WACD Rates'!#REF!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 localSheetId="2">#REF!</definedName>
    <definedName name="empty">#REF!</definedName>
    <definedName name="ewrer3r3" localSheetId="2">'[4]V-46'!#REF!</definedName>
    <definedName name="ewrer3r3">'[4]V-46'!#REF!</definedName>
    <definedName name="ExpLossRate">'[1]Model Inputs'!$D$18</definedName>
    <definedName name="ExpLossRates">'[1]Source Tables'!$J$32:$N$52</definedName>
    <definedName name="f" localSheetId="3">#REF!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 localSheetId="2">'[3]Letter Cumulative Default Rates'!#REF!</definedName>
    <definedName name="fgsdfgqfa">'[3]Letter Cumulative Default Rates'!#REF!</definedName>
    <definedName name="fil" localSheetId="2">#REF!</definedName>
    <definedName name="fil">#REF!</definedName>
    <definedName name="g" localSheetId="3">#REF!</definedName>
    <definedName name="g" localSheetId="2">#REF!</definedName>
    <definedName name="g">#REF!</definedName>
    <definedName name="h" localSheetId="3">#REF!</definedName>
    <definedName name="h" localSheetId="2">#REF!</definedName>
    <definedName name="h">#REF!</definedName>
    <definedName name="header" localSheetId="2">#REF!</definedName>
    <definedName name="header">#REF!</definedName>
    <definedName name="High">"High"</definedName>
    <definedName name="i" localSheetId="2">#REF!</definedName>
    <definedName name="i">#REF!</definedName>
    <definedName name="Index" localSheetId="3">#REF!</definedName>
    <definedName name="Index" localSheetId="2">#REF!</definedName>
    <definedName name="Index">#REF!</definedName>
    <definedName name="inn" localSheetId="2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 localSheetId="2">#REF!</definedName>
    <definedName name="itog1">#REF!</definedName>
    <definedName name="j" localSheetId="3">#REF!</definedName>
    <definedName name="j" localSheetId="2">#REF!</definedName>
    <definedName name="j">#REF!</definedName>
    <definedName name="k" localSheetId="3">#REF!</definedName>
    <definedName name="k" localSheetId="2">#REF!</definedName>
    <definedName name="k">#REF!</definedName>
    <definedName name="kl" localSheetId="3">'[3]Letter Numerators'!#REF!</definedName>
    <definedName name="kl" localSheetId="2">'[3]Letter Numerators'!#REF!</definedName>
    <definedName name="kl">'[3]Letter Numerators'!#REF!</definedName>
    <definedName name="kv1_go_rang1" localSheetId="2">#REF!</definedName>
    <definedName name="kv1_go_rang1">#REF!</definedName>
    <definedName name="kv1_go_rang2" localSheetId="2">#REF!</definedName>
    <definedName name="kv1_go_rang2">#REF!</definedName>
    <definedName name="kv1_go_rang3" localSheetId="2">#REF!</definedName>
    <definedName name="kv1_go_rang3">#REF!</definedName>
    <definedName name="kv1_go_rang4" localSheetId="2">#REF!</definedName>
    <definedName name="kv1_go_rang4">#REF!</definedName>
    <definedName name="kv1_go_rang5" localSheetId="2">#REF!</definedName>
    <definedName name="kv1_go_rang5">#REF!</definedName>
    <definedName name="kv1_go_rang6" localSheetId="2">#REF!</definedName>
    <definedName name="kv1_go_rang6">#REF!</definedName>
    <definedName name="kv1_go_rang7" localSheetId="2">#REF!</definedName>
    <definedName name="kv1_go_rang7">#REF!</definedName>
    <definedName name="kv1_go_rang8" localSheetId="2">#REF!</definedName>
    <definedName name="kv1_go_rang8">#REF!</definedName>
    <definedName name="kv1_post_rang1" localSheetId="2">#REF!</definedName>
    <definedName name="kv1_post_rang1">#REF!</definedName>
    <definedName name="kv1_post_rang2" localSheetId="2">#REF!</definedName>
    <definedName name="kv1_post_rang2">#REF!</definedName>
    <definedName name="kv1_post_rang3" localSheetId="2">#REF!</definedName>
    <definedName name="kv1_post_rang3">#REF!</definedName>
    <definedName name="kv1_post_rang4" localSheetId="2">#REF!</definedName>
    <definedName name="kv1_post_rang4">#REF!</definedName>
    <definedName name="kv1_post_rang5" localSheetId="2">#REF!</definedName>
    <definedName name="kv1_post_rang5">#REF!</definedName>
    <definedName name="kv1_post_rang6" localSheetId="2">#REF!</definedName>
    <definedName name="kv1_post_rang6">#REF!</definedName>
    <definedName name="kv1_post_rang7" localSheetId="2">#REF!</definedName>
    <definedName name="kv1_post_rang7">#REF!</definedName>
    <definedName name="kv1_post_rang8" localSheetId="2">#REF!</definedName>
    <definedName name="kv1_post_rang8">#REF!</definedName>
    <definedName name="kv1_tp_rang1" localSheetId="2">#REF!</definedName>
    <definedName name="kv1_tp_rang1">#REF!</definedName>
    <definedName name="kv1_tp_rang2" localSheetId="2">#REF!</definedName>
    <definedName name="kv1_tp_rang2">#REF!</definedName>
    <definedName name="kv1_tp_rang3" localSheetId="2">#REF!</definedName>
    <definedName name="kv1_tp_rang3">#REF!</definedName>
    <definedName name="kv1_tp_rang4" localSheetId="2">#REF!</definedName>
    <definedName name="kv1_tp_rang4">#REF!</definedName>
    <definedName name="kv1_tp_rang5" localSheetId="2">#REF!</definedName>
    <definedName name="kv1_tp_rang5">#REF!</definedName>
    <definedName name="kv1_tp_rang6" localSheetId="2">#REF!</definedName>
    <definedName name="kv1_tp_rang6">#REF!</definedName>
    <definedName name="kv1_tp_rang7" localSheetId="2">#REF!</definedName>
    <definedName name="kv1_tp_rang7">#REF!</definedName>
    <definedName name="kv1_tp_rang8" localSheetId="2">#REF!</definedName>
    <definedName name="kv1_tp_rang8">#REF!</definedName>
    <definedName name="kv1_vrem_rang1" localSheetId="2">#REF!</definedName>
    <definedName name="kv1_vrem_rang1">#REF!</definedName>
    <definedName name="kv1_vrem_rang2" localSheetId="2">#REF!</definedName>
    <definedName name="kv1_vrem_rang2">#REF!</definedName>
    <definedName name="kv1_vrem_rang3" localSheetId="2">#REF!</definedName>
    <definedName name="kv1_vrem_rang3">#REF!</definedName>
    <definedName name="kv1_vrem_rang4" localSheetId="2">#REF!</definedName>
    <definedName name="kv1_vrem_rang4">#REF!</definedName>
    <definedName name="kv1_vrem_rang5" localSheetId="2">#REF!</definedName>
    <definedName name="kv1_vrem_rang5">#REF!</definedName>
    <definedName name="kv1_vrem_rang6" localSheetId="2">#REF!</definedName>
    <definedName name="kv1_vrem_rang6">#REF!</definedName>
    <definedName name="kv1_vrem_rang7" localSheetId="2">#REF!</definedName>
    <definedName name="kv1_vrem_rang7">#REF!</definedName>
    <definedName name="kv1_vrem_rang8" localSheetId="2">#REF!</definedName>
    <definedName name="kv1_vrem_rang8">#REF!</definedName>
    <definedName name="kv1_zel_rang1" localSheetId="2">#REF!</definedName>
    <definedName name="kv1_zel_rang1">#REF!</definedName>
    <definedName name="kv1_zel_rang2" localSheetId="2">#REF!</definedName>
    <definedName name="kv1_zel_rang2">#REF!</definedName>
    <definedName name="kv1_zel_rang3" localSheetId="2">#REF!</definedName>
    <definedName name="kv1_zel_rang3">#REF!</definedName>
    <definedName name="kv1_zel_rang4" localSheetId="2">#REF!</definedName>
    <definedName name="kv1_zel_rang4">#REF!</definedName>
    <definedName name="kv1_zel_rang5" localSheetId="2">#REF!</definedName>
    <definedName name="kv1_zel_rang5">#REF!</definedName>
    <definedName name="kv1_zel_rang6" localSheetId="2">#REF!</definedName>
    <definedName name="kv1_zel_rang6">#REF!</definedName>
    <definedName name="kv1_zel_rang7" localSheetId="2">#REF!</definedName>
    <definedName name="kv1_zel_rang7">#REF!</definedName>
    <definedName name="kv1_zel_rang8" localSheetId="2">#REF!</definedName>
    <definedName name="kv1_zel_rang8">#REF!</definedName>
    <definedName name="kv2_go_rang1" localSheetId="2">#REF!</definedName>
    <definedName name="kv2_go_rang1">#REF!</definedName>
    <definedName name="kv2_go_rang2" localSheetId="2">#REF!</definedName>
    <definedName name="kv2_go_rang2">#REF!</definedName>
    <definedName name="kv2_go_rang3" localSheetId="2">#REF!</definedName>
    <definedName name="kv2_go_rang3">#REF!</definedName>
    <definedName name="kv2_go_rang4" localSheetId="2">#REF!</definedName>
    <definedName name="kv2_go_rang4">#REF!</definedName>
    <definedName name="kv2_go_rang5" localSheetId="2">#REF!</definedName>
    <definedName name="kv2_go_rang5">#REF!</definedName>
    <definedName name="kv2_go_rang6" localSheetId="2">#REF!</definedName>
    <definedName name="kv2_go_rang6">#REF!</definedName>
    <definedName name="kv2_go_rang7" localSheetId="2">#REF!</definedName>
    <definedName name="kv2_go_rang7">#REF!</definedName>
    <definedName name="kv2_go_rang8" localSheetId="2">#REF!</definedName>
    <definedName name="kv2_go_rang8">#REF!</definedName>
    <definedName name="kv2_post_rang1" localSheetId="2">#REF!</definedName>
    <definedName name="kv2_post_rang1">#REF!</definedName>
    <definedName name="kv2_post_rang2" localSheetId="2">#REF!</definedName>
    <definedName name="kv2_post_rang2">#REF!</definedName>
    <definedName name="kv2_post_rang3" localSheetId="2">#REF!</definedName>
    <definedName name="kv2_post_rang3">#REF!</definedName>
    <definedName name="kv2_post_rang4" localSheetId="2">#REF!</definedName>
    <definedName name="kv2_post_rang4">#REF!</definedName>
    <definedName name="kv2_post_rang5" localSheetId="2">#REF!</definedName>
    <definedName name="kv2_post_rang5">#REF!</definedName>
    <definedName name="kv2_post_rang6" localSheetId="2">#REF!</definedName>
    <definedName name="kv2_post_rang6">#REF!</definedName>
    <definedName name="kv2_post_rang7" localSheetId="2">#REF!</definedName>
    <definedName name="kv2_post_rang7">#REF!</definedName>
    <definedName name="kv2_post_rang8" localSheetId="2">#REF!</definedName>
    <definedName name="kv2_post_rang8">#REF!</definedName>
    <definedName name="kv2_tp_rang1" localSheetId="2">#REF!</definedName>
    <definedName name="kv2_tp_rang1">#REF!</definedName>
    <definedName name="kv2_tp_rang2" localSheetId="2">#REF!</definedName>
    <definedName name="kv2_tp_rang2">#REF!</definedName>
    <definedName name="kv2_tp_rang3" localSheetId="2">#REF!</definedName>
    <definedName name="kv2_tp_rang3">#REF!</definedName>
    <definedName name="kv2_tp_rang4" localSheetId="2">#REF!</definedName>
    <definedName name="kv2_tp_rang4">#REF!</definedName>
    <definedName name="kv2_tp_rang5" localSheetId="2">#REF!</definedName>
    <definedName name="kv2_tp_rang5">#REF!</definedName>
    <definedName name="kv2_tp_rang6" localSheetId="2">#REF!</definedName>
    <definedName name="kv2_tp_rang6">#REF!</definedName>
    <definedName name="kv2_tp_rang7" localSheetId="2">#REF!</definedName>
    <definedName name="kv2_tp_rang7">#REF!</definedName>
    <definedName name="kv2_tp_rang8" localSheetId="2">#REF!</definedName>
    <definedName name="kv2_tp_rang8">#REF!</definedName>
    <definedName name="kv2_vrem_rang1" localSheetId="2">#REF!</definedName>
    <definedName name="kv2_vrem_rang1">#REF!</definedName>
    <definedName name="kv2_vrem_rang2" localSheetId="2">#REF!</definedName>
    <definedName name="kv2_vrem_rang2">#REF!</definedName>
    <definedName name="kv2_vrem_rang3" localSheetId="2">#REF!</definedName>
    <definedName name="kv2_vrem_rang3">#REF!</definedName>
    <definedName name="kv2_vrem_rang4" localSheetId="2">#REF!</definedName>
    <definedName name="kv2_vrem_rang4">#REF!</definedName>
    <definedName name="kv2_vrem_rang5" localSheetId="2">#REF!</definedName>
    <definedName name="kv2_vrem_rang5">#REF!</definedName>
    <definedName name="kv2_vrem_rang6" localSheetId="2">#REF!</definedName>
    <definedName name="kv2_vrem_rang6">#REF!</definedName>
    <definedName name="kv2_vrem_rang7" localSheetId="2">#REF!</definedName>
    <definedName name="kv2_vrem_rang7">#REF!</definedName>
    <definedName name="kv2_vrem_rang8" localSheetId="2">#REF!</definedName>
    <definedName name="kv2_vrem_rang8">#REF!</definedName>
    <definedName name="kv2_zel_rang1" localSheetId="2">#REF!</definedName>
    <definedName name="kv2_zel_rang1">#REF!</definedName>
    <definedName name="kv2_zel_rang2" localSheetId="2">#REF!</definedName>
    <definedName name="kv2_zel_rang2">#REF!</definedName>
    <definedName name="kv2_zel_rang3" localSheetId="2">#REF!</definedName>
    <definedName name="kv2_zel_rang3">#REF!</definedName>
    <definedName name="kv2_zel_rang4" localSheetId="2">#REF!</definedName>
    <definedName name="kv2_zel_rang4">#REF!</definedName>
    <definedName name="kv2_zel_rang5" localSheetId="2">#REF!</definedName>
    <definedName name="kv2_zel_rang5">#REF!</definedName>
    <definedName name="kv2_zel_rang6" localSheetId="2">#REF!</definedName>
    <definedName name="kv2_zel_rang6">#REF!</definedName>
    <definedName name="kv2_zel_rang7" localSheetId="2">#REF!</definedName>
    <definedName name="kv2_zel_rang7">#REF!</definedName>
    <definedName name="kv2_zel_rang8" localSheetId="2">#REF!</definedName>
    <definedName name="kv2_zel_rang8">#REF!</definedName>
    <definedName name="kv3_go_rang1" localSheetId="2">#REF!</definedName>
    <definedName name="kv3_go_rang1">#REF!</definedName>
    <definedName name="kv3_go_rang2" localSheetId="2">#REF!</definedName>
    <definedName name="kv3_go_rang2">#REF!</definedName>
    <definedName name="kv3_go_rang3" localSheetId="2">#REF!</definedName>
    <definedName name="kv3_go_rang3">#REF!</definedName>
    <definedName name="kv3_go_rang4" localSheetId="2">#REF!</definedName>
    <definedName name="kv3_go_rang4">#REF!</definedName>
    <definedName name="kv3_go_rang5" localSheetId="2">#REF!</definedName>
    <definedName name="kv3_go_rang5">#REF!</definedName>
    <definedName name="kv3_go_rang6" localSheetId="2">#REF!</definedName>
    <definedName name="kv3_go_rang6">#REF!</definedName>
    <definedName name="kv3_go_rang7" localSheetId="2">#REF!</definedName>
    <definedName name="kv3_go_rang7">#REF!</definedName>
    <definedName name="kv3_go_rang8" localSheetId="2">#REF!</definedName>
    <definedName name="kv3_go_rang8">#REF!</definedName>
    <definedName name="kv3_post_rang1" localSheetId="2">#REF!</definedName>
    <definedName name="kv3_post_rang1">#REF!</definedName>
    <definedName name="kv3_post_rang2" localSheetId="2">#REF!</definedName>
    <definedName name="kv3_post_rang2">#REF!</definedName>
    <definedName name="kv3_post_rang3" localSheetId="2">#REF!</definedName>
    <definedName name="kv3_post_rang3">#REF!</definedName>
    <definedName name="kv3_post_rang4" localSheetId="2">#REF!</definedName>
    <definedName name="kv3_post_rang4">#REF!</definedName>
    <definedName name="kv3_post_rang5" localSheetId="2">#REF!</definedName>
    <definedName name="kv3_post_rang5">#REF!</definedName>
    <definedName name="kv3_post_rang6" localSheetId="2">#REF!</definedName>
    <definedName name="kv3_post_rang6">#REF!</definedName>
    <definedName name="kv3_post_rang7" localSheetId="2">#REF!</definedName>
    <definedName name="kv3_post_rang7">#REF!</definedName>
    <definedName name="kv3_post_rang8" localSheetId="2">#REF!</definedName>
    <definedName name="kv3_post_rang8">#REF!</definedName>
    <definedName name="kv3_tp_rang1" localSheetId="2">#REF!</definedName>
    <definedName name="kv3_tp_rang1">#REF!</definedName>
    <definedName name="kv3_tp_rang2" localSheetId="2">#REF!</definedName>
    <definedName name="kv3_tp_rang2">#REF!</definedName>
    <definedName name="kv3_tp_rang3" localSheetId="2">#REF!</definedName>
    <definedName name="kv3_tp_rang3">#REF!</definedName>
    <definedName name="kv3_tp_rang4" localSheetId="2">#REF!</definedName>
    <definedName name="kv3_tp_rang4">#REF!</definedName>
    <definedName name="kv3_tp_rang5" localSheetId="2">#REF!</definedName>
    <definedName name="kv3_tp_rang5">#REF!</definedName>
    <definedName name="kv3_tp_rang6" localSheetId="2">#REF!</definedName>
    <definedName name="kv3_tp_rang6">#REF!</definedName>
    <definedName name="kv3_tp_rang7" localSheetId="2">#REF!</definedName>
    <definedName name="kv3_tp_rang7">#REF!</definedName>
    <definedName name="kv3_tp_rang8" localSheetId="2">#REF!</definedName>
    <definedName name="kv3_tp_rang8">#REF!</definedName>
    <definedName name="kv3_vrem_rang1" localSheetId="2">#REF!</definedName>
    <definedName name="kv3_vrem_rang1">#REF!</definedName>
    <definedName name="kv3_vrem_rang2" localSheetId="2">#REF!</definedName>
    <definedName name="kv3_vrem_rang2">#REF!</definedName>
    <definedName name="kv3_vrem_rang3" localSheetId="2">#REF!</definedName>
    <definedName name="kv3_vrem_rang3">#REF!</definedName>
    <definedName name="kv3_vrem_rang4" localSheetId="2">#REF!</definedName>
    <definedName name="kv3_vrem_rang4">#REF!</definedName>
    <definedName name="kv3_vrem_rang5" localSheetId="2">#REF!</definedName>
    <definedName name="kv3_vrem_rang5">#REF!</definedName>
    <definedName name="kv3_vrem_rang6" localSheetId="2">#REF!</definedName>
    <definedName name="kv3_vrem_rang6">#REF!</definedName>
    <definedName name="kv3_vrem_rang7" localSheetId="2">#REF!</definedName>
    <definedName name="kv3_vrem_rang7">#REF!</definedName>
    <definedName name="kv3_vrem_rang8" localSheetId="2">#REF!</definedName>
    <definedName name="kv3_vrem_rang8">#REF!</definedName>
    <definedName name="kv3_zel_rang1" localSheetId="2">#REF!</definedName>
    <definedName name="kv3_zel_rang1">#REF!</definedName>
    <definedName name="kv3_zel_rang2" localSheetId="2">#REF!</definedName>
    <definedName name="kv3_zel_rang2">#REF!</definedName>
    <definedName name="kv3_zel_rang3" localSheetId="2">#REF!</definedName>
    <definedName name="kv3_zel_rang3">#REF!</definedName>
    <definedName name="kv3_zel_rang4" localSheetId="2">#REF!</definedName>
    <definedName name="kv3_zel_rang4">#REF!</definedName>
    <definedName name="kv3_zel_rang5" localSheetId="2">#REF!</definedName>
    <definedName name="kv3_zel_rang5">#REF!</definedName>
    <definedName name="kv3_zel_rang6" localSheetId="2">#REF!</definedName>
    <definedName name="kv3_zel_rang6">#REF!</definedName>
    <definedName name="kv3_zel_rang7" localSheetId="2">#REF!</definedName>
    <definedName name="kv3_zel_rang7">#REF!</definedName>
    <definedName name="kv3_zel_rang8" localSheetId="2">#REF!</definedName>
    <definedName name="kv3_zel_rang8">#REF!</definedName>
    <definedName name="kv4_go_rang1" localSheetId="2">#REF!</definedName>
    <definedName name="kv4_go_rang1">#REF!</definedName>
    <definedName name="kv4_go_rang2" localSheetId="2">#REF!</definedName>
    <definedName name="kv4_go_rang2">#REF!</definedName>
    <definedName name="kv4_go_rang3" localSheetId="2">#REF!</definedName>
    <definedName name="kv4_go_rang3">#REF!</definedName>
    <definedName name="kv4_go_rang4" localSheetId="2">#REF!</definedName>
    <definedName name="kv4_go_rang4">#REF!</definedName>
    <definedName name="kv4_go_rang5" localSheetId="2">#REF!</definedName>
    <definedName name="kv4_go_rang5">#REF!</definedName>
    <definedName name="kv4_go_rang6" localSheetId="2">#REF!</definedName>
    <definedName name="kv4_go_rang6">#REF!</definedName>
    <definedName name="kv4_go_rang7" localSheetId="2">#REF!</definedName>
    <definedName name="kv4_go_rang7">#REF!</definedName>
    <definedName name="kv4_go_rang8" localSheetId="2">#REF!</definedName>
    <definedName name="kv4_go_rang8">#REF!</definedName>
    <definedName name="kv4_post_rang1" localSheetId="2">#REF!</definedName>
    <definedName name="kv4_post_rang1">#REF!</definedName>
    <definedName name="kv4_post_rang2" localSheetId="2">#REF!</definedName>
    <definedName name="kv4_post_rang2">#REF!</definedName>
    <definedName name="kv4_post_rang3" localSheetId="2">#REF!</definedName>
    <definedName name="kv4_post_rang3">#REF!</definedName>
    <definedName name="kv4_post_rang4" localSheetId="2">#REF!</definedName>
    <definedName name="kv4_post_rang4">#REF!</definedName>
    <definedName name="kv4_post_rang5" localSheetId="2">#REF!</definedName>
    <definedName name="kv4_post_rang5">#REF!</definedName>
    <definedName name="kv4_post_rang6" localSheetId="2">#REF!</definedName>
    <definedName name="kv4_post_rang6">#REF!</definedName>
    <definedName name="kv4_post_rang7" localSheetId="2">#REF!</definedName>
    <definedName name="kv4_post_rang7">#REF!</definedName>
    <definedName name="kv4_post_rang8" localSheetId="2">#REF!</definedName>
    <definedName name="kv4_post_rang8">#REF!</definedName>
    <definedName name="kv4_tp_rang1" localSheetId="2">#REF!</definedName>
    <definedName name="kv4_tp_rang1">#REF!</definedName>
    <definedName name="kv4_tp_rang2" localSheetId="2">#REF!</definedName>
    <definedName name="kv4_tp_rang2">#REF!</definedName>
    <definedName name="kv4_tp_rang3" localSheetId="2">#REF!</definedName>
    <definedName name="kv4_tp_rang3">#REF!</definedName>
    <definedName name="kv4_tp_rang4" localSheetId="2">#REF!</definedName>
    <definedName name="kv4_tp_rang4">#REF!</definedName>
    <definedName name="kv4_tp_rang5" localSheetId="2">#REF!</definedName>
    <definedName name="kv4_tp_rang5">#REF!</definedName>
    <definedName name="kv4_tp_rang6" localSheetId="2">#REF!</definedName>
    <definedName name="kv4_tp_rang6">#REF!</definedName>
    <definedName name="kv4_tp_rang7" localSheetId="2">#REF!</definedName>
    <definedName name="kv4_tp_rang7">#REF!</definedName>
    <definedName name="kv4_tp_rang8" localSheetId="2">#REF!</definedName>
    <definedName name="kv4_tp_rang8">#REF!</definedName>
    <definedName name="kv4_vrem_rang1" localSheetId="2">#REF!</definedName>
    <definedName name="kv4_vrem_rang1">#REF!</definedName>
    <definedName name="kv4_vrem_rang2" localSheetId="2">#REF!</definedName>
    <definedName name="kv4_vrem_rang2">#REF!</definedName>
    <definedName name="kv4_vrem_rang3" localSheetId="2">#REF!</definedName>
    <definedName name="kv4_vrem_rang3">#REF!</definedName>
    <definedName name="kv4_vrem_rang4" localSheetId="2">#REF!</definedName>
    <definedName name="kv4_vrem_rang4">#REF!</definedName>
    <definedName name="kv4_vrem_rang5" localSheetId="2">#REF!</definedName>
    <definedName name="kv4_vrem_rang5">#REF!</definedName>
    <definedName name="kv4_vrem_rang6" localSheetId="2">#REF!</definedName>
    <definedName name="kv4_vrem_rang6">#REF!</definedName>
    <definedName name="kv4_vrem_rang7" localSheetId="2">#REF!</definedName>
    <definedName name="kv4_vrem_rang7">#REF!</definedName>
    <definedName name="kv4_vrem_rang8" localSheetId="2">#REF!</definedName>
    <definedName name="kv4_vrem_rang8">#REF!</definedName>
    <definedName name="kv4_zel_rang1" localSheetId="2">#REF!</definedName>
    <definedName name="kv4_zel_rang1">#REF!</definedName>
    <definedName name="kv4_zel_rang2" localSheetId="2">#REF!</definedName>
    <definedName name="kv4_zel_rang2">#REF!</definedName>
    <definedName name="kv4_zel_rang3" localSheetId="2">#REF!</definedName>
    <definedName name="kv4_zel_rang3">#REF!</definedName>
    <definedName name="kv4_zel_rang4" localSheetId="2">#REF!</definedName>
    <definedName name="kv4_zel_rang4">#REF!</definedName>
    <definedName name="kv4_zel_rang5" localSheetId="2">#REF!</definedName>
    <definedName name="kv4_zel_rang5">#REF!</definedName>
    <definedName name="kv4_zel_rang6" localSheetId="2">#REF!</definedName>
    <definedName name="kv4_zel_rang6">#REF!</definedName>
    <definedName name="kv4_zel_rang7" localSheetId="2">#REF!</definedName>
    <definedName name="kv4_zel_rang7">#REF!</definedName>
    <definedName name="kv4_zel_rang8" localSheetId="2">#REF!</definedName>
    <definedName name="kv4_zel_rang8">#REF!</definedName>
    <definedName name="l" localSheetId="3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 localSheetId="2">#REF!</definedName>
    <definedName name="line_rang1">#REF!</definedName>
    <definedName name="line_rang1_1" localSheetId="2">#REF!</definedName>
    <definedName name="line_rang1_1">#REF!</definedName>
    <definedName name="line_rang1_2" localSheetId="2">#REF!</definedName>
    <definedName name="line_rang1_2">#REF!</definedName>
    <definedName name="line_rang1_3" localSheetId="2">#REF!</definedName>
    <definedName name="line_rang1_3">#REF!</definedName>
    <definedName name="line_rang1_4" localSheetId="2">#REF!</definedName>
    <definedName name="line_rang1_4">#REF!</definedName>
    <definedName name="line_rang1_5" localSheetId="2">#REF!</definedName>
    <definedName name="line_rang1_5">#REF!</definedName>
    <definedName name="line_rang1_6" localSheetId="2">#REF!</definedName>
    <definedName name="line_rang1_6">#REF!</definedName>
    <definedName name="line_rang1_7" localSheetId="2">#REF!</definedName>
    <definedName name="line_rang1_7">#REF!</definedName>
    <definedName name="line_rang1_8" localSheetId="2">#REF!</definedName>
    <definedName name="line_rang1_8">#REF!</definedName>
    <definedName name="line_rang2" localSheetId="2">#REF!</definedName>
    <definedName name="line_rang2">#REF!</definedName>
    <definedName name="line_rang2_2" localSheetId="2">#REF!</definedName>
    <definedName name="line_rang2_2">#REF!</definedName>
    <definedName name="line_rang2_3" localSheetId="2">#REF!</definedName>
    <definedName name="line_rang2_3">#REF!</definedName>
    <definedName name="line_rang2_4" localSheetId="2">#REF!</definedName>
    <definedName name="line_rang2_4">#REF!</definedName>
    <definedName name="line_rang2_5" localSheetId="2">#REF!</definedName>
    <definedName name="line_rang2_5">#REF!</definedName>
    <definedName name="line_rang2_6" localSheetId="2">#REF!</definedName>
    <definedName name="line_rang2_6">#REF!</definedName>
    <definedName name="line_rang2_7" localSheetId="2">#REF!</definedName>
    <definedName name="line_rang2_7">#REF!</definedName>
    <definedName name="line_rang2_8" localSheetId="2">#REF!</definedName>
    <definedName name="line_rang2_8">#REF!</definedName>
    <definedName name="line_rang3" localSheetId="2">#REF!</definedName>
    <definedName name="line_rang3">#REF!</definedName>
    <definedName name="line_rang3_3" localSheetId="2">#REF!</definedName>
    <definedName name="line_rang3_3">#REF!</definedName>
    <definedName name="line_rang3_4" localSheetId="2">#REF!</definedName>
    <definedName name="line_rang3_4">#REF!</definedName>
    <definedName name="line_rang3_5" localSheetId="2">#REF!</definedName>
    <definedName name="line_rang3_5">#REF!</definedName>
    <definedName name="line_rang3_6" localSheetId="2">#REF!</definedName>
    <definedName name="line_rang3_6">#REF!</definedName>
    <definedName name="line_rang3_7" localSheetId="2">#REF!</definedName>
    <definedName name="line_rang3_7">#REF!</definedName>
    <definedName name="line_rang3_8" localSheetId="2">#REF!</definedName>
    <definedName name="line_rang3_8">#REF!</definedName>
    <definedName name="line_rang4" localSheetId="2">#REF!</definedName>
    <definedName name="line_rang4">#REF!</definedName>
    <definedName name="line_rang4_4" localSheetId="2">#REF!</definedName>
    <definedName name="line_rang4_4">#REF!</definedName>
    <definedName name="line_rang4_5" localSheetId="2">#REF!</definedName>
    <definedName name="line_rang4_5">#REF!</definedName>
    <definedName name="line_rang4_6" localSheetId="2">#REF!</definedName>
    <definedName name="line_rang4_6">#REF!</definedName>
    <definedName name="line_rang4_7" localSheetId="2">#REF!</definedName>
    <definedName name="line_rang4_7">#REF!</definedName>
    <definedName name="line_rang4_8" localSheetId="2">#REF!</definedName>
    <definedName name="line_rang4_8">#REF!</definedName>
    <definedName name="line_rang5" localSheetId="2">#REF!</definedName>
    <definedName name="line_rang5">#REF!</definedName>
    <definedName name="line_rang5_5" localSheetId="2">#REF!</definedName>
    <definedName name="line_rang5_5">#REF!</definedName>
    <definedName name="line_rang5_6" localSheetId="2">#REF!</definedName>
    <definedName name="line_rang5_6">#REF!</definedName>
    <definedName name="line_rang5_7" localSheetId="2">#REF!</definedName>
    <definedName name="line_rang5_7">#REF!</definedName>
    <definedName name="line_rang5_8" localSheetId="2">#REF!</definedName>
    <definedName name="line_rang5_8">#REF!</definedName>
    <definedName name="line_rang6" localSheetId="2">#REF!</definedName>
    <definedName name="line_rang6">#REF!</definedName>
    <definedName name="line_rang6_6" localSheetId="2">#REF!</definedName>
    <definedName name="line_rang6_6">#REF!</definedName>
    <definedName name="line_rang6_7" localSheetId="2">#REF!</definedName>
    <definedName name="line_rang6_7">#REF!</definedName>
    <definedName name="line_rang6_8" localSheetId="2">#REF!</definedName>
    <definedName name="line_rang6_8">#REF!</definedName>
    <definedName name="line_rang7" localSheetId="2">#REF!</definedName>
    <definedName name="line_rang7">#REF!</definedName>
    <definedName name="line_rang7_7" localSheetId="2">#REF!</definedName>
    <definedName name="line_rang7_7">#REF!</definedName>
    <definedName name="line_rang7_8" localSheetId="2">#REF!</definedName>
    <definedName name="line_rang7_8">#REF!</definedName>
    <definedName name="line_rang8" localSheetId="2">#REF!</definedName>
    <definedName name="line_rang8">#REF!</definedName>
    <definedName name="line_rang8_8" localSheetId="2">#REF!</definedName>
    <definedName name="line_rang8_8">#REF!</definedName>
    <definedName name="Linking_1" localSheetId="3">#REF!</definedName>
    <definedName name="Linking_1" localSheetId="2">#REF!</definedName>
    <definedName name="Linking_1">#REF!</definedName>
    <definedName name="Linking_10" localSheetId="3">#REF!</definedName>
    <definedName name="Linking_10" localSheetId="2">#REF!</definedName>
    <definedName name="Linking_10">#REF!</definedName>
    <definedName name="Linking_2" localSheetId="3">#REF!</definedName>
    <definedName name="Linking_2" localSheetId="2">#REF!</definedName>
    <definedName name="Linking_2">#REF!</definedName>
    <definedName name="Linking_20" localSheetId="3">#REF!</definedName>
    <definedName name="Linking_20" localSheetId="2">#REF!</definedName>
    <definedName name="Linking_20">#REF!</definedName>
    <definedName name="Linking_3" localSheetId="3">#REF!</definedName>
    <definedName name="Linking_3" localSheetId="2">#REF!</definedName>
    <definedName name="Linking_3">#REF!</definedName>
    <definedName name="Linking_35" localSheetId="3">#REF!</definedName>
    <definedName name="Linking_35" localSheetId="2">#REF!</definedName>
    <definedName name="Linking_35">#REF!</definedName>
    <definedName name="Linking_4" localSheetId="3">#REF!</definedName>
    <definedName name="Linking_4" localSheetId="2">#REF!</definedName>
    <definedName name="Linking_4">#REF!</definedName>
    <definedName name="Linking_40" localSheetId="3">'[4]V-46'!#REF!</definedName>
    <definedName name="Linking_40" localSheetId="2">'[4]V-46'!#REF!</definedName>
    <definedName name="Linking_40">'[4]V-46'!#REF!</definedName>
    <definedName name="Linking_5" localSheetId="3">#REF!</definedName>
    <definedName name="Linking_5" localSheetId="2">#REF!</definedName>
    <definedName name="Linking_5">#REF!</definedName>
    <definedName name="Linking_6" localSheetId="3">#REF!</definedName>
    <definedName name="Linking_6" localSheetId="2">#REF!</definedName>
    <definedName name="Linking_6">#REF!</definedName>
    <definedName name="Linking_7" localSheetId="3">#REF!</definedName>
    <definedName name="Linking_7" localSheetId="2">#REF!</definedName>
    <definedName name="Linking_7">#REF!</definedName>
    <definedName name="Linking_8" localSheetId="3">#REF!</definedName>
    <definedName name="Linking_8" localSheetId="2">#REF!</definedName>
    <definedName name="Linking_8">#REF!</definedName>
    <definedName name="Linking_9" localSheetId="3">#REF!</definedName>
    <definedName name="Linking_9" localSheetId="2">#REF!</definedName>
    <definedName name="Linking_9">#REF!</definedName>
    <definedName name="Linking_ExampleTable1_Copy" localSheetId="3">#REF!</definedName>
    <definedName name="Linking_ExampleTable1_Copy" localSheetId="2">#REF!</definedName>
    <definedName name="Linking_ExampleTable1_Copy">#REF!</definedName>
    <definedName name="Linking_ExampleTable1_CopyRect" localSheetId="3">#REF!</definedName>
    <definedName name="Linking_ExampleTable1_CopyRect" localSheetId="2">#REF!</definedName>
    <definedName name="Linking_ExampleTable1_CopyRect">#REF!</definedName>
    <definedName name="Linking_ExampleTable10_Copy" localSheetId="3">#REF!</definedName>
    <definedName name="Linking_ExampleTable10_Copy" localSheetId="2">#REF!</definedName>
    <definedName name="Linking_ExampleTable10_Copy">#REF!</definedName>
    <definedName name="Linking_ExampleTable10_CopyRect" localSheetId="3">#REF!</definedName>
    <definedName name="Linking_ExampleTable10_CopyRect" localSheetId="2">#REF!</definedName>
    <definedName name="Linking_ExampleTable10_CopyRect">#REF!</definedName>
    <definedName name="Linking_ExampleTable11_Copy" localSheetId="3">#REF!</definedName>
    <definedName name="Linking_ExampleTable11_Copy" localSheetId="2">#REF!</definedName>
    <definedName name="Linking_ExampleTable11_Copy">#REF!</definedName>
    <definedName name="Linking_ExampleTable11_CopyRect" localSheetId="3">#REF!</definedName>
    <definedName name="Linking_ExampleTable11_CopyRect" localSheetId="2">#REF!</definedName>
    <definedName name="Linking_ExampleTable11_CopyRect">#REF!</definedName>
    <definedName name="Linking_ExampleTable12_Copy" localSheetId="3">#REF!</definedName>
    <definedName name="Linking_ExampleTable12_Copy" localSheetId="2">#REF!</definedName>
    <definedName name="Linking_ExampleTable12_Copy">#REF!</definedName>
    <definedName name="Linking_ExampleTable12_CopyRect" localSheetId="3">#REF!</definedName>
    <definedName name="Linking_ExampleTable12_CopyRect" localSheetId="2">#REF!</definedName>
    <definedName name="Linking_ExampleTable12_CopyRect">#REF!</definedName>
    <definedName name="Linking_ExampleTable13_Copy" localSheetId="3">#REF!</definedName>
    <definedName name="Linking_ExampleTable13_Copy" localSheetId="2">#REF!</definedName>
    <definedName name="Linking_ExampleTable13_Copy">#REF!</definedName>
    <definedName name="Linking_ExampleTable13_CopyRect" localSheetId="3">#REF!</definedName>
    <definedName name="Linking_ExampleTable13_CopyRect" localSheetId="2">#REF!</definedName>
    <definedName name="Linking_ExampleTable13_CopyRect">#REF!</definedName>
    <definedName name="Linking_ExampleTable14_Copy" localSheetId="3">#REF!</definedName>
    <definedName name="Linking_ExampleTable14_Copy" localSheetId="2">#REF!</definedName>
    <definedName name="Linking_ExampleTable14_Copy">#REF!</definedName>
    <definedName name="Linking_ExampleTable14_CopyRect" localSheetId="3">#REF!</definedName>
    <definedName name="Linking_ExampleTable14_CopyRect" localSheetId="2">#REF!</definedName>
    <definedName name="Linking_ExampleTable14_CopyRect">#REF!</definedName>
    <definedName name="Linking_ExampleTable15_Copy" localSheetId="3">#REF!</definedName>
    <definedName name="Linking_ExampleTable15_Copy" localSheetId="2">#REF!</definedName>
    <definedName name="Linking_ExampleTable15_Copy">#REF!</definedName>
    <definedName name="Linking_ExampleTable15_CopyRect" localSheetId="3">#REF!</definedName>
    <definedName name="Linking_ExampleTable15_CopyRect" localSheetId="2">#REF!</definedName>
    <definedName name="Linking_ExampleTable15_CopyRect">#REF!</definedName>
    <definedName name="Linking_ExampleTable16_Copy" localSheetId="3">#REF!</definedName>
    <definedName name="Linking_ExampleTable16_Copy" localSheetId="2">#REF!</definedName>
    <definedName name="Linking_ExampleTable16_Copy">#REF!</definedName>
    <definedName name="Linking_ExampleTable16_CopyRect" localSheetId="3">#REF!</definedName>
    <definedName name="Linking_ExampleTable16_CopyRect" localSheetId="2">#REF!</definedName>
    <definedName name="Linking_ExampleTable16_CopyRect">#REF!</definedName>
    <definedName name="Linking_ExampleTable17_Copy" localSheetId="3">#REF!</definedName>
    <definedName name="Linking_ExampleTable17_Copy" localSheetId="2">#REF!</definedName>
    <definedName name="Linking_ExampleTable17_Copy">#REF!</definedName>
    <definedName name="Linking_ExampleTable17_CopyRect" localSheetId="3">#REF!</definedName>
    <definedName name="Linking_ExampleTable17_CopyRect" localSheetId="2">#REF!</definedName>
    <definedName name="Linking_ExampleTable17_CopyRect">#REF!</definedName>
    <definedName name="Linking_ExampleTable18_Copy" localSheetId="3">#REF!</definedName>
    <definedName name="Linking_ExampleTable18_Copy" localSheetId="2">#REF!</definedName>
    <definedName name="Linking_ExampleTable18_Copy">#REF!</definedName>
    <definedName name="Linking_ExampleTable18_CopyRect" localSheetId="3">#REF!</definedName>
    <definedName name="Linking_ExampleTable18_CopyRect" localSheetId="2">#REF!</definedName>
    <definedName name="Linking_ExampleTable18_CopyRect">#REF!</definedName>
    <definedName name="Linking_ExampleTable19_Copy" localSheetId="3">#REF!</definedName>
    <definedName name="Linking_ExampleTable19_Copy" localSheetId="2">#REF!</definedName>
    <definedName name="Linking_ExampleTable19_Copy">#REF!</definedName>
    <definedName name="Linking_ExampleTable19_CopyRect" localSheetId="3">#REF!</definedName>
    <definedName name="Linking_ExampleTable19_CopyRect" localSheetId="2">#REF!</definedName>
    <definedName name="Linking_ExampleTable19_CopyRect">#REF!</definedName>
    <definedName name="Linking_ExampleTable2_Copy" localSheetId="3">#REF!</definedName>
    <definedName name="Linking_ExampleTable2_Copy" localSheetId="2">#REF!</definedName>
    <definedName name="Linking_ExampleTable2_Copy">#REF!</definedName>
    <definedName name="Linking_ExampleTable2_CopyRect" localSheetId="3">#REF!</definedName>
    <definedName name="Linking_ExampleTable2_CopyRect" localSheetId="2">#REF!</definedName>
    <definedName name="Linking_ExampleTable2_CopyRect">#REF!</definedName>
    <definedName name="Linking_ExampleTable20_Copy" localSheetId="3">#REF!</definedName>
    <definedName name="Linking_ExampleTable20_Copy" localSheetId="2">#REF!</definedName>
    <definedName name="Linking_ExampleTable20_Copy">#REF!</definedName>
    <definedName name="Linking_ExampleTable20_CopyRect" localSheetId="3">#REF!</definedName>
    <definedName name="Linking_ExampleTable20_CopyRect" localSheetId="2">#REF!</definedName>
    <definedName name="Linking_ExampleTable20_CopyRect">#REF!</definedName>
    <definedName name="Linking_ExampleTable21_Copy" localSheetId="3">#REF!</definedName>
    <definedName name="Linking_ExampleTable21_Copy" localSheetId="2">#REF!</definedName>
    <definedName name="Linking_ExampleTable21_Copy">#REF!</definedName>
    <definedName name="Linking_ExampleTable21_CopyRect" localSheetId="3">#REF!</definedName>
    <definedName name="Linking_ExampleTable21_CopyRect" localSheetId="2">#REF!</definedName>
    <definedName name="Linking_ExampleTable21_CopyRect">#REF!</definedName>
    <definedName name="Linking_ExampleTable22_Copy" localSheetId="3">#REF!</definedName>
    <definedName name="Linking_ExampleTable22_Copy" localSheetId="2">#REF!</definedName>
    <definedName name="Linking_ExampleTable22_Copy">#REF!</definedName>
    <definedName name="Linking_ExampleTable22_CopyRect" localSheetId="3">#REF!</definedName>
    <definedName name="Linking_ExampleTable22_CopyRect" localSheetId="2">#REF!</definedName>
    <definedName name="Linking_ExampleTable22_CopyRect">#REF!</definedName>
    <definedName name="Linking_ExampleTable23_Copy" localSheetId="3">#REF!</definedName>
    <definedName name="Linking_ExampleTable23_Copy" localSheetId="2">#REF!</definedName>
    <definedName name="Linking_ExampleTable23_Copy">#REF!</definedName>
    <definedName name="Linking_ExampleTable23_CopyRect" localSheetId="3">#REF!</definedName>
    <definedName name="Linking_ExampleTable23_CopyRect" localSheetId="2">#REF!</definedName>
    <definedName name="Linking_ExampleTable23_CopyRect">#REF!</definedName>
    <definedName name="Linking_ExampleTable24_Copy" localSheetId="3">#REF!</definedName>
    <definedName name="Linking_ExampleTable24_Copy" localSheetId="2">#REF!</definedName>
    <definedName name="Linking_ExampleTable24_Copy">#REF!</definedName>
    <definedName name="Linking_ExampleTable24_CopyRect" localSheetId="3">#REF!</definedName>
    <definedName name="Linking_ExampleTable24_CopyRect" localSheetId="2">#REF!</definedName>
    <definedName name="Linking_ExampleTable24_CopyRect">#REF!</definedName>
    <definedName name="Linking_ExampleTable25_Copy" localSheetId="3">#REF!</definedName>
    <definedName name="Linking_ExampleTable25_Copy" localSheetId="2">#REF!</definedName>
    <definedName name="Linking_ExampleTable25_Copy">#REF!</definedName>
    <definedName name="Linking_ExampleTable25_CopyRect" localSheetId="3">#REF!</definedName>
    <definedName name="Linking_ExampleTable25_CopyRect" localSheetId="2">#REF!</definedName>
    <definedName name="Linking_ExampleTable25_CopyRect">#REF!</definedName>
    <definedName name="Linking_ExampleTable26_Copy" localSheetId="3">#REF!</definedName>
    <definedName name="Linking_ExampleTable26_Copy" localSheetId="2">#REF!</definedName>
    <definedName name="Linking_ExampleTable26_Copy">#REF!</definedName>
    <definedName name="Linking_ExampleTable26_CopyRect" localSheetId="3">#REF!</definedName>
    <definedName name="Linking_ExampleTable26_CopyRect" localSheetId="2">#REF!</definedName>
    <definedName name="Linking_ExampleTable26_CopyRect">#REF!</definedName>
    <definedName name="Linking_ExampleTable27_Copy" localSheetId="3">#REF!</definedName>
    <definedName name="Linking_ExampleTable27_Copy" localSheetId="2">#REF!</definedName>
    <definedName name="Linking_ExampleTable27_Copy">#REF!</definedName>
    <definedName name="Linking_ExampleTable27_CopyRect" localSheetId="3">#REF!</definedName>
    <definedName name="Linking_ExampleTable27_CopyRect" localSheetId="2">#REF!</definedName>
    <definedName name="Linking_ExampleTable27_CopyRect">#REF!</definedName>
    <definedName name="Linking_ExampleTable28_Copy" localSheetId="3">#REF!</definedName>
    <definedName name="Linking_ExampleTable28_Copy" localSheetId="2">#REF!</definedName>
    <definedName name="Linking_ExampleTable28_Copy">#REF!</definedName>
    <definedName name="Linking_ExampleTable28_CopyRect" localSheetId="3">#REF!</definedName>
    <definedName name="Linking_ExampleTable28_CopyRect" localSheetId="2">#REF!</definedName>
    <definedName name="Linking_ExampleTable28_CopyRect">#REF!</definedName>
    <definedName name="Linking_ExampleTable29_Copy" localSheetId="3">#REF!</definedName>
    <definedName name="Linking_ExampleTable29_Copy" localSheetId="2">#REF!</definedName>
    <definedName name="Linking_ExampleTable29_Copy">#REF!</definedName>
    <definedName name="Linking_ExampleTable29_CopyRect" localSheetId="3">#REF!</definedName>
    <definedName name="Linking_ExampleTable29_CopyRect" localSheetId="2">#REF!</definedName>
    <definedName name="Linking_ExampleTable29_CopyRect">#REF!</definedName>
    <definedName name="Linking_ExampleTable3_Copy" localSheetId="3">#REF!</definedName>
    <definedName name="Linking_ExampleTable3_Copy" localSheetId="2">#REF!</definedName>
    <definedName name="Linking_ExampleTable3_Copy">#REF!</definedName>
    <definedName name="Linking_ExampleTable3_Copy54" localSheetId="3">#REF!</definedName>
    <definedName name="Linking_ExampleTable3_Copy54" localSheetId="2">#REF!</definedName>
    <definedName name="Linking_ExampleTable3_Copy54">#REF!</definedName>
    <definedName name="Linking_ExampleTable3_CopyRect" localSheetId="3">#REF!</definedName>
    <definedName name="Linking_ExampleTable3_CopyRect" localSheetId="2">#REF!</definedName>
    <definedName name="Linking_ExampleTable3_CopyRect">#REF!</definedName>
    <definedName name="Linking_ExampleTable30_Copy" localSheetId="3">#REF!</definedName>
    <definedName name="Linking_ExampleTable30_Copy" localSheetId="2">#REF!</definedName>
    <definedName name="Linking_ExampleTable30_Copy">#REF!</definedName>
    <definedName name="Linking_ExampleTable30_CopyRect" localSheetId="3">#REF!</definedName>
    <definedName name="Linking_ExampleTable30_CopyRect" localSheetId="2">#REF!</definedName>
    <definedName name="Linking_ExampleTable30_CopyRect">#REF!</definedName>
    <definedName name="Linking_ExampleTable31_Copy" localSheetId="3">#REF!</definedName>
    <definedName name="Linking_ExampleTable31_Copy" localSheetId="2">#REF!</definedName>
    <definedName name="Linking_ExampleTable31_Copy">#REF!</definedName>
    <definedName name="Linking_ExampleTable31_CopyRect" localSheetId="3">#REF!</definedName>
    <definedName name="Linking_ExampleTable31_CopyRect" localSheetId="2">#REF!</definedName>
    <definedName name="Linking_ExampleTable31_CopyRect">#REF!</definedName>
    <definedName name="Linking_ExampleTable32_Copy" localSheetId="3">#REF!</definedName>
    <definedName name="Linking_ExampleTable32_Copy" localSheetId="2">#REF!</definedName>
    <definedName name="Linking_ExampleTable32_Copy">#REF!</definedName>
    <definedName name="Linking_ExampleTable32_CopyRect" localSheetId="3">#REF!</definedName>
    <definedName name="Linking_ExampleTable32_CopyRect" localSheetId="2">#REF!</definedName>
    <definedName name="Linking_ExampleTable32_CopyRect">#REF!</definedName>
    <definedName name="Linking_ExampleTable33_Copy" localSheetId="3">#REF!</definedName>
    <definedName name="Linking_ExampleTable33_Copy" localSheetId="2">#REF!</definedName>
    <definedName name="Linking_ExampleTable33_Copy">#REF!</definedName>
    <definedName name="Linking_ExampleTable33_CopyRect" localSheetId="3">#REF!</definedName>
    <definedName name="Linking_ExampleTable33_CopyRect" localSheetId="2">#REF!</definedName>
    <definedName name="Linking_ExampleTable33_CopyRect">#REF!</definedName>
    <definedName name="Linking_ExampleTable34_Copy" localSheetId="3">#REF!</definedName>
    <definedName name="Linking_ExampleTable34_Copy" localSheetId="2">#REF!</definedName>
    <definedName name="Linking_ExampleTable34_Copy">#REF!</definedName>
    <definedName name="Linking_ExampleTable34_CopyRect" localSheetId="3">#REF!</definedName>
    <definedName name="Linking_ExampleTable34_CopyRect" localSheetId="2">#REF!</definedName>
    <definedName name="Linking_ExampleTable34_CopyRect">#REF!</definedName>
    <definedName name="Linking_ExampleTable35_Copy" localSheetId="3">#REF!</definedName>
    <definedName name="Linking_ExampleTable35_Copy" localSheetId="2">#REF!</definedName>
    <definedName name="Linking_ExampleTable35_Copy">#REF!</definedName>
    <definedName name="Linking_ExampleTable35_CopyRect" localSheetId="3">#REF!</definedName>
    <definedName name="Linking_ExampleTable35_CopyRect" localSheetId="2">#REF!</definedName>
    <definedName name="Linking_ExampleTable35_CopyRect">#REF!</definedName>
    <definedName name="Linking_ExampleTable36_Copy" localSheetId="3">#REF!</definedName>
    <definedName name="Linking_ExampleTable36_Copy" localSheetId="2">#REF!</definedName>
    <definedName name="Linking_ExampleTable36_Copy">#REF!</definedName>
    <definedName name="Linking_ExampleTable36_CopyRect" localSheetId="3">#REF!</definedName>
    <definedName name="Linking_ExampleTable36_CopyRect" localSheetId="2">#REF!</definedName>
    <definedName name="Linking_ExampleTable36_CopyRect">#REF!</definedName>
    <definedName name="Linking_ExampleTable4_Copy" localSheetId="3">#REF!</definedName>
    <definedName name="Linking_ExampleTable4_Copy" localSheetId="2">#REF!</definedName>
    <definedName name="Linking_ExampleTable4_Copy">#REF!</definedName>
    <definedName name="Linking_ExampleTable4_CopyRect" localSheetId="3">#REF!</definedName>
    <definedName name="Linking_ExampleTable4_CopyRect" localSheetId="2">#REF!</definedName>
    <definedName name="Linking_ExampleTable4_CopyRect">#REF!</definedName>
    <definedName name="Linking_ExampleTable5_Copy" localSheetId="3">#REF!</definedName>
    <definedName name="Linking_ExampleTable5_Copy" localSheetId="2">#REF!</definedName>
    <definedName name="Linking_ExampleTable5_Copy">#REF!</definedName>
    <definedName name="Linking_ExampleTable5_CopyRect" localSheetId="3">#REF!</definedName>
    <definedName name="Linking_ExampleTable5_CopyRect" localSheetId="2">#REF!</definedName>
    <definedName name="Linking_ExampleTable5_CopyRect">#REF!</definedName>
    <definedName name="Linking_ExampleTable6_Copy" localSheetId="3">#REF!</definedName>
    <definedName name="Linking_ExampleTable6_Copy" localSheetId="2">#REF!</definedName>
    <definedName name="Linking_ExampleTable6_Copy">#REF!</definedName>
    <definedName name="Linking_ExampleTable6_CopyRect" localSheetId="3">#REF!</definedName>
    <definedName name="Linking_ExampleTable6_CopyRect" localSheetId="2">#REF!</definedName>
    <definedName name="Linking_ExampleTable6_CopyRect">#REF!</definedName>
    <definedName name="Linking_ExampleTable7_Copy" localSheetId="3">#REF!</definedName>
    <definedName name="Linking_ExampleTable7_Copy" localSheetId="2">#REF!</definedName>
    <definedName name="Linking_ExampleTable7_Copy">#REF!</definedName>
    <definedName name="Linking_ExampleTable7_CopyRect" localSheetId="3">#REF!</definedName>
    <definedName name="Linking_ExampleTable7_CopyRect" localSheetId="2">#REF!</definedName>
    <definedName name="Linking_ExampleTable7_CopyRect">#REF!</definedName>
    <definedName name="Linking_ExampleTable8_Copy" localSheetId="3">#REF!</definedName>
    <definedName name="Linking_ExampleTable8_Copy" localSheetId="2">#REF!</definedName>
    <definedName name="Linking_ExampleTable8_Copy">#REF!</definedName>
    <definedName name="Linking_ExampleTable8_CopyRect" localSheetId="3">#REF!</definedName>
    <definedName name="Linking_ExampleTable8_CopyRect" localSheetId="2">#REF!</definedName>
    <definedName name="Linking_ExampleTable8_CopyRect">#REF!</definedName>
    <definedName name="Linking_ExampleTable9_Copy" localSheetId="3">#REF!</definedName>
    <definedName name="Linking_ExampleTable9_Copy" localSheetId="2">#REF!</definedName>
    <definedName name="Linking_ExampleTable9_Copy">#REF!</definedName>
    <definedName name="Linking_ExampleTable9_CopyRect" localSheetId="3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3">#REF!</definedName>
    <definedName name="m" localSheetId="2">#REF!</definedName>
    <definedName name="m">#REF!</definedName>
    <definedName name="m_CohortDate" localSheetId="3">#REF!</definedName>
    <definedName name="m_CohortDate" localSheetId="2">#REF!</definedName>
    <definedName name="m_CohortDate">#REF!</definedName>
    <definedName name="m_ColRef" localSheetId="3">#REF!</definedName>
    <definedName name="m_ColRef" localSheetId="2">#REF!</definedName>
    <definedName name="m_ColRef">#REF!</definedName>
    <definedName name="m_ColRef1" localSheetId="3">#REF!</definedName>
    <definedName name="m_ColRef1" localSheetId="2">#REF!</definedName>
    <definedName name="m_ColRef1">#REF!</definedName>
    <definedName name="m_CriteriaField" localSheetId="3">#REF!</definedName>
    <definedName name="m_CriteriaField" localSheetId="2">#REF!</definedName>
    <definedName name="m_CriteriaField">#REF!</definedName>
    <definedName name="M_DataStartPoint1" localSheetId="3">#REF!</definedName>
    <definedName name="M_DataStartPoint1" localSheetId="2">#REF!</definedName>
    <definedName name="M_DataStartPoint1">#REF!</definedName>
    <definedName name="M_DataStartPoint2" localSheetId="3">#REF!</definedName>
    <definedName name="M_DataStartPoint2" localSheetId="2">#REF!</definedName>
    <definedName name="M_DataStartPoint2">#REF!</definedName>
    <definedName name="m_Destination1" localSheetId="3">'[3]Letter Denominators'!#REF!</definedName>
    <definedName name="m_Destination1" localSheetId="2">'[3]Letter Denominators'!#REF!</definedName>
    <definedName name="m_Destination1">'[3]Letter Denominators'!#REF!</definedName>
    <definedName name="m_Destination2" localSheetId="3">'[3]Letter Numerators'!#REF!</definedName>
    <definedName name="m_Destination2" localSheetId="2">'[3]Letter Numerators'!#REF!</definedName>
    <definedName name="m_Destination2">'[3]Letter Numerators'!#REF!</definedName>
    <definedName name="m_Destination3" localSheetId="3">'[3]Letter Marginal Default Rates'!#REF!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3">'[3]Letter Cumulative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3">#REF!</definedName>
    <definedName name="m_Destination5" localSheetId="2">#REF!</definedName>
    <definedName name="m_Destination5">#REF!</definedName>
    <definedName name="m_ExtractofIntervals" localSheetId="3">#REF!</definedName>
    <definedName name="m_ExtractofIntervals" localSheetId="2">#REF!</definedName>
    <definedName name="m_ExtractofIntervals">#REF!</definedName>
    <definedName name="m_Fill1" localSheetId="3">#REF!</definedName>
    <definedName name="m_Fill1" localSheetId="2">#REF!</definedName>
    <definedName name="m_Fill1">#REF!</definedName>
    <definedName name="m_Fill2" localSheetId="3">#REF!</definedName>
    <definedName name="m_Fill2" localSheetId="2">#REF!</definedName>
    <definedName name="m_Fill2">#REF!</definedName>
    <definedName name="m_Fill3" localSheetId="3">#REF!</definedName>
    <definedName name="m_Fill3" localSheetId="2">#REF!</definedName>
    <definedName name="m_Fill3">#REF!</definedName>
    <definedName name="m_Fill4" localSheetId="3">#REF!</definedName>
    <definedName name="m_Fill4" localSheetId="2">#REF!</definedName>
    <definedName name="m_Fill4">#REF!</definedName>
    <definedName name="m_Fill5" localSheetId="3">#REF!</definedName>
    <definedName name="m_Fill5" localSheetId="2">#REF!</definedName>
    <definedName name="m_Fill5">#REF!</definedName>
    <definedName name="m_FirstDate">[3]wParm!$C$24</definedName>
    <definedName name="m_FromRange" localSheetId="3">#REF!</definedName>
    <definedName name="m_FromRange" localSheetId="2">#REF!</definedName>
    <definedName name="m_FromRange">#REF!</definedName>
    <definedName name="m_FromRange1" localSheetId="3">#REF!</definedName>
    <definedName name="m_FromRange1" localSheetId="2">#REF!</definedName>
    <definedName name="m_FromRange1">#REF!</definedName>
    <definedName name="m_IntervalRecords" localSheetId="3">#REF!</definedName>
    <definedName name="m_IntervalRecords" localSheetId="2">#REF!</definedName>
    <definedName name="m_IntervalRecords">#REF!</definedName>
    <definedName name="m_IntervalRecords1" localSheetId="3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3">#REF!</definedName>
    <definedName name="M_QueryData_1" localSheetId="2">#REF!</definedName>
    <definedName name="M_QueryData_1">#REF!</definedName>
    <definedName name="M_QueryData_2" localSheetId="3">#REF!</definedName>
    <definedName name="M_QueryData_2" localSheetId="2">#REF!</definedName>
    <definedName name="M_QueryData_2">#REF!</definedName>
    <definedName name="m_RatingScale" localSheetId="3">#REF!</definedName>
    <definedName name="m_RatingScale" localSheetId="2">#REF!</definedName>
    <definedName name="m_RatingScale">#REF!</definedName>
    <definedName name="m_RowRef" localSheetId="3">#REF!</definedName>
    <definedName name="m_RowRef" localSheetId="2">#REF!</definedName>
    <definedName name="m_RowRef">#REF!</definedName>
    <definedName name="m_RowRef1" localSheetId="3">#REF!</definedName>
    <definedName name="m_RowRef1" localSheetId="2">#REF!</definedName>
    <definedName name="m_RowRef1">#REF!</definedName>
    <definedName name="m_SortedSquareDes" localSheetId="3">#REF!</definedName>
    <definedName name="m_SortedSquareDes" localSheetId="2">#REF!</definedName>
    <definedName name="m_SortedSquareDes">#REF!</definedName>
    <definedName name="m_SortedSquareDes1" localSheetId="3">#REF!</definedName>
    <definedName name="m_SortedSquareDes1" localSheetId="2">#REF!</definedName>
    <definedName name="m_SortedSquareDes1">#REF!</definedName>
    <definedName name="m_Source1" localSheetId="3">#REF!</definedName>
    <definedName name="m_Source1" localSheetId="2">#REF!</definedName>
    <definedName name="m_Source1">#REF!</definedName>
    <definedName name="m_Source10" localSheetId="3">'[3]Alpha Num Marginal Def Rate'!#REF!</definedName>
    <definedName name="m_Source10" localSheetId="2">'[3]Alpha Num Marginal Def Rate'!#REF!</definedName>
    <definedName name="m_Source10">'[3]Alpha Num Marginal Def Rate'!#REF!</definedName>
    <definedName name="m_Source11" localSheetId="3">'[3]Alpha Num Cumulative  DR'!#REF!</definedName>
    <definedName name="m_Source11" localSheetId="2">'[3]Alpha Num Cumulative  DR'!#REF!</definedName>
    <definedName name="m_Source11">'[3]Alpha Num Cumulative  DR'!#REF!</definedName>
    <definedName name="m_Source12" localSheetId="3">#REF!</definedName>
    <definedName name="m_Source12" localSheetId="2">#REF!</definedName>
    <definedName name="m_Source12">#REF!</definedName>
    <definedName name="m_Source2" localSheetId="3">'[3]Letter Numerators'!#REF!</definedName>
    <definedName name="m_Source2" localSheetId="2">'[3]Letter Numerators'!#REF!</definedName>
    <definedName name="m_Source2">'[3]Letter Numerators'!#REF!</definedName>
    <definedName name="m_Source3" localSheetId="3">'[3]Letter Denominators'!#REF!</definedName>
    <definedName name="m_Source3" localSheetId="2">'[3]Letter Denominators'!#REF!</definedName>
    <definedName name="m_Source3">'[3]Letter Denominators'!#REF!</definedName>
    <definedName name="m_Source4" localSheetId="3">'[3]Letter Marginal Default Rates'!#REF!</definedName>
    <definedName name="m_Source4" localSheetId="2">'[3]Letter Marginal Default Rates'!#REF!</definedName>
    <definedName name="m_Source4">'[3]Letter Marginal Default Rates'!#REF!</definedName>
    <definedName name="m_Source5" localSheetId="3">'[3]Letter Cumulative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3">#REF!</definedName>
    <definedName name="m_Source6" localSheetId="2">#REF!</definedName>
    <definedName name="m_Source6">#REF!</definedName>
    <definedName name="m_Source7" localSheetId="3">#REF!</definedName>
    <definedName name="m_Source7" localSheetId="2">#REF!</definedName>
    <definedName name="m_Source7">#REF!</definedName>
    <definedName name="m_Source8" localSheetId="3">'[5]Alpha Numeric Numerators'!#REF!</definedName>
    <definedName name="m_Source8" localSheetId="2">'[5]Alpha Numeric Numerators'!#REF!</definedName>
    <definedName name="m_Source8">'[5]Alpha Numeric Numerators'!#REF!</definedName>
    <definedName name="m_Source9" localSheetId="3">'[3]Alpha Numeric Denominators'!#REF!</definedName>
    <definedName name="m_Source9" localSheetId="2">'[3]Alpha Numeric Denominators'!#REF!</definedName>
    <definedName name="m_Source9">'[3]Alpha Numeric Denominators'!#REF!</definedName>
    <definedName name="m_SquaredRange" localSheetId="3">#REF!</definedName>
    <definedName name="m_SquaredRange" localSheetId="2">#REF!</definedName>
    <definedName name="m_SquaredRange">#REF!</definedName>
    <definedName name="m_SquaredRange1" localSheetId="3">#REF!</definedName>
    <definedName name="m_SquaredRange1" localSheetId="2">#REF!</definedName>
    <definedName name="m_SquaredRange1">#REF!</definedName>
    <definedName name="m_SquareRef" localSheetId="3">#REF!</definedName>
    <definedName name="m_SquareRef" localSheetId="2">#REF!</definedName>
    <definedName name="m_SquareRef">#REF!</definedName>
    <definedName name="m_SummAlpha_1" localSheetId="3">'[3]Alpha Numeric WACD Rates'!#REF!</definedName>
    <definedName name="m_SummAlpha_1" localSheetId="2">'[3]Alpha Numeric WACD Rates'!#REF!</definedName>
    <definedName name="m_SummAlpha_1">'[3]Alpha Numeric WACD Rates'!#REF!</definedName>
    <definedName name="m_SummAlpha_2" localSheetId="3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3">'[3]Letter WACD Rates'!#REF!</definedName>
    <definedName name="m_SummLett_1" localSheetId="2">'[3]Letter WACD Rates'!#REF!</definedName>
    <definedName name="m_SummLett_1">'[3]Letter WACD Rates'!#REF!</definedName>
    <definedName name="m_SummLett_2" localSheetId="3">'[3]Letter WACD Rates'!#REF!</definedName>
    <definedName name="m_SummLett_2" localSheetId="2">'[3]Letter WACD Rates'!#REF!</definedName>
    <definedName name="m_SummLett_2">'[3]Letter WACD Rates'!#REF!</definedName>
    <definedName name="m_ToRange" localSheetId="3">#REF!</definedName>
    <definedName name="m_ToRange" localSheetId="2">#REF!</definedName>
    <definedName name="m_ToRange">#REF!</definedName>
    <definedName name="mANDefaultRate" localSheetId="3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3">#REF!</definedName>
    <definedName name="mDefaultRate" localSheetId="2">#REF!</definedName>
    <definedName name="mDefaultRate">#REF!</definedName>
    <definedName name="mDemoninator" localSheetId="3">#REF!</definedName>
    <definedName name="mDemoninator" localSheetId="2">#REF!</definedName>
    <definedName name="mDemoninator">#REF!</definedName>
    <definedName name="mDenominator" localSheetId="3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3">#REF!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3">#REF!</definedName>
    <definedName name="n" localSheetId="2">#REF!</definedName>
    <definedName name="n">#REF!</definedName>
    <definedName name="name" localSheetId="2">#REF!</definedName>
    <definedName name="name">#REF!</definedName>
    <definedName name="Name_rang1" localSheetId="2">#REF!</definedName>
    <definedName name="Name_rang1">#REF!</definedName>
    <definedName name="Name_rang1_1" localSheetId="2">#REF!</definedName>
    <definedName name="Name_rang1_1">#REF!</definedName>
    <definedName name="Name_rang1_2" localSheetId="2">#REF!</definedName>
    <definedName name="Name_rang1_2">#REF!</definedName>
    <definedName name="Name_rang1_3" localSheetId="2">#REF!</definedName>
    <definedName name="Name_rang1_3">#REF!</definedName>
    <definedName name="Name_rang1_4" localSheetId="2">#REF!</definedName>
    <definedName name="Name_rang1_4">#REF!</definedName>
    <definedName name="Name_rang1_5" localSheetId="2">#REF!</definedName>
    <definedName name="Name_rang1_5">#REF!</definedName>
    <definedName name="Name_rang1_6" localSheetId="2">#REF!</definedName>
    <definedName name="Name_rang1_6">#REF!</definedName>
    <definedName name="Name_rang1_7" localSheetId="2">#REF!</definedName>
    <definedName name="Name_rang1_7">#REF!</definedName>
    <definedName name="Name_rang1_8" localSheetId="2">#REF!</definedName>
    <definedName name="Name_rang1_8">#REF!</definedName>
    <definedName name="Name_rang2" localSheetId="2">#REF!</definedName>
    <definedName name="Name_rang2">#REF!</definedName>
    <definedName name="Name_rang2_2" localSheetId="2">#REF!</definedName>
    <definedName name="Name_rang2_2">#REF!</definedName>
    <definedName name="Name_rang2_3" localSheetId="2">#REF!</definedName>
    <definedName name="Name_rang2_3">#REF!</definedName>
    <definedName name="Name_rang2_4" localSheetId="2">#REF!</definedName>
    <definedName name="Name_rang2_4">#REF!</definedName>
    <definedName name="Name_rang2_5" localSheetId="2">#REF!</definedName>
    <definedName name="Name_rang2_5">#REF!</definedName>
    <definedName name="Name_rang2_6" localSheetId="2">#REF!</definedName>
    <definedName name="Name_rang2_6">#REF!</definedName>
    <definedName name="Name_rang2_7" localSheetId="2">#REF!</definedName>
    <definedName name="Name_rang2_7">#REF!</definedName>
    <definedName name="Name_rang2_8" localSheetId="2">#REF!</definedName>
    <definedName name="Name_rang2_8">#REF!</definedName>
    <definedName name="Name_rang3" localSheetId="2">#REF!</definedName>
    <definedName name="Name_rang3">#REF!</definedName>
    <definedName name="Name_rang3_3" localSheetId="2">#REF!</definedName>
    <definedName name="Name_rang3_3">#REF!</definedName>
    <definedName name="Name_rang3_4" localSheetId="2">#REF!</definedName>
    <definedName name="Name_rang3_4">#REF!</definedName>
    <definedName name="Name_rang3_5" localSheetId="2">#REF!</definedName>
    <definedName name="Name_rang3_5">#REF!</definedName>
    <definedName name="Name_rang3_6" localSheetId="2">#REF!</definedName>
    <definedName name="Name_rang3_6">#REF!</definedName>
    <definedName name="Name_rang3_7" localSheetId="2">#REF!</definedName>
    <definedName name="Name_rang3_7">#REF!</definedName>
    <definedName name="Name_rang3_8" localSheetId="2">#REF!</definedName>
    <definedName name="Name_rang3_8">#REF!</definedName>
    <definedName name="Name_rang4" localSheetId="2">#REF!</definedName>
    <definedName name="Name_rang4">#REF!</definedName>
    <definedName name="Name_rang4_4" localSheetId="2">#REF!</definedName>
    <definedName name="Name_rang4_4">#REF!</definedName>
    <definedName name="Name_rang4_5" localSheetId="2">#REF!</definedName>
    <definedName name="Name_rang4_5">#REF!</definedName>
    <definedName name="Name_rang4_6" localSheetId="2">#REF!</definedName>
    <definedName name="Name_rang4_6">#REF!</definedName>
    <definedName name="Name_rang4_7" localSheetId="2">#REF!</definedName>
    <definedName name="Name_rang4_7">#REF!</definedName>
    <definedName name="Name_rang4_8" localSheetId="2">#REF!</definedName>
    <definedName name="Name_rang4_8">#REF!</definedName>
    <definedName name="Name_rang5" localSheetId="2">#REF!</definedName>
    <definedName name="Name_rang5">#REF!</definedName>
    <definedName name="Name_rang5_5" localSheetId="2">#REF!</definedName>
    <definedName name="Name_rang5_5">#REF!</definedName>
    <definedName name="Name_rang5_6" localSheetId="2">#REF!</definedName>
    <definedName name="Name_rang5_6">#REF!</definedName>
    <definedName name="Name_rang5_7" localSheetId="2">#REF!</definedName>
    <definedName name="Name_rang5_7">#REF!</definedName>
    <definedName name="Name_rang5_8" localSheetId="2">#REF!</definedName>
    <definedName name="Name_rang5_8">#REF!</definedName>
    <definedName name="Name_rang6" localSheetId="2">#REF!</definedName>
    <definedName name="Name_rang6">#REF!</definedName>
    <definedName name="Name_rang6_6" localSheetId="2">#REF!</definedName>
    <definedName name="Name_rang6_6">#REF!</definedName>
    <definedName name="Name_rang6_7" localSheetId="2">#REF!</definedName>
    <definedName name="Name_rang6_7">#REF!</definedName>
    <definedName name="Name_rang6_8" localSheetId="2">#REF!</definedName>
    <definedName name="Name_rang6_8">#REF!</definedName>
    <definedName name="Name_rang7" localSheetId="2">#REF!</definedName>
    <definedName name="Name_rang7">#REF!</definedName>
    <definedName name="Name_rang7_7" localSheetId="2">#REF!</definedName>
    <definedName name="Name_rang7_7">#REF!</definedName>
    <definedName name="Name_rang7_8" localSheetId="2">#REF!</definedName>
    <definedName name="Name_rang7_8">#REF!</definedName>
    <definedName name="Name_rang8" localSheetId="2">#REF!</definedName>
    <definedName name="Name_rang8">#REF!</definedName>
    <definedName name="Name_rang8_8" localSheetId="2">#REF!</definedName>
    <definedName name="Name_rang8_8">#REF!</definedName>
    <definedName name="No">[1]Buffer!$B$5</definedName>
    <definedName name="num" localSheetId="2">#REF!</definedName>
    <definedName name="num">#REF!</definedName>
    <definedName name="o" localSheetId="3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 localSheetId="2">#REF!</definedName>
    <definedName name="Oper_name_rang1">#REF!</definedName>
    <definedName name="Oper_name_rang2" localSheetId="2">#REF!</definedName>
    <definedName name="Oper_name_rang2">#REF!</definedName>
    <definedName name="Oper_name_rang3" localSheetId="2">#REF!</definedName>
    <definedName name="Oper_name_rang3">#REF!</definedName>
    <definedName name="Oper_name_rang4" localSheetId="2">#REF!</definedName>
    <definedName name="Oper_name_rang4">#REF!</definedName>
    <definedName name="Oper_name_rang5" localSheetId="2">#REF!</definedName>
    <definedName name="Oper_name_rang5">#REF!</definedName>
    <definedName name="Oper_name_rang6" localSheetId="2">#REF!</definedName>
    <definedName name="Oper_name_rang6">#REF!</definedName>
    <definedName name="Oper_name_rang7" localSheetId="2">#REF!</definedName>
    <definedName name="Oper_name_rang7">#REF!</definedName>
    <definedName name="Oper_name_rang8" localSheetId="2">#REF!</definedName>
    <definedName name="Oper_name_rang8">#REF!</definedName>
    <definedName name="OrigELs">'[1]StabilityBands-4Yr'!$A$5:$B$26</definedName>
    <definedName name="ou" localSheetId="8">'для стресс-теста'!ou</definedName>
    <definedName name="ou" localSheetId="3">'РейтPD FRED Graph'!ou</definedName>
    <definedName name="ou">[0]!ou</definedName>
    <definedName name="OverrideFactor">[1]Lookups!$M$91</definedName>
    <definedName name="OverrideValue">[1]Buffer!$T$2:$T$4</definedName>
    <definedName name="owner_1" localSheetId="2">#REF!</definedName>
    <definedName name="owner_1">#REF!</definedName>
    <definedName name="owner_2" localSheetId="2">#REF!</definedName>
    <definedName name="owner_2">#REF!</definedName>
    <definedName name="owner_3" localSheetId="2">#REF!</definedName>
    <definedName name="owner_3">#REF!</definedName>
    <definedName name="owner_4" localSheetId="2">#REF!</definedName>
    <definedName name="owner_4">#REF!</definedName>
    <definedName name="owner_5" localSheetId="2">#REF!</definedName>
    <definedName name="owner_5">#REF!</definedName>
    <definedName name="owner_6" localSheetId="2">#REF!</definedName>
    <definedName name="owner_6">#REF!</definedName>
    <definedName name="owner_7" localSheetId="2">#REF!</definedName>
    <definedName name="owner_7">#REF!</definedName>
    <definedName name="owner_8" localSheetId="2">#REF!</definedName>
    <definedName name="owner_8">#REF!</definedName>
    <definedName name="p" localSheetId="3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 localSheetId="2">#REF!</definedName>
    <definedName name="prod_name_1">#REF!</definedName>
    <definedName name="prod_name_2" localSheetId="2">#REF!</definedName>
    <definedName name="prod_name_2">#REF!</definedName>
    <definedName name="prod_name_3" localSheetId="2">#REF!</definedName>
    <definedName name="prod_name_3">#REF!</definedName>
    <definedName name="prod_name_4" localSheetId="2">#REF!</definedName>
    <definedName name="prod_name_4">#REF!</definedName>
    <definedName name="prod_name_5" localSheetId="2">#REF!</definedName>
    <definedName name="prod_name_5">#REF!</definedName>
    <definedName name="prod_name_6" localSheetId="2">#REF!</definedName>
    <definedName name="prod_name_6">#REF!</definedName>
    <definedName name="prod_name_7" localSheetId="2">#REF!</definedName>
    <definedName name="prod_name_7">#REF!</definedName>
    <definedName name="prod_name_8" localSheetId="2">#REF!</definedName>
    <definedName name="prod_name_8">#REF!</definedName>
    <definedName name="q" localSheetId="3">#REF!</definedName>
    <definedName name="q" localSheetId="2">#REF!</definedName>
    <definedName name="q">#REF!</definedName>
    <definedName name="quart1" localSheetId="2">#REF!</definedName>
    <definedName name="quart1">#REF!</definedName>
    <definedName name="quart2" localSheetId="2">#REF!</definedName>
    <definedName name="quart2">#REF!</definedName>
    <definedName name="quart3" localSheetId="2">#REF!</definedName>
    <definedName name="quart3">#REF!</definedName>
    <definedName name="quart4" localSheetId="2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 localSheetId="2">#REF!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8">VLOOKUP(CFR_,RatgCaps,4,0)</definedName>
    <definedName name="RatgCap" localSheetId="3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 localSheetId="2">'[9]бдр 1 кв'!#REF!</definedName>
    <definedName name="Rep_Date">'[9]бдр 1 кв'!#REF!</definedName>
    <definedName name="Rep_Date_2" localSheetId="2">#REF!</definedName>
    <definedName name="Rep_Date_2">#REF!</definedName>
    <definedName name="Rep_Hdr_2" localSheetId="2">#REF!</definedName>
    <definedName name="Rep_Hdr_2">#REF!</definedName>
    <definedName name="rep_month" localSheetId="2">#REF!</definedName>
    <definedName name="rep_month">#REF!</definedName>
    <definedName name="rep_year" localSheetId="2">#REF!</definedName>
    <definedName name="rep_year">#REF!</definedName>
    <definedName name="repsubj" localSheetId="2">#REF!</definedName>
    <definedName name="repsubj">#REF!</definedName>
    <definedName name="rest" localSheetId="2">#REF!</definedName>
    <definedName name="rest">#REF!</definedName>
    <definedName name="Rest_Delta_rang1_1" localSheetId="2">#REF!</definedName>
    <definedName name="Rest_Delta_rang1_1">#REF!</definedName>
    <definedName name="Rest_Delta_rang1_2" localSheetId="2">#REF!</definedName>
    <definedName name="Rest_Delta_rang1_2">#REF!</definedName>
    <definedName name="Rest_Delta_rang1_3" localSheetId="2">#REF!</definedName>
    <definedName name="Rest_Delta_rang1_3">#REF!</definedName>
    <definedName name="Rest_Delta_rang1_4" localSheetId="2">#REF!</definedName>
    <definedName name="Rest_Delta_rang1_4">#REF!</definedName>
    <definedName name="Rest_Delta_rang1_5" localSheetId="2">#REF!</definedName>
    <definedName name="Rest_Delta_rang1_5">#REF!</definedName>
    <definedName name="Rest_Delta_rang1_6" localSheetId="2">#REF!</definedName>
    <definedName name="Rest_Delta_rang1_6">#REF!</definedName>
    <definedName name="Rest_Delta_rang1_7" localSheetId="2">#REF!</definedName>
    <definedName name="Rest_Delta_rang1_7">#REF!</definedName>
    <definedName name="Rest_Delta_rang1_8" localSheetId="2">#REF!</definedName>
    <definedName name="Rest_Delta_rang1_8">#REF!</definedName>
    <definedName name="Rest_Delta_rang2_2" localSheetId="2">#REF!</definedName>
    <definedName name="Rest_Delta_rang2_2">#REF!</definedName>
    <definedName name="Rest_Delta_rang2_3" localSheetId="2">#REF!</definedName>
    <definedName name="Rest_Delta_rang2_3">#REF!</definedName>
    <definedName name="Rest_Delta_rang2_4" localSheetId="2">#REF!</definedName>
    <definedName name="Rest_Delta_rang2_4">#REF!</definedName>
    <definedName name="Rest_Delta_rang2_5" localSheetId="2">#REF!</definedName>
    <definedName name="Rest_Delta_rang2_5">#REF!</definedName>
    <definedName name="Rest_Delta_rang2_6" localSheetId="2">#REF!</definedName>
    <definedName name="Rest_Delta_rang2_6">#REF!</definedName>
    <definedName name="Rest_Delta_rang2_7" localSheetId="2">#REF!</definedName>
    <definedName name="Rest_Delta_rang2_7">#REF!</definedName>
    <definedName name="Rest_Delta_rang2_8" localSheetId="2">#REF!</definedName>
    <definedName name="Rest_Delta_rang2_8">#REF!</definedName>
    <definedName name="Rest_Delta_rang3_3" localSheetId="2">#REF!</definedName>
    <definedName name="Rest_Delta_rang3_3">#REF!</definedName>
    <definedName name="Rest_Delta_rang3_4" localSheetId="2">#REF!</definedName>
    <definedName name="Rest_Delta_rang3_4">#REF!</definedName>
    <definedName name="Rest_Delta_rang3_5" localSheetId="2">#REF!</definedName>
    <definedName name="Rest_Delta_rang3_5">#REF!</definedName>
    <definedName name="Rest_Delta_rang3_6" localSheetId="2">#REF!</definedName>
    <definedName name="Rest_Delta_rang3_6">#REF!</definedName>
    <definedName name="Rest_Delta_rang3_7" localSheetId="2">#REF!</definedName>
    <definedName name="Rest_Delta_rang3_7">#REF!</definedName>
    <definedName name="Rest_Delta_rang3_8" localSheetId="2">#REF!</definedName>
    <definedName name="Rest_Delta_rang3_8">#REF!</definedName>
    <definedName name="Rest_Delta_rang4_4" localSheetId="2">#REF!</definedName>
    <definedName name="Rest_Delta_rang4_4">#REF!</definedName>
    <definedName name="Rest_Delta_rang4_5" localSheetId="2">#REF!</definedName>
    <definedName name="Rest_Delta_rang4_5">#REF!</definedName>
    <definedName name="Rest_Delta_rang4_6" localSheetId="2">#REF!</definedName>
    <definedName name="Rest_Delta_rang4_6">#REF!</definedName>
    <definedName name="Rest_Delta_rang4_7" localSheetId="2">#REF!</definedName>
    <definedName name="Rest_Delta_rang4_7">#REF!</definedName>
    <definedName name="Rest_Delta_rang4_8" localSheetId="2">#REF!</definedName>
    <definedName name="Rest_Delta_rang4_8">#REF!</definedName>
    <definedName name="Rest_Delta_rang5_5" localSheetId="2">#REF!</definedName>
    <definedName name="Rest_Delta_rang5_5">#REF!</definedName>
    <definedName name="Rest_Delta_rang5_6" localSheetId="2">#REF!</definedName>
    <definedName name="Rest_Delta_rang5_6">#REF!</definedName>
    <definedName name="Rest_Delta_rang5_7" localSheetId="2">#REF!</definedName>
    <definedName name="Rest_Delta_rang5_7">#REF!</definedName>
    <definedName name="Rest_Delta_rang5_8" localSheetId="2">#REF!</definedName>
    <definedName name="Rest_Delta_rang5_8">#REF!</definedName>
    <definedName name="Rest_Delta_rang6_6" localSheetId="2">#REF!</definedName>
    <definedName name="Rest_Delta_rang6_6">#REF!</definedName>
    <definedName name="Rest_Delta_rang6_7" localSheetId="2">#REF!</definedName>
    <definedName name="Rest_Delta_rang6_7">#REF!</definedName>
    <definedName name="Rest_Delta_rang6_8" localSheetId="2">#REF!</definedName>
    <definedName name="Rest_Delta_rang6_8">#REF!</definedName>
    <definedName name="Rest_Delta_rang7_7" localSheetId="2">#REF!</definedName>
    <definedName name="Rest_Delta_rang7_7">#REF!</definedName>
    <definedName name="Rest_Delta_rang7_8" localSheetId="2">#REF!</definedName>
    <definedName name="Rest_Delta_rang7_8">#REF!</definedName>
    <definedName name="Rest_Delta_rang8_8" localSheetId="2">#REF!</definedName>
    <definedName name="Rest_Delta_rang8_8">#REF!</definedName>
    <definedName name="Rest_Fact_rang1_1" localSheetId="2">#REF!</definedName>
    <definedName name="Rest_Fact_rang1_1">#REF!</definedName>
    <definedName name="Rest_Fact_rang1_2" localSheetId="2">#REF!</definedName>
    <definedName name="Rest_Fact_rang1_2">#REF!</definedName>
    <definedName name="Rest_Fact_rang1_3" localSheetId="2">#REF!</definedName>
    <definedName name="Rest_Fact_rang1_3">#REF!</definedName>
    <definedName name="Rest_Fact_rang1_4" localSheetId="2">#REF!</definedName>
    <definedName name="Rest_Fact_rang1_4">#REF!</definedName>
    <definedName name="Rest_Fact_rang1_5" localSheetId="2">#REF!</definedName>
    <definedName name="Rest_Fact_rang1_5">#REF!</definedName>
    <definedName name="Rest_Fact_rang1_6" localSheetId="2">#REF!</definedName>
    <definedName name="Rest_Fact_rang1_6">#REF!</definedName>
    <definedName name="Rest_Fact_rang1_7" localSheetId="2">#REF!</definedName>
    <definedName name="Rest_Fact_rang1_7">#REF!</definedName>
    <definedName name="Rest_Fact_rang1_8" localSheetId="2">#REF!</definedName>
    <definedName name="Rest_Fact_rang1_8">#REF!</definedName>
    <definedName name="Rest_Fact_rang2_2" localSheetId="2">#REF!</definedName>
    <definedName name="Rest_Fact_rang2_2">#REF!</definedName>
    <definedName name="Rest_Fact_rang2_3" localSheetId="2">#REF!</definedName>
    <definedName name="Rest_Fact_rang2_3">#REF!</definedName>
    <definedName name="Rest_Fact_rang2_4" localSheetId="2">#REF!</definedName>
    <definedName name="Rest_Fact_rang2_4">#REF!</definedName>
    <definedName name="Rest_Fact_rang2_5" localSheetId="2">#REF!</definedName>
    <definedName name="Rest_Fact_rang2_5">#REF!</definedName>
    <definedName name="Rest_Fact_rang2_6" localSheetId="2">#REF!</definedName>
    <definedName name="Rest_Fact_rang2_6">#REF!</definedName>
    <definedName name="Rest_Fact_rang2_7" localSheetId="2">#REF!</definedName>
    <definedName name="Rest_Fact_rang2_7">#REF!</definedName>
    <definedName name="Rest_Fact_rang2_8" localSheetId="2">#REF!</definedName>
    <definedName name="Rest_Fact_rang2_8">#REF!</definedName>
    <definedName name="Rest_Fact_rang3_3" localSheetId="2">#REF!</definedName>
    <definedName name="Rest_Fact_rang3_3">#REF!</definedName>
    <definedName name="Rest_Fact_rang3_4" localSheetId="2">#REF!</definedName>
    <definedName name="Rest_Fact_rang3_4">#REF!</definedName>
    <definedName name="Rest_Fact_rang3_5" localSheetId="2">#REF!</definedName>
    <definedName name="Rest_Fact_rang3_5">#REF!</definedName>
    <definedName name="Rest_Fact_rang3_6" localSheetId="2">#REF!</definedName>
    <definedName name="Rest_Fact_rang3_6">#REF!</definedName>
    <definedName name="Rest_Fact_rang3_7" localSheetId="2">#REF!</definedName>
    <definedName name="Rest_Fact_rang3_7">#REF!</definedName>
    <definedName name="Rest_Fact_rang3_8" localSheetId="2">#REF!</definedName>
    <definedName name="Rest_Fact_rang3_8">#REF!</definedName>
    <definedName name="Rest_Fact_rang4_4" localSheetId="2">#REF!</definedName>
    <definedName name="Rest_Fact_rang4_4">#REF!</definedName>
    <definedName name="Rest_Fact_rang4_5" localSheetId="2">#REF!</definedName>
    <definedName name="Rest_Fact_rang4_5">#REF!</definedName>
    <definedName name="Rest_Fact_rang4_6" localSheetId="2">#REF!</definedName>
    <definedName name="Rest_Fact_rang4_6">#REF!</definedName>
    <definedName name="Rest_Fact_rang4_7" localSheetId="2">#REF!</definedName>
    <definedName name="Rest_Fact_rang4_7">#REF!</definedName>
    <definedName name="Rest_Fact_rang4_8" localSheetId="2">#REF!</definedName>
    <definedName name="Rest_Fact_rang4_8">#REF!</definedName>
    <definedName name="Rest_Fact_rang5_5" localSheetId="2">#REF!</definedName>
    <definedName name="Rest_Fact_rang5_5">#REF!</definedName>
    <definedName name="Rest_Fact_rang5_6" localSheetId="2">#REF!</definedName>
    <definedName name="Rest_Fact_rang5_6">#REF!</definedName>
    <definedName name="Rest_Fact_rang5_7" localSheetId="2">#REF!</definedName>
    <definedName name="Rest_Fact_rang5_7">#REF!</definedName>
    <definedName name="Rest_Fact_rang5_8" localSheetId="2">#REF!</definedName>
    <definedName name="Rest_Fact_rang5_8">#REF!</definedName>
    <definedName name="Rest_Fact_rang6_6" localSheetId="2">#REF!</definedName>
    <definedName name="Rest_Fact_rang6_6">#REF!</definedName>
    <definedName name="Rest_Fact_rang6_7" localSheetId="2">#REF!</definedName>
    <definedName name="Rest_Fact_rang6_7">#REF!</definedName>
    <definedName name="Rest_Fact_rang6_8" localSheetId="2">#REF!</definedName>
    <definedName name="Rest_Fact_rang6_8">#REF!</definedName>
    <definedName name="Rest_Fact_rang7_7" localSheetId="2">#REF!</definedName>
    <definedName name="Rest_Fact_rang7_7">#REF!</definedName>
    <definedName name="Rest_Fact_rang7_8" localSheetId="2">#REF!</definedName>
    <definedName name="Rest_Fact_rang7_8">#REF!</definedName>
    <definedName name="Rest_Fact_rang8_8" localSheetId="2">#REF!</definedName>
    <definedName name="Rest_Fact_rang8_8">#REF!</definedName>
    <definedName name="Rest_Plan_rang1_1" localSheetId="2">#REF!</definedName>
    <definedName name="Rest_Plan_rang1_1">#REF!</definedName>
    <definedName name="Rest_Plan_rang1_2" localSheetId="2">#REF!</definedName>
    <definedName name="Rest_Plan_rang1_2">#REF!</definedName>
    <definedName name="Rest_Plan_rang1_3" localSheetId="2">#REF!</definedName>
    <definedName name="Rest_Plan_rang1_3">#REF!</definedName>
    <definedName name="Rest_Plan_rang1_4" localSheetId="2">#REF!</definedName>
    <definedName name="Rest_Plan_rang1_4">#REF!</definedName>
    <definedName name="Rest_Plan_rang1_5" localSheetId="2">#REF!</definedName>
    <definedName name="Rest_Plan_rang1_5">#REF!</definedName>
    <definedName name="Rest_Plan_rang1_6" localSheetId="2">#REF!</definedName>
    <definedName name="Rest_Plan_rang1_6">#REF!</definedName>
    <definedName name="Rest_Plan_rang1_7" localSheetId="2">#REF!</definedName>
    <definedName name="Rest_Plan_rang1_7">#REF!</definedName>
    <definedName name="Rest_Plan_rang1_8" localSheetId="2">#REF!</definedName>
    <definedName name="Rest_Plan_rang1_8">#REF!</definedName>
    <definedName name="Rest_Plan_rang2_2" localSheetId="2">#REF!</definedName>
    <definedName name="Rest_Plan_rang2_2">#REF!</definedName>
    <definedName name="Rest_Plan_rang2_3" localSheetId="2">#REF!</definedName>
    <definedName name="Rest_Plan_rang2_3">#REF!</definedName>
    <definedName name="Rest_Plan_rang2_4" localSheetId="2">#REF!</definedName>
    <definedName name="Rest_Plan_rang2_4">#REF!</definedName>
    <definedName name="Rest_Plan_rang2_5" localSheetId="2">#REF!</definedName>
    <definedName name="Rest_Plan_rang2_5">#REF!</definedName>
    <definedName name="Rest_Plan_rang2_6" localSheetId="2">#REF!</definedName>
    <definedName name="Rest_Plan_rang2_6">#REF!</definedName>
    <definedName name="Rest_Plan_rang2_7" localSheetId="2">#REF!</definedName>
    <definedName name="Rest_Plan_rang2_7">#REF!</definedName>
    <definedName name="Rest_Plan_rang2_8" localSheetId="2">#REF!</definedName>
    <definedName name="Rest_Plan_rang2_8">#REF!</definedName>
    <definedName name="Rest_Plan_rang3_3" localSheetId="2">#REF!</definedName>
    <definedName name="Rest_Plan_rang3_3">#REF!</definedName>
    <definedName name="Rest_Plan_rang3_4" localSheetId="2">#REF!</definedName>
    <definedName name="Rest_Plan_rang3_4">#REF!</definedName>
    <definedName name="Rest_Plan_rang3_5" localSheetId="2">#REF!</definedName>
    <definedName name="Rest_Plan_rang3_5">#REF!</definedName>
    <definedName name="Rest_Plan_rang3_6" localSheetId="2">#REF!</definedName>
    <definedName name="Rest_Plan_rang3_6">#REF!</definedName>
    <definedName name="Rest_Plan_rang3_7" localSheetId="2">#REF!</definedName>
    <definedName name="Rest_Plan_rang3_7">#REF!</definedName>
    <definedName name="Rest_Plan_rang3_8" localSheetId="2">#REF!</definedName>
    <definedName name="Rest_Plan_rang3_8">#REF!</definedName>
    <definedName name="Rest_Plan_rang4_4" localSheetId="2">#REF!</definedName>
    <definedName name="Rest_Plan_rang4_4">#REF!</definedName>
    <definedName name="Rest_Plan_rang4_5" localSheetId="2">#REF!</definedName>
    <definedName name="Rest_Plan_rang4_5">#REF!</definedName>
    <definedName name="Rest_Plan_rang4_6" localSheetId="2">#REF!</definedName>
    <definedName name="Rest_Plan_rang4_6">#REF!</definedName>
    <definedName name="Rest_Plan_rang4_7" localSheetId="2">#REF!</definedName>
    <definedName name="Rest_Plan_rang4_7">#REF!</definedName>
    <definedName name="Rest_Plan_rang4_8" localSheetId="2">#REF!</definedName>
    <definedName name="Rest_Plan_rang4_8">#REF!</definedName>
    <definedName name="Rest_Plan_rang5_5" localSheetId="2">#REF!</definedName>
    <definedName name="Rest_Plan_rang5_5">#REF!</definedName>
    <definedName name="Rest_Plan_rang5_6" localSheetId="2">#REF!</definedName>
    <definedName name="Rest_Plan_rang5_6">#REF!</definedName>
    <definedName name="Rest_Plan_rang5_7" localSheetId="2">#REF!</definedName>
    <definedName name="Rest_Plan_rang5_7">#REF!</definedName>
    <definedName name="Rest_Plan_rang5_8" localSheetId="2">#REF!</definedName>
    <definedName name="Rest_Plan_rang5_8">#REF!</definedName>
    <definedName name="Rest_Plan_rang6_6" localSheetId="2">#REF!</definedName>
    <definedName name="Rest_Plan_rang6_6">#REF!</definedName>
    <definedName name="Rest_Plan_rang6_7" localSheetId="2">#REF!</definedName>
    <definedName name="Rest_Plan_rang6_7">#REF!</definedName>
    <definedName name="Rest_Plan_rang6_8" localSheetId="2">#REF!</definedName>
    <definedName name="Rest_Plan_rang6_8">#REF!</definedName>
    <definedName name="Rest_Plan_rang7_7" localSheetId="2">#REF!</definedName>
    <definedName name="Rest_Plan_rang7_7">#REF!</definedName>
    <definedName name="Rest_Plan_rang7_8" localSheetId="2">#REF!</definedName>
    <definedName name="Rest_Plan_rang7_8">#REF!</definedName>
    <definedName name="Rest_Plan_rang8_8" localSheetId="2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 localSheetId="2">#REF!</definedName>
    <definedName name="Rur_bap_1_rang1">#REF!</definedName>
    <definedName name="Rur_bap_1_rang2" localSheetId="2">#REF!</definedName>
    <definedName name="Rur_bap_1_rang2">#REF!</definedName>
    <definedName name="Rur_bap_1_rang3" localSheetId="2">#REF!</definedName>
    <definedName name="Rur_bap_1_rang3">#REF!</definedName>
    <definedName name="Rur_bap_1_rang4" localSheetId="2">#REF!</definedName>
    <definedName name="Rur_bap_1_rang4">#REF!</definedName>
    <definedName name="Rur_bap_1_rang5" localSheetId="2">#REF!</definedName>
    <definedName name="Rur_bap_1_rang5">#REF!</definedName>
    <definedName name="Rur_bap_1_rang6" localSheetId="2">#REF!</definedName>
    <definedName name="Rur_bap_1_rang6">#REF!</definedName>
    <definedName name="Rur_bap_1_rang7" localSheetId="2">#REF!</definedName>
    <definedName name="Rur_bap_1_rang7">#REF!</definedName>
    <definedName name="Rur_bap_1_rang8" localSheetId="2">#REF!</definedName>
    <definedName name="Rur_bap_1_rang8">#REF!</definedName>
    <definedName name="Rur_bap_2_rang1" localSheetId="2">#REF!</definedName>
    <definedName name="Rur_bap_2_rang1">#REF!</definedName>
    <definedName name="Rur_bap_2_rang2" localSheetId="2">#REF!</definedName>
    <definedName name="Rur_bap_2_rang2">#REF!</definedName>
    <definedName name="Rur_bap_2_rang3" localSheetId="2">#REF!</definedName>
    <definedName name="Rur_bap_2_rang3">#REF!</definedName>
    <definedName name="Rur_bap_2_rang4" localSheetId="2">#REF!</definedName>
    <definedName name="Rur_bap_2_rang4">#REF!</definedName>
    <definedName name="Rur_bap_2_rang5" localSheetId="2">#REF!</definedName>
    <definedName name="Rur_bap_2_rang5">#REF!</definedName>
    <definedName name="Rur_bap_2_rang6" localSheetId="2">#REF!</definedName>
    <definedName name="Rur_bap_2_rang6">#REF!</definedName>
    <definedName name="Rur_bap_2_rang7" localSheetId="2">#REF!</definedName>
    <definedName name="Rur_bap_2_rang7">#REF!</definedName>
    <definedName name="Rur_bap_2_rang8" localSheetId="2">#REF!</definedName>
    <definedName name="Rur_bap_2_rang8">#REF!</definedName>
    <definedName name="Rur_bap_3_rang1" localSheetId="2">#REF!</definedName>
    <definedName name="Rur_bap_3_rang1">#REF!</definedName>
    <definedName name="Rur_bap_3_rang2" localSheetId="2">#REF!</definedName>
    <definedName name="Rur_bap_3_rang2">#REF!</definedName>
    <definedName name="Rur_bap_3_rang3" localSheetId="2">#REF!</definedName>
    <definedName name="Rur_bap_3_rang3">#REF!</definedName>
    <definedName name="Rur_bap_3_rang4" localSheetId="2">#REF!</definedName>
    <definedName name="Rur_bap_3_rang4">#REF!</definedName>
    <definedName name="Rur_bap_3_rang5" localSheetId="2">#REF!</definedName>
    <definedName name="Rur_bap_3_rang5">#REF!</definedName>
    <definedName name="Rur_bap_3_rang6" localSheetId="2">#REF!</definedName>
    <definedName name="Rur_bap_3_rang6">#REF!</definedName>
    <definedName name="Rur_bap_3_rang7" localSheetId="2">#REF!</definedName>
    <definedName name="Rur_bap_3_rang7">#REF!</definedName>
    <definedName name="Rur_bap_3_rang8" localSheetId="2">#REF!</definedName>
    <definedName name="Rur_bap_3_rang8">#REF!</definedName>
    <definedName name="Rur_bap_4_rang1" localSheetId="2">#REF!</definedName>
    <definedName name="Rur_bap_4_rang1">#REF!</definedName>
    <definedName name="Rur_bap_4_rang2" localSheetId="2">#REF!</definedName>
    <definedName name="Rur_bap_4_rang2">#REF!</definedName>
    <definedName name="Rur_bap_4_rang3" localSheetId="2">#REF!</definedName>
    <definedName name="Rur_bap_4_rang3">#REF!</definedName>
    <definedName name="Rur_bap_4_rang4" localSheetId="2">#REF!</definedName>
    <definedName name="Rur_bap_4_rang4">#REF!</definedName>
    <definedName name="Rur_bap_4_rang5" localSheetId="2">#REF!</definedName>
    <definedName name="Rur_bap_4_rang5">#REF!</definedName>
    <definedName name="Rur_bap_4_rang6" localSheetId="2">#REF!</definedName>
    <definedName name="Rur_bap_4_rang6">#REF!</definedName>
    <definedName name="Rur_bap_4_rang7" localSheetId="2">#REF!</definedName>
    <definedName name="Rur_bap_4_rang7">#REF!</definedName>
    <definedName name="Rur_bap_4_rang8" localSheetId="2">#REF!</definedName>
    <definedName name="Rur_bap_4_rang8">#REF!</definedName>
    <definedName name="Rur_cur_12_rang1" localSheetId="2">#REF!</definedName>
    <definedName name="Rur_cur_12_rang1">#REF!</definedName>
    <definedName name="Rur_cur_12_rang2" localSheetId="2">#REF!</definedName>
    <definedName name="Rur_cur_12_rang2">#REF!</definedName>
    <definedName name="Rur_cur_12_rang3" localSheetId="2">#REF!</definedName>
    <definedName name="Rur_cur_12_rang3">#REF!</definedName>
    <definedName name="Rur_cur_12_rang4" localSheetId="2">#REF!</definedName>
    <definedName name="Rur_cur_12_rang4">#REF!</definedName>
    <definedName name="Rur_cur_12_rang5" localSheetId="2">#REF!</definedName>
    <definedName name="Rur_cur_12_rang5">#REF!</definedName>
    <definedName name="Rur_cur_12_rang6" localSheetId="2">#REF!</definedName>
    <definedName name="Rur_cur_12_rang6">#REF!</definedName>
    <definedName name="Rur_cur_12_rang7" localSheetId="2">#REF!</definedName>
    <definedName name="Rur_cur_12_rang7">#REF!</definedName>
    <definedName name="Rur_cur_12_rang8" localSheetId="2">#REF!</definedName>
    <definedName name="Rur_cur_12_rang8">#REF!</definedName>
    <definedName name="Rur_next_12_rang1" localSheetId="2">#REF!</definedName>
    <definedName name="Rur_next_12_rang1">#REF!</definedName>
    <definedName name="Rur_next_12_rang2" localSheetId="2">#REF!</definedName>
    <definedName name="Rur_next_12_rang2">#REF!</definedName>
    <definedName name="Rur_next_12_rang3" localSheetId="2">#REF!</definedName>
    <definedName name="Rur_next_12_rang3">#REF!</definedName>
    <definedName name="Rur_next_12_rang4" localSheetId="2">#REF!</definedName>
    <definedName name="Rur_next_12_rang4">#REF!</definedName>
    <definedName name="Rur_next_12_rang5" localSheetId="2">#REF!</definedName>
    <definedName name="Rur_next_12_rang5">#REF!</definedName>
    <definedName name="Rur_next_12_rang6" localSheetId="2">#REF!</definedName>
    <definedName name="Rur_next_12_rang6">#REF!</definedName>
    <definedName name="Rur_next_12_rang7" localSheetId="2">#REF!</definedName>
    <definedName name="Rur_next_12_rang7">#REF!</definedName>
    <definedName name="Rur_next_12_rang8" localSheetId="2">#REF!</definedName>
    <definedName name="Rur_next_12_rang8">#REF!</definedName>
    <definedName name="Rur_next_3_rang1" localSheetId="2">#REF!</definedName>
    <definedName name="Rur_next_3_rang1">#REF!</definedName>
    <definedName name="Rur_next_3_rang2" localSheetId="2">#REF!</definedName>
    <definedName name="Rur_next_3_rang2">#REF!</definedName>
    <definedName name="Rur_next_3_rang3" localSheetId="2">#REF!</definedName>
    <definedName name="Rur_next_3_rang3">#REF!</definedName>
    <definedName name="Rur_next_3_rang4" localSheetId="2">#REF!</definedName>
    <definedName name="Rur_next_3_rang4">#REF!</definedName>
    <definedName name="Rur_next_3_rang5" localSheetId="2">#REF!</definedName>
    <definedName name="Rur_next_3_rang5">#REF!</definedName>
    <definedName name="Rur_next_3_rang6" localSheetId="2">#REF!</definedName>
    <definedName name="Rur_next_3_rang6">#REF!</definedName>
    <definedName name="Rur_next_3_rang7" localSheetId="2">#REF!</definedName>
    <definedName name="Rur_next_3_rang7">#REF!</definedName>
    <definedName name="Rur_next_3_rang8" localSheetId="2">#REF!</definedName>
    <definedName name="Rur_next_3_rang8">#REF!</definedName>
    <definedName name="Rur_next_6_rang1" localSheetId="2">#REF!</definedName>
    <definedName name="Rur_next_6_rang1">#REF!</definedName>
    <definedName name="Rur_next_6_rang2" localSheetId="2">#REF!</definedName>
    <definedName name="Rur_next_6_rang2">#REF!</definedName>
    <definedName name="Rur_next_6_rang3" localSheetId="2">#REF!</definedName>
    <definedName name="Rur_next_6_rang3">#REF!</definedName>
    <definedName name="Rur_next_6_rang4" localSheetId="2">#REF!</definedName>
    <definedName name="Rur_next_6_rang4">#REF!</definedName>
    <definedName name="Rur_next_6_rang5" localSheetId="2">#REF!</definedName>
    <definedName name="Rur_next_6_rang5">#REF!</definedName>
    <definedName name="Rur_next_6_rang6" localSheetId="2">#REF!</definedName>
    <definedName name="Rur_next_6_rang6">#REF!</definedName>
    <definedName name="Rur_next_6_rang7" localSheetId="2">#REF!</definedName>
    <definedName name="Rur_next_6_rang7">#REF!</definedName>
    <definedName name="Rur_next_6_rang8" localSheetId="2">#REF!</definedName>
    <definedName name="Rur_next_6_rang8">#REF!</definedName>
    <definedName name="Rur_next_9_rang1" localSheetId="2">#REF!</definedName>
    <definedName name="Rur_next_9_rang1">#REF!</definedName>
    <definedName name="Rur_next_9_rang2" localSheetId="2">#REF!</definedName>
    <definedName name="Rur_next_9_rang2">#REF!</definedName>
    <definedName name="Rur_next_9_rang3" localSheetId="2">#REF!</definedName>
    <definedName name="Rur_next_9_rang3">#REF!</definedName>
    <definedName name="Rur_next_9_rang4" localSheetId="2">#REF!</definedName>
    <definedName name="Rur_next_9_rang4">#REF!</definedName>
    <definedName name="Rur_next_9_rang5" localSheetId="2">#REF!</definedName>
    <definedName name="Rur_next_9_rang5">#REF!</definedName>
    <definedName name="Rur_next_9_rang6" localSheetId="2">#REF!</definedName>
    <definedName name="Rur_next_9_rang6">#REF!</definedName>
    <definedName name="Rur_next_9_rang7" localSheetId="2">#REF!</definedName>
    <definedName name="Rur_next_9_rang7">#REF!</definedName>
    <definedName name="Rur_next_9_rang8" localSheetId="2">#REF!</definedName>
    <definedName name="Rur_next_9_rang8">#REF!</definedName>
    <definedName name="s" localSheetId="3">'[3]Alpha Num Cumulative  DR'!#REF!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3">'[3]Alpha Numeric WACD Rates'!#REF!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 localSheetId="2">#REF!</definedName>
    <definedName name="Smetoobr_name_rang1">#REF!</definedName>
    <definedName name="Smetoobr_name_rang2" localSheetId="2">#REF!</definedName>
    <definedName name="Smetoobr_name_rang2">#REF!</definedName>
    <definedName name="Smetoobr_name_rang3" localSheetId="2">#REF!</definedName>
    <definedName name="Smetoobr_name_rang3">#REF!</definedName>
    <definedName name="Smetoobr_name_rang4" localSheetId="2">#REF!</definedName>
    <definedName name="Smetoobr_name_rang4">#REF!</definedName>
    <definedName name="Smetoobr_name_rang5" localSheetId="2">#REF!</definedName>
    <definedName name="Smetoobr_name_rang5">#REF!</definedName>
    <definedName name="Smetoobr_name_rang6" localSheetId="2">#REF!</definedName>
    <definedName name="Smetoobr_name_rang6">#REF!</definedName>
    <definedName name="Smetoobr_name_rang7" localSheetId="2">#REF!</definedName>
    <definedName name="Smetoobr_name_rang7">#REF!</definedName>
    <definedName name="Smetoobr_name_rang8" localSheetId="2">#REF!</definedName>
    <definedName name="Smetoobr_name_rang8">#REF!</definedName>
    <definedName name="solver_adj" localSheetId="3" hidden="1">'РейтPD FRED Graph'!#REF!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3" hidden="1">2</definedName>
    <definedName name="solver_drv">2</definedName>
    <definedName name="solver_eng" localSheetId="3" hidden="1">1</definedName>
    <definedName name="solver_est" localSheetId="3" hidden="1">1</definedName>
    <definedName name="solver_est">1</definedName>
    <definedName name="solver_itr" localSheetId="3" hidden="1">2147483647</definedName>
    <definedName name="solver_itr">10000</definedName>
    <definedName name="solver_lhs1" localSheetId="3" hidden="1">'РейтPD FRED Graph'!#REF!</definedName>
    <definedName name="solver_lhs2" localSheetId="3" hidden="1">'РейтPD FRED Graph'!#REF!</definedName>
    <definedName name="solver_lhs3" localSheetId="3" hidden="1">'РейтPD FRED Graph'!#REF!</definedName>
    <definedName name="solver_lhs4" localSheetId="3" hidden="1">'РейтPD FRED Graph'!#REF!</definedName>
    <definedName name="solver_lhs5" localSheetId="3" hidden="1">'РейтPD FRED Graph'!#REF!</definedName>
    <definedName name="solver_lhs6" localSheetId="3" hidden="1">'РейтPD FRED Graph'!#REF!</definedName>
    <definedName name="solver_lhs7" localSheetId="3" hidden="1">'РейтPD FRED Graph'!#REF!</definedName>
    <definedName name="solver_lhs8" localSheetId="3" hidden="1">'РейтPD FRED Graph'!#REF!</definedName>
    <definedName name="solver_lhs9" localSheetId="3" hidden="1">'РейтPD FRED Graph'!#REF!</definedName>
    <definedName name="solver_lin">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eg">2</definedName>
    <definedName name="solver_nod" localSheetId="3" hidden="1">2147483647</definedName>
    <definedName name="solver_num" localSheetId="3" hidden="1">9</definedName>
    <definedName name="solver_num">2</definedName>
    <definedName name="solver_nwt" localSheetId="3" hidden="1">1</definedName>
    <definedName name="solver_nwt">2</definedName>
    <definedName name="solver_opt" localSheetId="3" hidden="1">'РейтPD FRED Graph'!#REF!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3" hidden="1">2</definedName>
    <definedName name="solver_rel1" localSheetId="3" hidden="1">1</definedName>
    <definedName name="solver_rel1">3</definedName>
    <definedName name="solver_rel2" localSheetId="3" hidden="1">3</definedName>
    <definedName name="solver_rel2">3</definedName>
    <definedName name="solver_rel3" localSheetId="3" hidden="1">1</definedName>
    <definedName name="solver_rel3">2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3</definedName>
    <definedName name="solver_rel8" localSheetId="3" hidden="1">1</definedName>
    <definedName name="solver_rel9" localSheetId="3" hidden="1">1</definedName>
    <definedName name="solver_rhs1" localSheetId="3" hidden="1">0.1</definedName>
    <definedName name="solver_rhs1">0</definedName>
    <definedName name="solver_rhs2" localSheetId="3" hidden="1">0.06</definedName>
    <definedName name="solver_rhs2">0</definedName>
    <definedName name="solver_rhs3" localSheetId="3" hidden="1">0.06</definedName>
    <definedName name="solver_rhs4" localSheetId="3" hidden="1">0.03</definedName>
    <definedName name="solver_rhs5" localSheetId="3" hidden="1">0.04</definedName>
    <definedName name="solver_rhs6" localSheetId="3" hidden="1">0.03</definedName>
    <definedName name="solver_rhs7" localSheetId="3" hidden="1">0.0075</definedName>
    <definedName name="solver_rhs8" localSheetId="3" hidden="1">0.01</definedName>
    <definedName name="solver_rhs9" localSheetId="3" hidden="1">0.1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cl">1</definedName>
    <definedName name="solver_sho" localSheetId="3" hidden="1">2</definedName>
    <definedName name="solver_sho">2</definedName>
    <definedName name="solver_ssz" localSheetId="3" hidden="1">100</definedName>
    <definedName name="solver_tim" localSheetId="3" hidden="1">2147483647</definedName>
    <definedName name="solver_tim">120</definedName>
    <definedName name="solver_tol" localSheetId="3" hidden="1">0.01</definedName>
    <definedName name="solver_tol">0.001</definedName>
    <definedName name="solver_typ" localSheetId="3" hidden="1">1</definedName>
    <definedName name="solver_typ">2</definedName>
    <definedName name="solver_val" localSheetId="3" hidden="1">0</definedName>
    <definedName name="solver_val">0</definedName>
    <definedName name="solver_ver" localSheetId="3" hidden="1">3</definedName>
    <definedName name="StabilityBands">'[1]StabilityBands-4Yr'!$AC$2:$AE$62</definedName>
    <definedName name="Start1" localSheetId="3">#REF!</definedName>
    <definedName name="Start1" localSheetId="2">#REF!</definedName>
    <definedName name="Start1">#REF!</definedName>
    <definedName name="Start3" localSheetId="2">'[11]Global Corporate Default Rates'!#REF!</definedName>
    <definedName name="Start3">'[11]Global Corporate Default Rates'!#REF!</definedName>
    <definedName name="Start4" localSheetId="3">#REF!</definedName>
    <definedName name="Start4" localSheetId="2">#REF!</definedName>
    <definedName name="Start4">#REF!</definedName>
    <definedName name="Subj_Name" localSheetId="2">'[9]бдр 1 кв'!#REF!</definedName>
    <definedName name="Subj_Name">'[9]бдр 1 кв'!#REF!</definedName>
    <definedName name="Subj_Name_2" localSheetId="2">#REF!</definedName>
    <definedName name="Subj_Name_2">#REF!</definedName>
    <definedName name="sum_rub_1_1" localSheetId="2">#REF!</definedName>
    <definedName name="sum_rub_1_1">#REF!</definedName>
    <definedName name="sum_rub_1_2" localSheetId="2">#REF!</definedName>
    <definedName name="sum_rub_1_2">#REF!</definedName>
    <definedName name="sum_rub_1_3" localSheetId="2">#REF!</definedName>
    <definedName name="sum_rub_1_3">#REF!</definedName>
    <definedName name="sum_rub_1_4" localSheetId="2">#REF!</definedName>
    <definedName name="sum_rub_1_4">#REF!</definedName>
    <definedName name="sum_rub_1_5" localSheetId="2">#REF!</definedName>
    <definedName name="sum_rub_1_5">#REF!</definedName>
    <definedName name="sum_rub_1_6" localSheetId="2">#REF!</definedName>
    <definedName name="sum_rub_1_6">#REF!</definedName>
    <definedName name="sum_rub_1_7" localSheetId="2">#REF!</definedName>
    <definedName name="sum_rub_1_7">#REF!</definedName>
    <definedName name="sum_rub_1_8" localSheetId="2">#REF!</definedName>
    <definedName name="sum_rub_1_8">#REF!</definedName>
    <definedName name="sum_rub_2_1" localSheetId="2">#REF!</definedName>
    <definedName name="sum_rub_2_1">#REF!</definedName>
    <definedName name="sum_rub_2_2" localSheetId="2">#REF!</definedName>
    <definedName name="sum_rub_2_2">#REF!</definedName>
    <definedName name="sum_rub_2_3" localSheetId="2">#REF!</definedName>
    <definedName name="sum_rub_2_3">#REF!</definedName>
    <definedName name="sum_rub_2_4" localSheetId="2">#REF!</definedName>
    <definedName name="sum_rub_2_4">#REF!</definedName>
    <definedName name="sum_rub_2_5" localSheetId="2">#REF!</definedName>
    <definedName name="sum_rub_2_5">#REF!</definedName>
    <definedName name="sum_rub_3_1" localSheetId="2">#REF!</definedName>
    <definedName name="sum_rub_3_1">#REF!</definedName>
    <definedName name="sum_rub_3_2" localSheetId="2">#REF!</definedName>
    <definedName name="sum_rub_3_2">#REF!</definedName>
    <definedName name="sum_rub_3_3" localSheetId="2">#REF!</definedName>
    <definedName name="sum_rub_3_3">#REF!</definedName>
    <definedName name="sum_rub_3_4" localSheetId="2">#REF!</definedName>
    <definedName name="sum_rub_3_4">#REF!</definedName>
    <definedName name="sum_rub_3_5" localSheetId="2">#REF!</definedName>
    <definedName name="sum_rub_3_5">#REF!</definedName>
    <definedName name="sum_rub_4_1" localSheetId="2">#REF!</definedName>
    <definedName name="sum_rub_4_1">#REF!</definedName>
    <definedName name="sum_rub_4_2" localSheetId="2">#REF!</definedName>
    <definedName name="sum_rub_4_2">#REF!</definedName>
    <definedName name="sum_rub_4_3" localSheetId="2">#REF!</definedName>
    <definedName name="sum_rub_4_3">#REF!</definedName>
    <definedName name="sum_rub_4_4" localSheetId="2">#REF!</definedName>
    <definedName name="sum_rub_4_4">#REF!</definedName>
    <definedName name="sum_rub_4_5" localSheetId="2">#REF!</definedName>
    <definedName name="sum_rub_4_5">#REF!</definedName>
    <definedName name="sum_val_1_1" localSheetId="2">#REF!</definedName>
    <definedName name="sum_val_1_1">#REF!</definedName>
    <definedName name="sum_val_1_2" localSheetId="2">#REF!</definedName>
    <definedName name="sum_val_1_2">#REF!</definedName>
    <definedName name="sum_val_1_3" localSheetId="2">#REF!</definedName>
    <definedName name="sum_val_1_3">#REF!</definedName>
    <definedName name="sum_val_1_4" localSheetId="2">#REF!</definedName>
    <definedName name="sum_val_1_4">#REF!</definedName>
    <definedName name="sum_val_1_5" localSheetId="2">#REF!</definedName>
    <definedName name="sum_val_1_5">#REF!</definedName>
    <definedName name="sum_val_1_6" localSheetId="2">#REF!</definedName>
    <definedName name="sum_val_1_6">#REF!</definedName>
    <definedName name="sum_val_1_7" localSheetId="2">#REF!</definedName>
    <definedName name="sum_val_1_7">#REF!</definedName>
    <definedName name="sum_val_1_8" localSheetId="2">#REF!</definedName>
    <definedName name="sum_val_1_8">#REF!</definedName>
    <definedName name="sum_val_2_1" localSheetId="2">#REF!</definedName>
    <definedName name="sum_val_2_1">#REF!</definedName>
    <definedName name="sum_val_2_2" localSheetId="2">#REF!</definedName>
    <definedName name="sum_val_2_2">#REF!</definedName>
    <definedName name="sum_val_2_3" localSheetId="2">#REF!</definedName>
    <definedName name="sum_val_2_3">#REF!</definedName>
    <definedName name="sum_val_2_4" localSheetId="2">#REF!</definedName>
    <definedName name="sum_val_2_4">#REF!</definedName>
    <definedName name="sum_val_2_5" localSheetId="2">#REF!</definedName>
    <definedName name="sum_val_2_5">#REF!</definedName>
    <definedName name="sum_val_3_1" localSheetId="2">#REF!</definedName>
    <definedName name="sum_val_3_1">#REF!</definedName>
    <definedName name="sum_val_3_2" localSheetId="2">#REF!</definedName>
    <definedName name="sum_val_3_2">#REF!</definedName>
    <definedName name="sum_val_3_3" localSheetId="2">#REF!</definedName>
    <definedName name="sum_val_3_3">#REF!</definedName>
    <definedName name="sum_val_3_4" localSheetId="2">#REF!</definedName>
    <definedName name="sum_val_3_4">#REF!</definedName>
    <definedName name="sum_val_3_5" localSheetId="2">#REF!</definedName>
    <definedName name="sum_val_3_5">#REF!</definedName>
    <definedName name="sum_val_4_1" localSheetId="2">#REF!</definedName>
    <definedName name="sum_val_4_1">#REF!</definedName>
    <definedName name="sum_val_4_2" localSheetId="2">#REF!</definedName>
    <definedName name="sum_val_4_2">#REF!</definedName>
    <definedName name="sum_val_4_3" localSheetId="2">#REF!</definedName>
    <definedName name="sum_val_4_3">#REF!</definedName>
    <definedName name="sum_val_4_4" localSheetId="2">#REF!</definedName>
    <definedName name="sum_val_4_4">#REF!</definedName>
    <definedName name="sum_val_4_5" localSheetId="2">#REF!</definedName>
    <definedName name="sum_val_4_5">#REF!</definedName>
    <definedName name="Svod" localSheetId="2">'[9]бдр 1 кв'!#REF!</definedName>
    <definedName name="Svod">'[9]бдр 1 кв'!#REF!</definedName>
    <definedName name="Svod_2" localSheetId="2">#REF!</definedName>
    <definedName name="Svod_2">#REF!</definedName>
    <definedName name="synt_1" localSheetId="2">#REF!</definedName>
    <definedName name="synt_1">#REF!</definedName>
    <definedName name="synt_2" localSheetId="2">#REF!</definedName>
    <definedName name="synt_2">#REF!</definedName>
    <definedName name="synt_3" localSheetId="2">#REF!</definedName>
    <definedName name="synt_3">#REF!</definedName>
    <definedName name="synt_4" localSheetId="2">#REF!</definedName>
    <definedName name="synt_4">#REF!</definedName>
    <definedName name="synt_5" localSheetId="2">#REF!</definedName>
    <definedName name="synt_5">#REF!</definedName>
    <definedName name="synt_6" localSheetId="2">#REF!</definedName>
    <definedName name="synt_6">#REF!</definedName>
    <definedName name="synt_7" localSheetId="2">#REF!</definedName>
    <definedName name="synt_7">#REF!</definedName>
    <definedName name="synt_8" localSheetId="2">#REF!</definedName>
    <definedName name="synt_8">#REF!</definedName>
    <definedName name="synt_name_1" localSheetId="2">#REF!</definedName>
    <definedName name="synt_name_1">#REF!</definedName>
    <definedName name="synt_name_2" localSheetId="2">#REF!</definedName>
    <definedName name="synt_name_2">#REF!</definedName>
    <definedName name="synt_name_3" localSheetId="2">#REF!</definedName>
    <definedName name="synt_name_3">#REF!</definedName>
    <definedName name="synt_name_4" localSheetId="2">#REF!</definedName>
    <definedName name="synt_name_4">#REF!</definedName>
    <definedName name="synt_name_5" localSheetId="2">#REF!</definedName>
    <definedName name="synt_name_5">#REF!</definedName>
    <definedName name="synt_name_6" localSheetId="2">#REF!</definedName>
    <definedName name="synt_name_6">#REF!</definedName>
    <definedName name="synt_name_7" localSheetId="2">#REF!</definedName>
    <definedName name="synt_name_7">#REF!</definedName>
    <definedName name="synt_name_8" localSheetId="2">#REF!</definedName>
    <definedName name="synt_name_8">#REF!</definedName>
    <definedName name="t" localSheetId="3">#REF!</definedName>
    <definedName name="t" localSheetId="2">#REF!</definedName>
    <definedName name="t">#REF!</definedName>
    <definedName name="Table_Hdr_2" localSheetId="2">#REF!</definedName>
    <definedName name="Table_Hdr_2">#REF!</definedName>
    <definedName name="table_header" localSheetId="2">#REF!</definedName>
    <definedName name="table_header">#REF!</definedName>
    <definedName name="table_line_1" localSheetId="2">#REF!</definedName>
    <definedName name="table_line_1">#REF!</definedName>
    <definedName name="table_line_2" localSheetId="2">#REF!</definedName>
    <definedName name="table_line_2">#REF!</definedName>
    <definedName name="table_line_3" localSheetId="2">#REF!</definedName>
    <definedName name="table_line_3">#REF!</definedName>
    <definedName name="table_line_4" localSheetId="2">#REF!</definedName>
    <definedName name="table_line_4">#REF!</definedName>
    <definedName name="table_line_5" localSheetId="2">#REF!</definedName>
    <definedName name="table_line_5">#REF!</definedName>
    <definedName name="table_line_6" localSheetId="2">#REF!</definedName>
    <definedName name="table_line_6">#REF!</definedName>
    <definedName name="table_line_7" localSheetId="2">#REF!</definedName>
    <definedName name="table_line_7">#REF!</definedName>
    <definedName name="table_line_8" localSheetId="2">#REF!</definedName>
    <definedName name="table_line_8">#REF!</definedName>
    <definedName name="table_row" localSheetId="2">#REF!</definedName>
    <definedName name="table_row">#REF!</definedName>
    <definedName name="TableName">"Dummy"</definedName>
    <definedName name="TM1REBUILDOPTION">1</definedName>
    <definedName name="Total" localSheetId="2">#REF!</definedName>
    <definedName name="Total">#REF!</definedName>
    <definedName name="total_fil" localSheetId="2">#REF!</definedName>
    <definedName name="total_fil">#REF!</definedName>
    <definedName name="Total_Name_rang1" localSheetId="2">#REF!</definedName>
    <definedName name="Total_Name_rang1">#REF!</definedName>
    <definedName name="Total_Name_rang2" localSheetId="2">#REF!</definedName>
    <definedName name="Total_Name_rang2">#REF!</definedName>
    <definedName name="Total_R" localSheetId="2">#REF!</definedName>
    <definedName name="Total_R">#REF!</definedName>
    <definedName name="Total_rang1" localSheetId="2">#REF!</definedName>
    <definedName name="Total_rang1">#REF!</definedName>
    <definedName name="Total_rang2" localSheetId="2">#REF!</definedName>
    <definedName name="Total_rang2">#REF!</definedName>
    <definedName name="total_rest" localSheetId="2">#REF!</definedName>
    <definedName name="total_rest">#REF!</definedName>
    <definedName name="Total_Rest_Delta" localSheetId="2">#REF!</definedName>
    <definedName name="Total_Rest_Delta">#REF!</definedName>
    <definedName name="Total_Rest_Delta_R" localSheetId="2">#REF!</definedName>
    <definedName name="Total_Rest_Delta_R">#REF!</definedName>
    <definedName name="Total_Rest_Delta_rang1" localSheetId="2">#REF!</definedName>
    <definedName name="Total_Rest_Delta_rang1">#REF!</definedName>
    <definedName name="Total_Rest_Delta_rang2" localSheetId="2">#REF!</definedName>
    <definedName name="Total_Rest_Delta_rang2">#REF!</definedName>
    <definedName name="Total_Rest_Fact" localSheetId="2">#REF!</definedName>
    <definedName name="Total_Rest_Fact">#REF!</definedName>
    <definedName name="Total_Rest_Fact_R" localSheetId="2">#REF!</definedName>
    <definedName name="Total_Rest_Fact_R">#REF!</definedName>
    <definedName name="Total_Rest_Fact_rang1" localSheetId="2">#REF!</definedName>
    <definedName name="Total_Rest_Fact_rang1">#REF!</definedName>
    <definedName name="Total_Rest_Fact_rang2" localSheetId="2">#REF!</definedName>
    <definedName name="Total_Rest_Fact_rang2">#REF!</definedName>
    <definedName name="Total_Rest_Plan" localSheetId="2">#REF!</definedName>
    <definedName name="Total_Rest_Plan">#REF!</definedName>
    <definedName name="Total_Rest_Plan_R" localSheetId="2">#REF!</definedName>
    <definedName name="Total_Rest_Plan_R">#REF!</definedName>
    <definedName name="Total_Rest_Plan_rang1" localSheetId="2">#REF!</definedName>
    <definedName name="Total_Rest_Plan_rang1">#REF!</definedName>
    <definedName name="Total_Rest_Plan_rang2" localSheetId="2">#REF!</definedName>
    <definedName name="Total_Rest_Plan_rang2">#REF!</definedName>
    <definedName name="total_row" localSheetId="2">#REF!</definedName>
    <definedName name="total_row">#REF!</definedName>
    <definedName name="total_text" localSheetId="2">#REF!</definedName>
    <definedName name="total_text">#REF!</definedName>
    <definedName name="Tri_RR_">[1]Buffer!$J$2:$J$5</definedName>
    <definedName name="TriSection">'[1]StabilityBands-4Yr'!$F$2:$K$45</definedName>
    <definedName name="type" localSheetId="2">#REF!</definedName>
    <definedName name="type">#REF!</definedName>
    <definedName name="u" localSheetId="2">'[3]Letter Numerators'!#REF!</definedName>
    <definedName name="u">'[3]Letter Numerators'!#REF!</definedName>
    <definedName name="UpDp2Rtg_Lookup_">'[1]Source Tables'!$G$6:$H$26</definedName>
    <definedName name="v" localSheetId="2">'[3]Letter Denominators'!#REF!</definedName>
    <definedName name="v">'[3]Letter Denominators'!#REF!</definedName>
    <definedName name="Val" localSheetId="2">'[9]бдр 1 кв'!#REF!</definedName>
    <definedName name="Val">'[9]бдр 1 кв'!#REF!</definedName>
    <definedName name="Val_2" localSheetId="2">#REF!</definedName>
    <definedName name="Val_2">#REF!</definedName>
    <definedName name="Val_bap_1_rang1" localSheetId="2">#REF!</definedName>
    <definedName name="Val_bap_1_rang1">#REF!</definedName>
    <definedName name="Val_bap_1_rang2" localSheetId="2">#REF!</definedName>
    <definedName name="Val_bap_1_rang2">#REF!</definedName>
    <definedName name="Val_bap_1_rang3" localSheetId="2">#REF!</definedName>
    <definedName name="Val_bap_1_rang3">#REF!</definedName>
    <definedName name="Val_bap_1_rang4" localSheetId="2">#REF!</definedName>
    <definedName name="Val_bap_1_rang4">#REF!</definedName>
    <definedName name="Val_bap_1_rang5" localSheetId="2">#REF!</definedName>
    <definedName name="Val_bap_1_rang5">#REF!</definedName>
    <definedName name="Val_bap_1_rang6" localSheetId="2">#REF!</definedName>
    <definedName name="Val_bap_1_rang6">#REF!</definedName>
    <definedName name="Val_bap_1_rang7" localSheetId="2">#REF!</definedName>
    <definedName name="Val_bap_1_rang7">#REF!</definedName>
    <definedName name="Val_bap_1_rang8" localSheetId="2">#REF!</definedName>
    <definedName name="Val_bap_1_rang8">#REF!</definedName>
    <definedName name="Val_bap_2_rang1" localSheetId="2">#REF!</definedName>
    <definedName name="Val_bap_2_rang1">#REF!</definedName>
    <definedName name="Val_bap_2_rang2" localSheetId="2">#REF!</definedName>
    <definedName name="Val_bap_2_rang2">#REF!</definedName>
    <definedName name="Val_bap_2_rang3" localSheetId="2">#REF!</definedName>
    <definedName name="Val_bap_2_rang3">#REF!</definedName>
    <definedName name="Val_bap_2_rang4" localSheetId="2">#REF!</definedName>
    <definedName name="Val_bap_2_rang4">#REF!</definedName>
    <definedName name="Val_bap_2_rang5" localSheetId="2">#REF!</definedName>
    <definedName name="Val_bap_2_rang5">#REF!</definedName>
    <definedName name="Val_bap_2_rang6" localSheetId="2">#REF!</definedName>
    <definedName name="Val_bap_2_rang6">#REF!</definedName>
    <definedName name="Val_bap_2_rang7" localSheetId="2">#REF!</definedName>
    <definedName name="Val_bap_2_rang7">#REF!</definedName>
    <definedName name="Val_bap_2_rang8" localSheetId="2">#REF!</definedName>
    <definedName name="Val_bap_2_rang8">#REF!</definedName>
    <definedName name="Val_bap_3_rang1" localSheetId="2">#REF!</definedName>
    <definedName name="Val_bap_3_rang1">#REF!</definedName>
    <definedName name="Val_bap_3_rang2" localSheetId="2">#REF!</definedName>
    <definedName name="Val_bap_3_rang2">#REF!</definedName>
    <definedName name="Val_bap_3_rang3" localSheetId="2">#REF!</definedName>
    <definedName name="Val_bap_3_rang3">#REF!</definedName>
    <definedName name="Val_bap_3_rang4" localSheetId="2">#REF!</definedName>
    <definedName name="Val_bap_3_rang4">#REF!</definedName>
    <definedName name="Val_bap_3_rang5" localSheetId="2">#REF!</definedName>
    <definedName name="Val_bap_3_rang5">#REF!</definedName>
    <definedName name="Val_bap_3_rang6" localSheetId="2">#REF!</definedName>
    <definedName name="Val_bap_3_rang6">#REF!</definedName>
    <definedName name="Val_bap_3_rang7" localSheetId="2">#REF!</definedName>
    <definedName name="Val_bap_3_rang7">#REF!</definedName>
    <definedName name="Val_bap_3_rang8" localSheetId="2">#REF!</definedName>
    <definedName name="Val_bap_3_rang8">#REF!</definedName>
    <definedName name="Val_bap_4_rang1" localSheetId="2">#REF!</definedName>
    <definedName name="Val_bap_4_rang1">#REF!</definedName>
    <definedName name="Val_bap_4_rang2" localSheetId="2">#REF!</definedName>
    <definedName name="Val_bap_4_rang2">#REF!</definedName>
    <definedName name="Val_bap_4_rang3" localSheetId="2">#REF!</definedName>
    <definedName name="Val_bap_4_rang3">#REF!</definedName>
    <definedName name="Val_bap_4_rang4" localSheetId="2">#REF!</definedName>
    <definedName name="Val_bap_4_rang4">#REF!</definedName>
    <definedName name="Val_bap_4_rang5" localSheetId="2">#REF!</definedName>
    <definedName name="Val_bap_4_rang5">#REF!</definedName>
    <definedName name="Val_bap_4_rang6" localSheetId="2">#REF!</definedName>
    <definedName name="Val_bap_4_rang6">#REF!</definedName>
    <definedName name="Val_bap_4_rang7" localSheetId="2">#REF!</definedName>
    <definedName name="Val_bap_4_rang7">#REF!</definedName>
    <definedName name="Val_bap_4_rang8" localSheetId="2">#REF!</definedName>
    <definedName name="Val_bap_4_rang8">#REF!</definedName>
    <definedName name="Val_cur_12_rang1" localSheetId="2">#REF!</definedName>
    <definedName name="Val_cur_12_rang1">#REF!</definedName>
    <definedName name="Val_cur_12_rang2" localSheetId="2">#REF!</definedName>
    <definedName name="Val_cur_12_rang2">#REF!</definedName>
    <definedName name="Val_cur_12_rang3" localSheetId="2">#REF!</definedName>
    <definedName name="Val_cur_12_rang3">#REF!</definedName>
    <definedName name="Val_cur_12_rang4" localSheetId="2">#REF!</definedName>
    <definedName name="Val_cur_12_rang4">#REF!</definedName>
    <definedName name="Val_cur_12_rang5" localSheetId="2">#REF!</definedName>
    <definedName name="Val_cur_12_rang5">#REF!</definedName>
    <definedName name="Val_cur_12_rang6" localSheetId="2">#REF!</definedName>
    <definedName name="Val_cur_12_rang6">#REF!</definedName>
    <definedName name="Val_cur_12_rang7" localSheetId="2">#REF!</definedName>
    <definedName name="Val_cur_12_rang7">#REF!</definedName>
    <definedName name="Val_cur_12_rang8" localSheetId="2">#REF!</definedName>
    <definedName name="Val_cur_12_rang8">#REF!</definedName>
    <definedName name="Val_next_12_rang1" localSheetId="2">#REF!</definedName>
    <definedName name="Val_next_12_rang1">#REF!</definedName>
    <definedName name="Val_next_12_rang2" localSheetId="2">#REF!</definedName>
    <definedName name="Val_next_12_rang2">#REF!</definedName>
    <definedName name="Val_next_12_rang3" localSheetId="2">#REF!</definedName>
    <definedName name="Val_next_12_rang3">#REF!</definedName>
    <definedName name="Val_next_12_rang4" localSheetId="2">#REF!</definedName>
    <definedName name="Val_next_12_rang4">#REF!</definedName>
    <definedName name="Val_next_12_rang5" localSheetId="2">#REF!</definedName>
    <definedName name="Val_next_12_rang5">#REF!</definedName>
    <definedName name="Val_next_12_rang6" localSheetId="2">#REF!</definedName>
    <definedName name="Val_next_12_rang6">#REF!</definedName>
    <definedName name="Val_next_12_rang7" localSheetId="2">#REF!</definedName>
    <definedName name="Val_next_12_rang7">#REF!</definedName>
    <definedName name="Val_next_12_rang8" localSheetId="2">#REF!</definedName>
    <definedName name="Val_next_12_rang8">#REF!</definedName>
    <definedName name="Val_next_3_rang1" localSheetId="2">#REF!</definedName>
    <definedName name="Val_next_3_rang1">#REF!</definedName>
    <definedName name="Val_next_3_rang2" localSheetId="2">#REF!</definedName>
    <definedName name="Val_next_3_rang2">#REF!</definedName>
    <definedName name="Val_next_3_rang3" localSheetId="2">#REF!</definedName>
    <definedName name="Val_next_3_rang3">#REF!</definedName>
    <definedName name="Val_next_3_rang4" localSheetId="2">#REF!</definedName>
    <definedName name="Val_next_3_rang4">#REF!</definedName>
    <definedName name="Val_next_3_rang5" localSheetId="2">#REF!</definedName>
    <definedName name="Val_next_3_rang5">#REF!</definedName>
    <definedName name="Val_next_3_rang6" localSheetId="2">#REF!</definedName>
    <definedName name="Val_next_3_rang6">#REF!</definedName>
    <definedName name="Val_next_3_rang7" localSheetId="2">#REF!</definedName>
    <definedName name="Val_next_3_rang7">#REF!</definedName>
    <definedName name="Val_next_3_rang8" localSheetId="2">#REF!</definedName>
    <definedName name="Val_next_3_rang8">#REF!</definedName>
    <definedName name="Val_next_6_rang1" localSheetId="2">#REF!</definedName>
    <definedName name="Val_next_6_rang1">#REF!</definedName>
    <definedName name="Val_next_6_rang2" localSheetId="2">#REF!</definedName>
    <definedName name="Val_next_6_rang2">#REF!</definedName>
    <definedName name="Val_next_6_rang3" localSheetId="2">#REF!</definedName>
    <definedName name="Val_next_6_rang3">#REF!</definedName>
    <definedName name="Val_next_6_rang4" localSheetId="2">#REF!</definedName>
    <definedName name="Val_next_6_rang4">#REF!</definedName>
    <definedName name="Val_next_6_rang5" localSheetId="2">#REF!</definedName>
    <definedName name="Val_next_6_rang5">#REF!</definedName>
    <definedName name="Val_next_6_rang6" localSheetId="2">#REF!</definedName>
    <definedName name="Val_next_6_rang6">#REF!</definedName>
    <definedName name="Val_next_6_rang7" localSheetId="2">#REF!</definedName>
    <definedName name="Val_next_6_rang7">#REF!</definedName>
    <definedName name="Val_next_6_rang8" localSheetId="2">#REF!</definedName>
    <definedName name="Val_next_6_rang8">#REF!</definedName>
    <definedName name="Val_next_9_rang1" localSheetId="2">#REF!</definedName>
    <definedName name="Val_next_9_rang1">#REF!</definedName>
    <definedName name="Val_next_9_rang2" localSheetId="2">#REF!</definedName>
    <definedName name="Val_next_9_rang2">#REF!</definedName>
    <definedName name="Val_next_9_rang3" localSheetId="2">#REF!</definedName>
    <definedName name="Val_next_9_rang3">#REF!</definedName>
    <definedName name="Val_next_9_rang4" localSheetId="2">#REF!</definedName>
    <definedName name="Val_next_9_rang4">#REF!</definedName>
    <definedName name="Val_next_9_rang5" localSheetId="2">#REF!</definedName>
    <definedName name="Val_next_9_rang5">#REF!</definedName>
    <definedName name="Val_next_9_rang6" localSheetId="2">#REF!</definedName>
    <definedName name="Val_next_9_rang6">#REF!</definedName>
    <definedName name="Val_next_9_rang7" localSheetId="2">#REF!</definedName>
    <definedName name="Val_next_9_rang7">#REF!</definedName>
    <definedName name="Val_next_9_rang8" localSheetId="2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 localSheetId="2">#REF!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 localSheetId="2">#REF!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 localSheetId="2">#REF!</definedName>
    <definedName name="замена">#REF!</definedName>
    <definedName name="и">'[19]списки значений'!$J$2:$J$20</definedName>
    <definedName name="итог" localSheetId="2">#REF!</definedName>
    <definedName name="итог">#REF!</definedName>
    <definedName name="итог2" localSheetId="2">#REF!</definedName>
    <definedName name="итог2">#REF!</definedName>
    <definedName name="итог777" localSheetId="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 localSheetId="2">#REF!</definedName>
    <definedName name="место">#REF!</definedName>
    <definedName name="мин" localSheetId="2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 localSheetId="2">#REF!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 localSheetId="2">#REF!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 localSheetId="2">#REF!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 localSheetId="2">#REF!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33" l="1"/>
  <c r="D14" i="16" l="1"/>
  <c r="C14" i="16"/>
  <c r="C81" i="16" l="1"/>
  <c r="B3" i="33"/>
  <c r="B4" i="33"/>
  <c r="B5" i="33"/>
  <c r="B6" i="33"/>
  <c r="B7" i="33"/>
  <c r="B8" i="33"/>
  <c r="B9" i="33"/>
  <c r="B10" i="33"/>
  <c r="B11" i="33"/>
  <c r="B12" i="33"/>
  <c r="B2" i="33"/>
  <c r="B13" i="33" l="1"/>
  <c r="C3" i="33" s="1"/>
  <c r="J4" i="25"/>
  <c r="C6" i="33" l="1"/>
  <c r="C2" i="33"/>
  <c r="C9" i="33"/>
  <c r="C5" i="33"/>
  <c r="C12" i="33"/>
  <c r="C8" i="33"/>
  <c r="C4" i="33"/>
  <c r="C10" i="33"/>
  <c r="C11" i="33"/>
  <c r="C7" i="33"/>
  <c r="I126" i="16" l="1"/>
  <c r="E13" i="16" l="1"/>
  <c r="G13" i="16"/>
  <c r="L13" i="16" s="1"/>
  <c r="H13" i="16" l="1"/>
  <c r="I21" i="33"/>
  <c r="E20" i="33" l="1"/>
  <c r="P33" i="33" l="1"/>
  <c r="P32" i="33"/>
  <c r="P31" i="33"/>
  <c r="P30" i="33"/>
  <c r="P29" i="33"/>
  <c r="I28" i="33"/>
  <c r="P28" i="33" s="1"/>
  <c r="I27" i="33"/>
  <c r="P27" i="33" s="1"/>
  <c r="I26" i="33"/>
  <c r="P26" i="33" s="1"/>
  <c r="I25" i="33"/>
  <c r="P25" i="33" s="1"/>
  <c r="I24" i="33"/>
  <c r="P24" i="33" s="1"/>
  <c r="I23" i="33"/>
  <c r="P23" i="33" s="1"/>
  <c r="I22" i="33"/>
  <c r="I18" i="33" s="1"/>
  <c r="P21" i="33"/>
  <c r="N17" i="33"/>
  <c r="J72" i="19"/>
  <c r="J73" i="19"/>
  <c r="P22" i="33" l="1"/>
  <c r="K5" i="29"/>
  <c r="I27" i="25" l="1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26" i="25"/>
  <c r="M29" i="25"/>
  <c r="M37" i="25"/>
  <c r="M38" i="25"/>
  <c r="M48" i="25"/>
  <c r="M49" i="25"/>
  <c r="M51" i="25"/>
  <c r="M55" i="25"/>
  <c r="M57" i="25"/>
  <c r="M58" i="25"/>
  <c r="M59" i="25"/>
  <c r="M61" i="25"/>
  <c r="M63" i="25"/>
  <c r="M66" i="25"/>
  <c r="M68" i="25"/>
  <c r="M72" i="25"/>
  <c r="M74" i="25"/>
  <c r="J68" i="19" l="1"/>
  <c r="J69" i="19"/>
  <c r="J70" i="19"/>
  <c r="J71" i="19"/>
  <c r="B42" i="29" l="1"/>
  <c r="B49" i="29"/>
  <c r="B48" i="29"/>
  <c r="J5" i="29" l="1"/>
  <c r="E124" i="16"/>
  <c r="G79" i="16" l="1"/>
  <c r="G83" i="16"/>
  <c r="C78" i="16" l="1"/>
  <c r="G78" i="16" s="1"/>
  <c r="H12" i="16" l="1"/>
  <c r="H3" i="28"/>
  <c r="M26" i="25" l="1"/>
  <c r="C115" i="20"/>
  <c r="I5" i="29" l="1"/>
  <c r="C48" i="20" l="1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T4" i="20"/>
  <c r="S4" i="20"/>
  <c r="E32" i="20" l="1"/>
  <c r="E31" i="20"/>
  <c r="E99" i="20" l="1"/>
  <c r="E115" i="20"/>
  <c r="D115" i="20"/>
  <c r="E54" i="20"/>
  <c r="E102" i="20"/>
  <c r="D83" i="20"/>
  <c r="E107" i="20"/>
  <c r="E59" i="20"/>
  <c r="D110" i="20"/>
  <c r="E105" i="20"/>
  <c r="D92" i="20"/>
  <c r="E51" i="20"/>
  <c r="E58" i="20"/>
  <c r="E74" i="20"/>
  <c r="E90" i="20"/>
  <c r="E106" i="20"/>
  <c r="D55" i="20"/>
  <c r="D71" i="20"/>
  <c r="D87" i="20"/>
  <c r="D103" i="20"/>
  <c r="X4" i="20"/>
  <c r="X6" i="20" s="1"/>
  <c r="U4" i="20" s="1"/>
  <c r="V4" i="20" s="1"/>
  <c r="H34" i="20"/>
  <c r="I34" i="20" s="1"/>
  <c r="H35" i="20"/>
  <c r="I35" i="20" s="1"/>
  <c r="H32" i="20"/>
  <c r="I32" i="20" s="1"/>
  <c r="H31" i="20"/>
  <c r="I31" i="20" s="1"/>
  <c r="E72" i="20"/>
  <c r="E76" i="20"/>
  <c r="E80" i="20"/>
  <c r="E84" i="20"/>
  <c r="E88" i="20"/>
  <c r="E92" i="20"/>
  <c r="E96" i="20"/>
  <c r="E100" i="20"/>
  <c r="E104" i="20"/>
  <c r="E108" i="20"/>
  <c r="E112" i="20"/>
  <c r="D49" i="20"/>
  <c r="D53" i="20"/>
  <c r="D57" i="20"/>
  <c r="D61" i="20"/>
  <c r="D65" i="20"/>
  <c r="D69" i="20"/>
  <c r="D73" i="20"/>
  <c r="D77" i="20"/>
  <c r="D81" i="20"/>
  <c r="D85" i="20"/>
  <c r="D89" i="20"/>
  <c r="D93" i="20"/>
  <c r="D97" i="20"/>
  <c r="D101" i="20"/>
  <c r="D105" i="20"/>
  <c r="D109" i="20"/>
  <c r="D113" i="20"/>
  <c r="H33" i="20"/>
  <c r="I33" i="20" s="1"/>
  <c r="D100" i="20"/>
  <c r="D104" i="20"/>
  <c r="D108" i="20"/>
  <c r="D112" i="20"/>
  <c r="E103" i="20"/>
  <c r="E87" i="20"/>
  <c r="E71" i="20"/>
  <c r="E55" i="20"/>
  <c r="D70" i="20"/>
  <c r="D68" i="20"/>
  <c r="D106" i="20"/>
  <c r="D86" i="20"/>
  <c r="D52" i="20"/>
  <c r="E101" i="20"/>
  <c r="E85" i="20"/>
  <c r="E69" i="20"/>
  <c r="E53" i="20"/>
  <c r="D88" i="20"/>
  <c r="D72" i="20"/>
  <c r="E70" i="20"/>
  <c r="D51" i="20"/>
  <c r="D99" i="20"/>
  <c r="E91" i="20"/>
  <c r="D74" i="20"/>
  <c r="D94" i="20"/>
  <c r="E89" i="20"/>
  <c r="D76" i="20"/>
  <c r="E52" i="20"/>
  <c r="E62" i="20"/>
  <c r="E110" i="20"/>
  <c r="D75" i="20"/>
  <c r="E48" i="20"/>
  <c r="E83" i="20"/>
  <c r="E67" i="20"/>
  <c r="D90" i="20"/>
  <c r="D62" i="20"/>
  <c r="D60" i="20"/>
  <c r="D102" i="20"/>
  <c r="D78" i="20"/>
  <c r="E113" i="20"/>
  <c r="E97" i="20"/>
  <c r="E81" i="20"/>
  <c r="E65" i="20"/>
  <c r="E49" i="20"/>
  <c r="D84" i="20"/>
  <c r="D64" i="20"/>
  <c r="E60" i="20"/>
  <c r="E86" i="20"/>
  <c r="D67" i="20"/>
  <c r="D48" i="20"/>
  <c r="E75" i="20"/>
  <c r="E50" i="20"/>
  <c r="D54" i="20"/>
  <c r="E73" i="20"/>
  <c r="E57" i="20"/>
  <c r="E64" i="20"/>
  <c r="E68" i="20"/>
  <c r="E78" i="20"/>
  <c r="E94" i="20"/>
  <c r="D59" i="20"/>
  <c r="D91" i="20"/>
  <c r="D107" i="20"/>
  <c r="E56" i="20"/>
  <c r="D50" i="20"/>
  <c r="E66" i="20"/>
  <c r="E82" i="20"/>
  <c r="E98" i="20"/>
  <c r="E114" i="20"/>
  <c r="D63" i="20"/>
  <c r="D79" i="20"/>
  <c r="D95" i="20"/>
  <c r="D111" i="20"/>
  <c r="E111" i="20"/>
  <c r="E95" i="20"/>
  <c r="E79" i="20"/>
  <c r="E63" i="20"/>
  <c r="D82" i="20"/>
  <c r="D58" i="20"/>
  <c r="D114" i="20"/>
  <c r="D98" i="20"/>
  <c r="D66" i="20"/>
  <c r="E109" i="20"/>
  <c r="E93" i="20"/>
  <c r="E77" i="20"/>
  <c r="E61" i="20"/>
  <c r="D96" i="20"/>
  <c r="D80" i="20"/>
  <c r="D56" i="20"/>
  <c r="J5" i="24"/>
  <c r="D22" i="30" l="1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S22" i="30" l="1"/>
  <c r="P22" i="30"/>
  <c r="Q8" i="25"/>
  <c r="J8" i="19" l="1"/>
  <c r="Q8" i="19" s="1"/>
  <c r="H5" i="29" l="1"/>
  <c r="B46" i="29" l="1"/>
  <c r="B47" i="29"/>
  <c r="B45" i="29"/>
  <c r="B50" i="29" s="1"/>
  <c r="C49" i="29" s="1"/>
  <c r="B51" i="29" l="1"/>
  <c r="C58" i="16"/>
  <c r="C59" i="16"/>
  <c r="C60" i="16"/>
  <c r="C61" i="16"/>
  <c r="C62" i="16"/>
  <c r="C63" i="16"/>
  <c r="C64" i="16"/>
  <c r="C65" i="16"/>
  <c r="C66" i="16"/>
  <c r="C67" i="16"/>
  <c r="C57" i="16"/>
  <c r="C46" i="29" l="1"/>
  <c r="C45" i="29"/>
  <c r="C47" i="29"/>
  <c r="C48" i="29"/>
  <c r="C68" i="16"/>
  <c r="D64" i="16" s="1"/>
  <c r="C50" i="29" l="1"/>
  <c r="D62" i="16"/>
  <c r="D67" i="16"/>
  <c r="D66" i="16"/>
  <c r="D60" i="16"/>
  <c r="D59" i="16"/>
  <c r="D65" i="16"/>
  <c r="D61" i="16"/>
  <c r="D58" i="16"/>
  <c r="D63" i="16"/>
  <c r="D57" i="16"/>
  <c r="D68" i="16" l="1"/>
  <c r="C5" i="29" l="1"/>
  <c r="D5" i="29"/>
  <c r="E5" i="29"/>
  <c r="F5" i="29"/>
  <c r="G5" i="29"/>
  <c r="B5" i="29"/>
  <c r="F9" i="25" l="1"/>
  <c r="A3" i="28" l="1"/>
  <c r="A5" i="28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H110" i="28"/>
  <c r="H148" i="28"/>
  <c r="H88" i="28"/>
  <c r="H145" i="28"/>
  <c r="H46" i="28"/>
  <c r="H23" i="28"/>
  <c r="H14" i="28"/>
  <c r="H18" i="28"/>
  <c r="H29" i="28"/>
  <c r="H137" i="28"/>
  <c r="H47" i="28"/>
  <c r="H134" i="28"/>
  <c r="H40" i="28"/>
  <c r="H82" i="28"/>
  <c r="H109" i="28"/>
  <c r="H112" i="28"/>
  <c r="H17" i="28"/>
  <c r="H35" i="28"/>
  <c r="H59" i="28"/>
  <c r="H34" i="28"/>
  <c r="H86" i="28"/>
  <c r="H138" i="28"/>
  <c r="H78" i="28"/>
  <c r="H24" i="28"/>
  <c r="H75" i="28"/>
  <c r="H102" i="28"/>
  <c r="H41" i="28"/>
  <c r="H160" i="28"/>
  <c r="H122" i="28"/>
  <c r="H62" i="28"/>
  <c r="H5" i="28"/>
  <c r="H55" i="28"/>
  <c r="H63" i="28"/>
  <c r="H116" i="28"/>
  <c r="H139" i="28"/>
  <c r="H91" i="28"/>
  <c r="H159" i="28"/>
  <c r="H113" i="28"/>
  <c r="H155" i="28"/>
  <c r="H108" i="28"/>
  <c r="H95" i="28"/>
  <c r="H50" i="28"/>
  <c r="H44" i="28"/>
  <c r="H10" i="28"/>
  <c r="H129" i="28"/>
  <c r="H38" i="28"/>
  <c r="H60" i="28"/>
  <c r="H12" i="28"/>
  <c r="H64" i="28"/>
  <c r="H39" i="28"/>
  <c r="H98" i="28"/>
  <c r="H115" i="28"/>
  <c r="H20" i="28"/>
  <c r="H89" i="28"/>
  <c r="H70" i="28"/>
  <c r="H156" i="28"/>
  <c r="H142" i="28"/>
  <c r="H83" i="28"/>
  <c r="H141" i="28"/>
  <c r="H128" i="28"/>
  <c r="H19" i="28"/>
  <c r="H132" i="28"/>
  <c r="H84" i="28"/>
  <c r="H57" i="28"/>
  <c r="H111" i="28"/>
  <c r="H9" i="28"/>
  <c r="H140" i="28"/>
  <c r="H133" i="28"/>
  <c r="H26" i="28"/>
  <c r="H131" i="28"/>
  <c r="H105" i="28"/>
  <c r="H61" i="28"/>
  <c r="H65" i="28"/>
  <c r="H144" i="28"/>
  <c r="H30" i="28"/>
  <c r="H158" i="28"/>
  <c r="H11" i="28"/>
  <c r="H92" i="28"/>
  <c r="H43" i="28"/>
  <c r="H119" i="28"/>
  <c r="H25" i="28"/>
  <c r="H27" i="28"/>
  <c r="H120" i="28"/>
  <c r="H87" i="28"/>
  <c r="H72" i="28"/>
  <c r="H52" i="28"/>
  <c r="H149" i="28"/>
  <c r="H154" i="28"/>
  <c r="H6" i="28"/>
  <c r="H76" i="28"/>
  <c r="H53" i="28"/>
  <c r="H107" i="28"/>
  <c r="H71" i="28"/>
  <c r="H54" i="28"/>
  <c r="H106" i="28"/>
  <c r="H79" i="28"/>
  <c r="H147" i="28"/>
  <c r="H36" i="28"/>
  <c r="H21" i="28"/>
  <c r="H31" i="28"/>
  <c r="H118" i="28"/>
  <c r="H104" i="28"/>
  <c r="H96" i="28"/>
  <c r="H45" i="28"/>
  <c r="H73" i="28"/>
  <c r="H135" i="28"/>
  <c r="H7" i="28"/>
  <c r="H22" i="28"/>
  <c r="H66" i="28"/>
  <c r="H121" i="28"/>
  <c r="H125" i="28"/>
  <c r="H146" i="28"/>
  <c r="H15" i="28"/>
  <c r="H48" i="28"/>
  <c r="H33" i="28"/>
  <c r="H99" i="28"/>
  <c r="H127" i="28"/>
  <c r="H101" i="28"/>
  <c r="H42" i="28"/>
  <c r="H58" i="28"/>
  <c r="H51" i="28"/>
  <c r="H93" i="28"/>
  <c r="H97" i="28"/>
  <c r="H94" i="28"/>
  <c r="H143" i="28"/>
  <c r="H67" i="28"/>
  <c r="H123" i="28"/>
  <c r="H153" i="28"/>
  <c r="H49" i="28"/>
  <c r="H157" i="28"/>
  <c r="H152" i="28"/>
  <c r="H103" i="28"/>
  <c r="H32" i="28"/>
  <c r="H81" i="28"/>
  <c r="H13" i="28"/>
  <c r="H130" i="28"/>
  <c r="H136" i="28"/>
  <c r="H114" i="28"/>
  <c r="H77" i="28"/>
  <c r="H151" i="28"/>
  <c r="H90" i="28"/>
  <c r="H117" i="28"/>
  <c r="H8" i="28"/>
  <c r="H4" i="28"/>
  <c r="H161" i="28"/>
  <c r="H150" i="28"/>
  <c r="H28" i="28"/>
  <c r="H37" i="28"/>
  <c r="H56" i="28"/>
  <c r="H74" i="28"/>
  <c r="H16" i="28"/>
  <c r="H124" i="28"/>
  <c r="H126" i="28"/>
  <c r="H68" i="28"/>
  <c r="H100" i="28"/>
  <c r="B1" i="28"/>
  <c r="G85" i="28" l="1"/>
  <c r="G80" i="28"/>
  <c r="H85" i="28"/>
  <c r="H80" i="28"/>
  <c r="G69" i="28" l="1"/>
  <c r="H69" i="28"/>
  <c r="G3" i="28" l="1"/>
  <c r="J31" i="25" l="1"/>
  <c r="J47" i="25"/>
  <c r="J79" i="25"/>
  <c r="J95" i="25"/>
  <c r="J115" i="25"/>
  <c r="J58" i="25"/>
  <c r="J110" i="25"/>
  <c r="J36" i="25"/>
  <c r="J52" i="25"/>
  <c r="J84" i="25"/>
  <c r="J104" i="25"/>
  <c r="J66" i="25"/>
  <c r="J114" i="25"/>
  <c r="J41" i="25"/>
  <c r="J57" i="25"/>
  <c r="J73" i="25"/>
  <c r="J105" i="25"/>
  <c r="J121" i="25"/>
  <c r="J62" i="25"/>
  <c r="J106" i="25"/>
  <c r="J39" i="25"/>
  <c r="J55" i="25"/>
  <c r="J71" i="25"/>
  <c r="J87" i="25"/>
  <c r="J28" i="25"/>
  <c r="J44" i="25"/>
  <c r="J76" i="25"/>
  <c r="J116" i="25"/>
  <c r="J90" i="25"/>
  <c r="J49" i="25"/>
  <c r="J81" i="25"/>
  <c r="J113" i="25"/>
  <c r="J42" i="25"/>
  <c r="J59" i="25"/>
  <c r="J111" i="25"/>
  <c r="J98" i="25"/>
  <c r="J48" i="25"/>
  <c r="J100" i="25"/>
  <c r="J54" i="25"/>
  <c r="J37" i="25"/>
  <c r="J53" i="25"/>
  <c r="J85" i="25"/>
  <c r="J117" i="25"/>
  <c r="J94" i="25"/>
  <c r="J35" i="25"/>
  <c r="J51" i="25"/>
  <c r="J67" i="25"/>
  <c r="J99" i="25"/>
  <c r="J119" i="25"/>
  <c r="J70" i="25"/>
  <c r="J118" i="25"/>
  <c r="J40" i="25"/>
  <c r="J56" i="25"/>
  <c r="J72" i="25"/>
  <c r="J88" i="25"/>
  <c r="J112" i="25"/>
  <c r="J34" i="25"/>
  <c r="J78" i="25"/>
  <c r="J29" i="25"/>
  <c r="J45" i="25"/>
  <c r="J61" i="25"/>
  <c r="J93" i="25"/>
  <c r="J109" i="25"/>
  <c r="J30" i="25"/>
  <c r="J74" i="25"/>
  <c r="J107" i="25"/>
  <c r="J60" i="25"/>
  <c r="J96" i="25"/>
  <c r="J46" i="25"/>
  <c r="J33" i="25"/>
  <c r="J65" i="25"/>
  <c r="J97" i="25"/>
  <c r="J86" i="25"/>
  <c r="J27" i="25"/>
  <c r="J43" i="25"/>
  <c r="J75" i="25"/>
  <c r="J91" i="25"/>
  <c r="J38" i="25"/>
  <c r="J32" i="25"/>
  <c r="J80" i="25"/>
  <c r="J120" i="25"/>
  <c r="J102" i="25"/>
  <c r="J101" i="25"/>
  <c r="J50" i="25"/>
  <c r="J108" i="25"/>
  <c r="J103" i="25"/>
  <c r="J92" i="25"/>
  <c r="J26" i="25"/>
  <c r="F119" i="25"/>
  <c r="F120" i="25"/>
  <c r="F121" i="25"/>
  <c r="C82" i="16" l="1"/>
  <c r="G82" i="16" s="1"/>
  <c r="M10" i="25" l="1"/>
  <c r="M9" i="25"/>
  <c r="M11" i="25"/>
  <c r="M8" i="25"/>
  <c r="M12" i="25" l="1"/>
  <c r="N8" i="25" s="1"/>
  <c r="J5" i="25"/>
  <c r="J6" i="25"/>
  <c r="J7" i="25"/>
  <c r="J8" i="25"/>
  <c r="J9" i="25"/>
  <c r="J10" i="25"/>
  <c r="J11" i="25"/>
  <c r="J12" i="25"/>
  <c r="J13" i="25"/>
  <c r="J14" i="25"/>
  <c r="F10" i="25"/>
  <c r="M13" i="25" l="1"/>
  <c r="J15" i="25"/>
  <c r="F11" i="25"/>
  <c r="N10" i="25"/>
  <c r="N11" i="25"/>
  <c r="N9" i="25"/>
  <c r="J16" i="25" l="1"/>
  <c r="K4" i="25"/>
  <c r="K12" i="25"/>
  <c r="K7" i="25"/>
  <c r="K9" i="25"/>
  <c r="K14" i="25"/>
  <c r="K6" i="25"/>
  <c r="K11" i="25"/>
  <c r="K13" i="25"/>
  <c r="K10" i="25"/>
  <c r="K8" i="25"/>
  <c r="K5" i="25"/>
  <c r="Q9" i="25" l="1"/>
  <c r="R7" i="25" l="1"/>
  <c r="Q7" i="25"/>
  <c r="J3" i="25"/>
  <c r="L25" i="25"/>
  <c r="Q10" i="25" l="1"/>
  <c r="Q11" i="25" l="1"/>
  <c r="Q12" i="25" s="1"/>
  <c r="M7" i="25"/>
  <c r="F8" i="25"/>
  <c r="A1" i="25"/>
  <c r="B1" i="25"/>
  <c r="R9" i="25" l="1"/>
  <c r="R8" i="25"/>
  <c r="R10" i="25"/>
  <c r="M27" i="25"/>
  <c r="M28" i="25"/>
  <c r="M30" i="25"/>
  <c r="M31" i="25"/>
  <c r="M32" i="25"/>
  <c r="M33" i="25"/>
  <c r="M34" i="25"/>
  <c r="M35" i="25"/>
  <c r="M36" i="25"/>
  <c r="M39" i="25"/>
  <c r="M40" i="25"/>
  <c r="M41" i="25"/>
  <c r="M42" i="25"/>
  <c r="M43" i="25"/>
  <c r="M44" i="25"/>
  <c r="M45" i="25"/>
  <c r="M46" i="25"/>
  <c r="M47" i="25"/>
  <c r="M50" i="25"/>
  <c r="M52" i="25"/>
  <c r="M53" i="25"/>
  <c r="M54" i="25"/>
  <c r="M56" i="25"/>
  <c r="M60" i="25"/>
  <c r="M62" i="25"/>
  <c r="M64" i="25"/>
  <c r="M65" i="25"/>
  <c r="M67" i="25"/>
  <c r="M69" i="25"/>
  <c r="M70" i="25"/>
  <c r="M71" i="25"/>
  <c r="M73" i="25"/>
  <c r="M75" i="25"/>
  <c r="M76" i="25"/>
  <c r="M77" i="25" l="1"/>
  <c r="G9" i="25"/>
  <c r="G10" i="25"/>
  <c r="N70" i="25" l="1"/>
  <c r="N48" i="25"/>
  <c r="N51" i="25"/>
  <c r="N57" i="25"/>
  <c r="N59" i="25"/>
  <c r="N63" i="25"/>
  <c r="N68" i="25"/>
  <c r="N74" i="25"/>
  <c r="N37" i="25"/>
  <c r="N66" i="25"/>
  <c r="N61" i="25"/>
  <c r="N58" i="25"/>
  <c r="N55" i="25"/>
  <c r="N49" i="25"/>
  <c r="N38" i="25"/>
  <c r="N72" i="25"/>
  <c r="N29" i="25"/>
  <c r="N31" i="25"/>
  <c r="N47" i="25"/>
  <c r="N60" i="25"/>
  <c r="N28" i="25"/>
  <c r="N44" i="25"/>
  <c r="N53" i="25"/>
  <c r="N35" i="25"/>
  <c r="N67" i="25"/>
  <c r="N32" i="25"/>
  <c r="N33" i="25"/>
  <c r="N26" i="25"/>
  <c r="N39" i="25"/>
  <c r="N71" i="25"/>
  <c r="N76" i="25"/>
  <c r="N36" i="25"/>
  <c r="N56" i="25"/>
  <c r="N30" i="25"/>
  <c r="N27" i="25"/>
  <c r="N43" i="25"/>
  <c r="N75" i="25"/>
  <c r="N73" i="25"/>
  <c r="N40" i="25"/>
  <c r="N64" i="25"/>
  <c r="N42" i="25"/>
  <c r="N46" i="25"/>
  <c r="N45" i="25"/>
  <c r="N65" i="25"/>
  <c r="N62" i="25"/>
  <c r="N52" i="25"/>
  <c r="N69" i="25"/>
  <c r="N41" i="25"/>
  <c r="N34" i="25"/>
  <c r="N50" i="25"/>
  <c r="N54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26" i="25"/>
  <c r="B18" i="25" l="1"/>
  <c r="B16" i="25"/>
  <c r="B17" i="25"/>
  <c r="B15" i="25"/>
  <c r="B3" i="25"/>
  <c r="B2" i="25"/>
  <c r="B11" i="25"/>
  <c r="B7" i="25"/>
  <c r="B4" i="25"/>
  <c r="B8" i="25"/>
  <c r="B12" i="25"/>
  <c r="B5" i="25"/>
  <c r="B9" i="25"/>
  <c r="B13" i="25"/>
  <c r="B6" i="25"/>
  <c r="B10" i="25"/>
  <c r="B14" i="25"/>
  <c r="B19" i="25" l="1"/>
  <c r="B20" i="25" l="1"/>
  <c r="C17" i="25"/>
  <c r="M78" i="25"/>
  <c r="C18" i="25"/>
  <c r="C5" i="25"/>
  <c r="G36" i="25"/>
  <c r="G74" i="25"/>
  <c r="C4" i="25"/>
  <c r="G49" i="25"/>
  <c r="G88" i="25"/>
  <c r="G106" i="25"/>
  <c r="G33" i="25"/>
  <c r="G39" i="25"/>
  <c r="C7" i="25"/>
  <c r="G110" i="25"/>
  <c r="G77" i="25"/>
  <c r="G95" i="25"/>
  <c r="C9" i="25"/>
  <c r="C12" i="25"/>
  <c r="G90" i="25"/>
  <c r="G65" i="25"/>
  <c r="G109" i="25"/>
  <c r="G69" i="25"/>
  <c r="G28" i="25"/>
  <c r="G72" i="25"/>
  <c r="G31" i="25"/>
  <c r="G87" i="25"/>
  <c r="G101" i="25"/>
  <c r="G60" i="25"/>
  <c r="G104" i="25"/>
  <c r="G63" i="25"/>
  <c r="G26" i="25"/>
  <c r="G62" i="25"/>
  <c r="C6" i="25"/>
  <c r="G82" i="25"/>
  <c r="G41" i="25"/>
  <c r="G93" i="25"/>
  <c r="G44" i="25"/>
  <c r="G96" i="25"/>
  <c r="G55" i="25"/>
  <c r="G103" i="25"/>
  <c r="G46" i="25"/>
  <c r="G94" i="25"/>
  <c r="G57" i="25"/>
  <c r="G117" i="25"/>
  <c r="G85" i="25"/>
  <c r="G52" i="25"/>
  <c r="G112" i="25"/>
  <c r="G80" i="25"/>
  <c r="G47" i="25"/>
  <c r="G111" i="25"/>
  <c r="G79" i="25"/>
  <c r="G30" i="25"/>
  <c r="G71" i="25"/>
  <c r="C15" i="25"/>
  <c r="C16" i="25"/>
  <c r="C10" i="25"/>
  <c r="C13" i="25"/>
  <c r="C14" i="25"/>
  <c r="G118" i="25"/>
  <c r="G114" i="25"/>
  <c r="G86" i="25"/>
  <c r="G70" i="25"/>
  <c r="G53" i="25"/>
  <c r="G37" i="25"/>
  <c r="G113" i="25"/>
  <c r="G97" i="25"/>
  <c r="G81" i="25"/>
  <c r="G64" i="25"/>
  <c r="G48" i="25"/>
  <c r="G32" i="25"/>
  <c r="G108" i="25"/>
  <c r="G92" i="25"/>
  <c r="G76" i="25"/>
  <c r="G59" i="25"/>
  <c r="G43" i="25"/>
  <c r="G27" i="25"/>
  <c r="G107" i="25"/>
  <c r="G91" i="25"/>
  <c r="G75" i="25"/>
  <c r="G58" i="25"/>
  <c r="G42" i="25"/>
  <c r="G66" i="25"/>
  <c r="G121" i="25"/>
  <c r="G54" i="25"/>
  <c r="G38" i="25"/>
  <c r="C3" i="25"/>
  <c r="G119" i="25"/>
  <c r="C8" i="25"/>
  <c r="C2" i="25"/>
  <c r="C11" i="25"/>
  <c r="G98" i="25"/>
  <c r="G102" i="25"/>
  <c r="G78" i="25"/>
  <c r="G61" i="25"/>
  <c r="G45" i="25"/>
  <c r="G29" i="25"/>
  <c r="G105" i="25"/>
  <c r="G89" i="25"/>
  <c r="G73" i="25"/>
  <c r="G56" i="25"/>
  <c r="G40" i="25"/>
  <c r="G116" i="25"/>
  <c r="G100" i="25"/>
  <c r="G84" i="25"/>
  <c r="G68" i="25"/>
  <c r="G51" i="25"/>
  <c r="G35" i="25"/>
  <c r="G115" i="25"/>
  <c r="G99" i="25"/>
  <c r="G83" i="25"/>
  <c r="G67" i="25"/>
  <c r="G50" i="25"/>
  <c r="G34" i="25"/>
  <c r="G120" i="25"/>
  <c r="F12" i="25"/>
  <c r="C19" i="25" l="1"/>
  <c r="H52" i="16"/>
  <c r="J66" i="19" l="1"/>
  <c r="J67" i="19"/>
  <c r="D126" i="16" l="1"/>
  <c r="E34" i="16" l="1"/>
  <c r="E51" i="16" l="1"/>
  <c r="G51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26" i="16" l="1"/>
  <c r="G81" i="16" l="1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 l="1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 l="1"/>
  <c r="V8" i="20" s="1"/>
  <c r="U11" i="20"/>
  <c r="V11" i="20" s="1"/>
  <c r="U16" i="20"/>
  <c r="V16" i="20" s="1"/>
  <c r="U19" i="20"/>
  <c r="V19" i="20" s="1"/>
  <c r="U22" i="20"/>
  <c r="V22" i="20" s="1"/>
  <c r="U6" i="20"/>
  <c r="V6" i="20" s="1"/>
  <c r="U9" i="20"/>
  <c r="V9" i="20" s="1"/>
  <c r="M68" i="19" l="1"/>
  <c r="N68" i="19" s="1"/>
  <c r="O68" i="19" s="1"/>
  <c r="L27" i="33"/>
  <c r="M27" i="33" s="1"/>
  <c r="N27" i="33" s="1"/>
  <c r="U13" i="20"/>
  <c r="V13" i="20" s="1"/>
  <c r="U14" i="20"/>
  <c r="V14" i="20" s="1"/>
  <c r="M37" i="19" s="1"/>
  <c r="N37" i="19" s="1"/>
  <c r="U17" i="20"/>
  <c r="V17" i="20" s="1"/>
  <c r="M56" i="19" s="1"/>
  <c r="N56" i="19" s="1"/>
  <c r="U24" i="20"/>
  <c r="V24" i="20" s="1"/>
  <c r="U20" i="20"/>
  <c r="V20" i="20" s="1"/>
  <c r="M30" i="19"/>
  <c r="N30" i="19" s="1"/>
  <c r="U7" i="20"/>
  <c r="V7" i="20" s="1"/>
  <c r="U5" i="20"/>
  <c r="V5" i="20" s="1"/>
  <c r="U18" i="20"/>
  <c r="V18" i="20" s="1"/>
  <c r="M31" i="19" s="1"/>
  <c r="N31" i="19" s="1"/>
  <c r="U12" i="20"/>
  <c r="V12" i="20" s="1"/>
  <c r="U15" i="20"/>
  <c r="V15" i="20" s="1"/>
  <c r="U21" i="20"/>
  <c r="V21" i="20" s="1"/>
  <c r="U23" i="20"/>
  <c r="V23" i="20" s="1"/>
  <c r="U10" i="20"/>
  <c r="V10" i="20" s="1"/>
  <c r="M62" i="19" s="1"/>
  <c r="N62" i="19" s="1"/>
  <c r="M46" i="19"/>
  <c r="N46" i="19" s="1"/>
  <c r="M49" i="19"/>
  <c r="N49" i="19" s="1"/>
  <c r="M16" i="19"/>
  <c r="N16" i="19" s="1"/>
  <c r="M22" i="19"/>
  <c r="N22" i="19" s="1"/>
  <c r="F126" i="16"/>
  <c r="G126" i="16" s="1"/>
  <c r="H126" i="16" s="1"/>
  <c r="M51" i="19"/>
  <c r="N51" i="19" s="1"/>
  <c r="M40" i="19"/>
  <c r="N40" i="19" s="1"/>
  <c r="M41" i="19"/>
  <c r="N41" i="19" s="1"/>
  <c r="M26" i="19"/>
  <c r="N26" i="19" s="1"/>
  <c r="M61" i="19"/>
  <c r="N61" i="19" s="1"/>
  <c r="M38" i="19"/>
  <c r="N38" i="19" s="1"/>
  <c r="M72" i="19" l="1"/>
  <c r="N72" i="19" s="1"/>
  <c r="O72" i="19" s="1"/>
  <c r="M73" i="19"/>
  <c r="N73" i="19" s="1"/>
  <c r="O73" i="19" s="1"/>
  <c r="L28" i="33"/>
  <c r="M28" i="33" s="1"/>
  <c r="N28" i="33" s="1"/>
  <c r="L21" i="33"/>
  <c r="M21" i="33" s="1"/>
  <c r="N21" i="33" s="1"/>
  <c r="L23" i="33"/>
  <c r="M23" i="33" s="1"/>
  <c r="N23" i="33" s="1"/>
  <c r="L24" i="33"/>
  <c r="M24" i="33" s="1"/>
  <c r="N24" i="33" s="1"/>
  <c r="L25" i="33"/>
  <c r="M25" i="33" s="1"/>
  <c r="N25" i="33" s="1"/>
  <c r="L22" i="33"/>
  <c r="M22" i="33" s="1"/>
  <c r="N22" i="33" s="1"/>
  <c r="M55" i="19"/>
  <c r="N55" i="19" s="1"/>
  <c r="M69" i="19"/>
  <c r="N69" i="19" s="1"/>
  <c r="O69" i="19" s="1"/>
  <c r="L26" i="33"/>
  <c r="M26" i="33" s="1"/>
  <c r="N26" i="33" s="1"/>
  <c r="M35" i="19"/>
  <c r="N35" i="19" s="1"/>
  <c r="M59" i="19"/>
  <c r="N59" i="19" s="1"/>
  <c r="M12" i="19"/>
  <c r="N12" i="19" s="1"/>
  <c r="M70" i="19"/>
  <c r="N70" i="19" s="1"/>
  <c r="O70" i="19" s="1"/>
  <c r="M71" i="19"/>
  <c r="N71" i="19" s="1"/>
  <c r="O71" i="19" s="1"/>
  <c r="M60" i="19"/>
  <c r="N60" i="19" s="1"/>
  <c r="M50" i="19"/>
  <c r="N50" i="19" s="1"/>
  <c r="M20" i="19"/>
  <c r="N20" i="19" s="1"/>
  <c r="M23" i="19"/>
  <c r="N23" i="19" s="1"/>
  <c r="M11" i="19"/>
  <c r="N11" i="19" s="1"/>
  <c r="M53" i="19"/>
  <c r="N53" i="19" s="1"/>
  <c r="M32" i="19"/>
  <c r="N32" i="19" s="1"/>
  <c r="M36" i="19"/>
  <c r="N36" i="19" s="1"/>
  <c r="M39" i="19"/>
  <c r="N39" i="19" s="1"/>
  <c r="M34" i="19"/>
  <c r="N34" i="19" s="1"/>
  <c r="M43" i="19"/>
  <c r="N43" i="19" s="1"/>
  <c r="M63" i="19"/>
  <c r="N63" i="19" s="1"/>
  <c r="M57" i="19"/>
  <c r="N57" i="19" s="1"/>
  <c r="M42" i="19"/>
  <c r="N42" i="19" s="1"/>
  <c r="M58" i="19"/>
  <c r="N58" i="19" s="1"/>
  <c r="M13" i="19"/>
  <c r="N13" i="19" s="1"/>
  <c r="M8" i="19"/>
  <c r="M9" i="19"/>
  <c r="N9" i="19" s="1"/>
  <c r="M47" i="19"/>
  <c r="N47" i="19" s="1"/>
  <c r="M44" i="19"/>
  <c r="N44" i="19" s="1"/>
  <c r="M27" i="19"/>
  <c r="N27" i="19" s="1"/>
  <c r="M67" i="19"/>
  <c r="N67" i="19" s="1"/>
  <c r="O67" i="19" s="1"/>
  <c r="M66" i="19"/>
  <c r="N66" i="19" s="1"/>
  <c r="O66" i="19" s="1"/>
  <c r="M54" i="19"/>
  <c r="N54" i="19" s="1"/>
  <c r="M64" i="19"/>
  <c r="N64" i="19" s="1"/>
  <c r="M25" i="19"/>
  <c r="N25" i="19" s="1"/>
  <c r="M48" i="19"/>
  <c r="N48" i="19" s="1"/>
  <c r="M65" i="19"/>
  <c r="N65" i="19" s="1"/>
  <c r="M21" i="19"/>
  <c r="N21" i="19" s="1"/>
  <c r="M45" i="19"/>
  <c r="N45" i="19" s="1"/>
  <c r="M19" i="19"/>
  <c r="N19" i="19" s="1"/>
  <c r="M18" i="19"/>
  <c r="N18" i="19" s="1"/>
  <c r="M15" i="19"/>
  <c r="N15" i="19" s="1"/>
  <c r="M10" i="19"/>
  <c r="N10" i="19" s="1"/>
  <c r="M14" i="19"/>
  <c r="N14" i="19" s="1"/>
  <c r="M17" i="19"/>
  <c r="N17" i="19" s="1"/>
  <c r="N8" i="19"/>
  <c r="M33" i="19"/>
  <c r="N33" i="19" s="1"/>
  <c r="M28" i="19"/>
  <c r="N28" i="19" s="1"/>
  <c r="M24" i="19"/>
  <c r="N24" i="19" s="1"/>
  <c r="M52" i="19"/>
  <c r="N52" i="19" s="1"/>
  <c r="M29" i="19"/>
  <c r="N29" i="19" s="1"/>
  <c r="N18" i="33" l="1"/>
  <c r="O18" i="33" s="1"/>
  <c r="N6" i="19"/>
  <c r="Q72" i="19"/>
  <c r="J62" i="19"/>
  <c r="J63" i="19"/>
  <c r="J64" i="19"/>
  <c r="J65" i="19"/>
  <c r="O62" i="19" l="1"/>
  <c r="Q62" i="19"/>
  <c r="Q68" i="19"/>
  <c r="Q70" i="19"/>
  <c r="Q66" i="19"/>
  <c r="Q69" i="19"/>
  <c r="O65" i="19"/>
  <c r="Q65" i="19"/>
  <c r="O64" i="19"/>
  <c r="Q64" i="19"/>
  <c r="Q71" i="19"/>
  <c r="Q67" i="19"/>
  <c r="O63" i="19"/>
  <c r="Q63" i="19"/>
  <c r="J9" i="19" l="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4" i="19" l="1"/>
  <c r="O3" i="19"/>
  <c r="O6" i="19"/>
  <c r="O2" i="19" l="1"/>
  <c r="F3" i="19" l="1"/>
  <c r="P23" i="30" s="1"/>
  <c r="P3" i="19" l="1"/>
  <c r="A66" i="18"/>
  <c r="H6" i="19" l="1"/>
  <c r="I6" i="19"/>
  <c r="F6" i="19"/>
  <c r="A58" i="18" l="1"/>
  <c r="A56" i="18"/>
  <c r="L11" i="16" l="1"/>
  <c r="L12" i="16"/>
  <c r="F4" i="19" l="1"/>
  <c r="S23" i="30" s="1"/>
  <c r="P4" i="19" l="1"/>
  <c r="G35" i="16"/>
  <c r="G10" i="16"/>
  <c r="G14" i="16" s="1"/>
  <c r="F2" i="19"/>
  <c r="C69" i="16" s="1"/>
  <c r="J4" i="19"/>
  <c r="J3" i="19"/>
  <c r="E10" i="16" s="1"/>
  <c r="E14" i="16" s="1"/>
  <c r="G15" i="16" l="1"/>
  <c r="L14" i="16"/>
  <c r="L10" i="16"/>
  <c r="E35" i="16"/>
  <c r="C80" i="16" s="1"/>
  <c r="J2" i="19"/>
  <c r="G80" i="16" l="1"/>
  <c r="C84" i="16"/>
  <c r="H14" i="16"/>
  <c r="G9" i="16" l="1"/>
  <c r="C47" i="18" l="1"/>
  <c r="B47" i="18"/>
  <c r="D47" i="18" l="1"/>
  <c r="G33" i="16"/>
  <c r="H11" i="16"/>
  <c r="H10" i="16"/>
  <c r="H35" i="16"/>
  <c r="G84" i="16" l="1"/>
  <c r="C77" i="16" l="1"/>
  <c r="G34" i="16"/>
</calcChain>
</file>

<file path=xl/comments1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J2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<sst xmlns="http://schemas.openxmlformats.org/spreadsheetml/2006/main" count="2284" uniqueCount="699">
  <si>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</si>
  <si>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</si>
  <si>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</si>
  <si>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</si>
  <si>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</si>
  <si>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</si>
  <si>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</si>
  <si>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</si>
  <si>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</si>
  <si>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</si>
  <si>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</si>
  <si>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</si>
  <si>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</si>
  <si>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</si>
  <si>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</si>
  <si>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</si>
  <si>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</si>
  <si>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</si>
  <si>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</si>
  <si>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</si>
  <si>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</si>
  <si>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</si>
  <si>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</si>
  <si>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</si>
  <si>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</si>
  <si>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</si>
  <si>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</si>
  <si>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</si>
  <si>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</si>
  <si>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</si>
  <si>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</si>
  <si>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</si>
  <si>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</si>
  <si>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</si>
  <si>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</si>
  <si>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</si>
  <si>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</si>
  <si>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</si>
  <si>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</si>
  <si>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</si>
  <si>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>продали облиги ржд евро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</si>
  <si>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</si>
  <si>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</si>
  <si>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</si>
  <si>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</si>
  <si>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</si>
  <si>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</si>
  <si>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</si>
  <si>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</si>
  <si>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</si>
  <si>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</si>
  <si>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</si>
  <si>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</si>
  <si>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</si>
  <si>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</si>
  <si>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</si>
  <si>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</si>
  <si>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</si>
  <si>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</si>
  <si>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</si>
  <si>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</si>
  <si>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</si>
  <si>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</si>
  <si>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</si>
  <si>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</si>
  <si>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</si>
  <si>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</si>
  <si>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</si>
  <si>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</si>
  <si>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</si>
  <si>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</si>
  <si>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</si>
  <si>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</si>
  <si>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</si>
  <si>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</si>
  <si>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</si>
  <si>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</si>
  <si>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</si>
  <si>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</si>
  <si>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</si>
  <si>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</si>
  <si>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</si>
  <si>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</si>
  <si>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</si>
  <si>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</si>
  <si>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</si>
  <si>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</si>
  <si>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</si>
  <si>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</si>
  <si>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</si>
  <si>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</si>
  <si>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</si>
  <si>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</si>
  <si>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</si>
  <si>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</si>
  <si>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</si>
  <si>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</si>
  <si>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</si>
  <si>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</si>
  <si>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</si>
  <si>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</si>
  <si>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</si>
  <si>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</si>
  <si>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</si>
  <si>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</si>
  <si>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</si>
  <si>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</si>
  <si>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</si>
  <si>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</si>
  <si>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</si>
  <si>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</si>
  <si>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</si>
  <si>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</si>
  <si>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</si>
  <si>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</si>
  <si>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</si>
  <si>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</si>
  <si>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</si>
  <si>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</si>
  <si>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</si>
  <si>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</si>
  <si>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</si>
  <si>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</si>
  <si>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</si>
  <si>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</si>
  <si>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</si>
  <si>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</si>
  <si>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</si>
  <si>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</si>
  <si>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</si>
  <si>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</si>
  <si>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</si>
  <si>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</si>
  <si>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</si>
  <si>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</si>
  <si>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</si>
  <si>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</si>
  <si>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</si>
  <si>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</si>
  <si>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</si>
  <si>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</si>
  <si>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</si>
  <si>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</si>
  <si>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</si>
  <si>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</si>
  <si>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</si>
  <si>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</si>
  <si>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</si>
  <si>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</si>
  <si>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</si>
  <si>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</si>
  <si>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</si>
  <si>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</si>
  <si>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</si>
  <si>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</si>
  <si>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</si>
  <si>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</si>
  <si>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</si>
  <si>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</si>
  <si>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</si>
  <si>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</si>
  <si>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</si>
  <si>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</si>
  <si>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</si>
  <si>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</si>
  <si>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</si>
  <si>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</si>
  <si>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</si>
  <si>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</si>
  <si>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</si>
  <si>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</si>
  <si>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</si>
  <si>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</si>
  <si>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</si>
  <si>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</si>
  <si>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</si>
  <si>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</si>
  <si>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</si>
  <si>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</si>
  <si>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</si>
  <si>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</si>
  <si>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</si>
  <si>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</si>
  <si>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</si>
  <si>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</si>
  <si>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</si>
  <si>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</si>
  <si>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</si>
  <si>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</si>
  <si>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</si>
  <si>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</si>
  <si>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</si>
  <si>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</si>
  <si>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</si>
  <si>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</si>
  <si>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</si>
  <si>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</si>
  <si>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</si>
  <si>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</si>
  <si>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</si>
  <si>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</si>
  <si>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</si>
  <si>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</si>
  <si>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</si>
  <si>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</si>
  <si>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</si>
  <si>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</si>
  <si>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</si>
  <si>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</si>
  <si>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</si>
  <si>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</si>
  <si>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</si>
  <si>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</si>
  <si>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</si>
  <si>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</si>
  <si>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</si>
  <si>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</si>
  <si>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</si>
  <si>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</si>
  <si>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</si>
  <si>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</si>
  <si>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</si>
  <si>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</si>
  <si>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</si>
  <si>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</si>
  <si>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</si>
  <si>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</si>
  <si>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</si>
  <si>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</si>
  <si>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</si>
  <si>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</si>
  <si>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</si>
  <si>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</si>
  <si>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</si>
  <si>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</si>
  <si>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</si>
  <si>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</si>
  <si>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</si>
  <si>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</si>
  <si>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</si>
  <si>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</si>
  <si>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</si>
  <si>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</si>
  <si>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</si>
  <si>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</si>
  <si>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</si>
  <si>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</si>
  <si>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</si>
  <si>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</si>
  <si>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</si>
  <si>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</si>
  <si>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</si>
  <si>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</si>
  <si>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</si>
  <si>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</si>
  <si>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</si>
  <si>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</si>
  <si>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</si>
  <si>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</si>
  <si>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</si>
  <si>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</si>
  <si>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</si>
  <si>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</si>
  <si>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</si>
  <si>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</si>
  <si>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</si>
  <si>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</si>
  <si>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</si>
  <si>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</si>
  <si>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</si>
  <si>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</si>
  <si>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</si>
  <si>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</si>
  <si>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</si>
  <si>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</si>
  <si>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</si>
  <si>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</si>
  <si>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</si>
  <si>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</si>
  <si>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</si>
  <si>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</si>
  <si>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</si>
  <si>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</si>
  <si>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</si>
  <si>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</si>
  <si>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</si>
  <si>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</si>
  <si>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</si>
  <si>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</si>
  <si>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</si>
  <si>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</si>
  <si>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</si>
  <si>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</si>
  <si>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</si>
  <si>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</si>
  <si>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</si>
  <si>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</si>
  <si>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</si>
  <si>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</si>
  <si>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</si>
  <si>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</si>
  <si>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</si>
  <si>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</si>
  <si>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</si>
  <si>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</si>
  <si>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</si>
  <si>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</si>
  <si>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</si>
  <si>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</si>
  <si>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</si>
  <si>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</si>
  <si>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</si>
  <si>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</si>
  <si>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</si>
  <si>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</si>
  <si>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</si>
  <si>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</si>
  <si>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</si>
  <si>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</si>
  <si>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</si>
  <si>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</si>
  <si>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</si>
  <si>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</si>
  <si>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</si>
  <si>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</si>
  <si>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</si>
  <si>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</si>
  <si>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</si>
  <si>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</si>
  <si>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</si>
  <si>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</si>
  <si>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</si>
  <si>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</si>
  <si>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</si>
  <si>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</si>
  <si>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</si>
  <si>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</si>
  <si>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</si>
  <si>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</si>
  <si>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</si>
  <si>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</si>
  <si>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</si>
  <si>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</si>
  <si>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</si>
  <si>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</si>
  <si>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</si>
  <si>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</si>
  <si>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</si>
  <si>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</si>
  <si>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</si>
  <si>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</si>
  <si>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</si>
  <si>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</si>
  <si>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GOTRL  5.950 07/19/21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</si>
  <si>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</si>
  <si>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</si>
  <si>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</si>
  <si>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</si>
  <si>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</si>
  <si>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</si>
  <si>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</si>
  <si>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</si>
  <si>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</si>
  <si>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</si>
  <si>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</si>
  <si>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</si>
  <si>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</si>
  <si>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</si>
  <si>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</si>
  <si>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</si>
  <si>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SGEEL  3.850 08/27/21</t>
  </si>
  <si>
    <t>STSBC  6.125 02/07/22 MTN</t>
  </si>
  <si>
    <t>BYGV   6.875 02/28/23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</si>
  <si>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</si>
  <si>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</si>
  <si>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</si>
  <si>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</si>
  <si>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</si>
  <si>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</si>
  <si>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</si>
  <si>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</si>
  <si>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ROSB   7.500 07/21/26 PUT</t>
  </si>
  <si>
    <t>IIB    6.750 05/16/23</t>
  </si>
  <si>
    <t>SVKBK 10.350 12/21/21</t>
  </si>
  <si>
    <t>AFKS   6.700 08/26/30 PUT</t>
  </si>
  <si>
    <t>IIB    5.950 03/10/23</t>
  </si>
  <si>
    <t>HEDTR  6.450 12/11/23</t>
  </si>
  <si>
    <t>GOTRL  6.890 12/16/25 PUT</t>
  </si>
  <si>
    <t>GOTRL  7.350 03/18/33 PUT</t>
  </si>
  <si>
    <t>PIKK   5.700 06/23/21 FRN</t>
  </si>
  <si>
    <t>GOTRL  7.980 03/06/25 PUT</t>
  </si>
  <si>
    <t>SOVCH  8.500 07/30/21 PUT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</si>
  <si>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</si>
  <si>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</si>
  <si>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</si>
  <si>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</si>
  <si>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</si>
  <si>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</si>
  <si>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</si>
  <si>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</si>
  <si>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</si>
  <si>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</si>
  <si>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</si>
  <si>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</si>
  <si>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</si>
  <si>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7.400 07/17/24</t>
  </si>
  <si>
    <t>RUGV   7.150 11/12/25</t>
  </si>
  <si>
    <t>RUGV   6.000 10/06/27</t>
  </si>
  <si>
    <t>RUGV   7.750 09/16/26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</si>
  <si>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</si>
  <si>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</si>
  <si>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</si>
  <si>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</si>
  <si>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</si>
  <si>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</si>
  <si>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#N/A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</si>
  <si>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</si>
  <si>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</si>
  <si>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</si>
  <si>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Internal error</t>
  </si>
  <si>
    <t>GAZFI  2.950 01/27/29 MTN</t>
  </si>
  <si>
    <t>NULL</t>
  </si>
  <si>
    <t>OTKRT  0.010 04/25/28 PUT DFTd</t>
  </si>
  <si>
    <t>BANE   5.500 01/31/23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</si>
  <si>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</si>
  <si>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</si>
  <si>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</si>
  <si>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</si>
  <si>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</si>
  <si>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</si>
  <si>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</si>
  <si>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</si>
  <si>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</si>
  <si>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</si>
  <si>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</si>
  <si>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</si>
  <si>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</si>
  <si>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</si>
  <si>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</si>
  <si>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</si>
  <si>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</si>
  <si>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</si>
  <si>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Портфель "до погашения"</t>
  </si>
  <si>
    <t>проверка</t>
  </si>
  <si>
    <t>Наилучший Рейтинг</t>
  </si>
  <si>
    <t>Средний</t>
  </si>
  <si>
    <t>Вложения (руб) на 01.03.2021</t>
  </si>
  <si>
    <t>облигации РФ</t>
  </si>
  <si>
    <t>ХКФ Банк</t>
  </si>
  <si>
    <t>LKOH   3.875 05/06/30</t>
  </si>
  <si>
    <t>VTBR   9.500 Perp     '22 FRN</t>
  </si>
  <si>
    <t>FLOT   5.375 06/16/23</t>
  </si>
  <si>
    <t>PPFGP  6.850 02/06/26 PUT</t>
  </si>
  <si>
    <t>RUGV   5.450 03/03/27 FRN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</si>
  <si>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</si>
  <si>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</si>
  <si>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</si>
  <si>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</si>
  <si>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</si>
  <si>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</si>
  <si>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</si>
  <si>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</si>
  <si>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</si>
  <si>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</si>
  <si>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</si>
  <si>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>ФСК ЕЭС</t>
  </si>
  <si>
    <t>cvar, % (по наилучшему рейтингу)</t>
  </si>
  <si>
    <t>VON    3.375 11/25/27 '27 MTN</t>
  </si>
  <si>
    <t>MMCFN  3.849 04/08/22 '22</t>
  </si>
  <si>
    <t>GAZFI  4.599 Perp     '25 FRN</t>
  </si>
  <si>
    <t>AFKS   6.900 02/17/31</t>
  </si>
  <si>
    <t>GOTRL  5.000 12/31/32 FRN PUT</t>
  </si>
  <si>
    <t>FASPM  8.150 07/01/21 PUT</t>
  </si>
  <si>
    <t>FEES   8.500 06/22/21</t>
  </si>
  <si>
    <t xml:space="preserve"> Coral Energy Pte</t>
  </si>
  <si>
    <t xml:space="preserve">CB Entreprises Sàrl </t>
  </si>
  <si>
    <t xml:space="preserve">1 мар 2021
Европлан
SOCAR
   CB ENTERPRISES PTE. LTD
Societe Generale
 (НорНикель) 
SUEK Ltd </t>
  </si>
  <si>
    <t xml:space="preserve">1 апр 2021
Европлан
SOCAR
   CB ENTERPRISES PTE. LTD
Societe Generale
 (НорНикель) 
SUEK Ltd </t>
  </si>
  <si>
    <t>1 мая 2021
Европлан
SOCAR
   CB Entreprises Sàrl 
Societe Generale
 (НорНикель) 
SUEK Ltd 
Уралкалий
 Coral Energy Pte</t>
  </si>
  <si>
    <t>Брусника</t>
  </si>
  <si>
    <t>МСП Банк</t>
  </si>
  <si>
    <t>ММК, ао</t>
  </si>
  <si>
    <t>НЛМК, ао</t>
  </si>
  <si>
    <t>ММК</t>
  </si>
  <si>
    <t>Новолипецкий металлургический комбинат</t>
  </si>
  <si>
    <t>горно-металлургическая промышленность</t>
  </si>
  <si>
    <t>Черная металлургия</t>
  </si>
  <si>
    <t>GOTRL  5.150 01/18/33 FRN PUT</t>
  </si>
  <si>
    <t>BRSSD  9.600 04/01/24</t>
  </si>
  <si>
    <t>VNESH  6.200 03/17/22 PUT</t>
  </si>
  <si>
    <t>VNESH  6.250 08/11/22 PUT</t>
  </si>
  <si>
    <t>1 июня 2021
Европлан
SOCAR
   CB Entreprises Sàrl 
Societe Generale
 (НорНикель) 
SUEK Ltd 
Уралкалий
 Coral Energy Pte</t>
  </si>
  <si>
    <t>АБФ-БО</t>
  </si>
  <si>
    <t>корпоративные еврооблигации</t>
  </si>
  <si>
    <t>корпоративные рублевые облигации</t>
  </si>
  <si>
    <t>госеврооблигации</t>
  </si>
  <si>
    <t>Беларусь-2026-еврооб</t>
  </si>
  <si>
    <t>ГТЛК-2021-еврооб</t>
  </si>
  <si>
    <t>Совкомфлот-2023-еврооб</t>
  </si>
  <si>
    <t>ABH Financial-2022-еврооб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</si>
  <si>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</si>
  <si>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</si>
  <si>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</si>
  <si>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</si>
  <si>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</si>
  <si>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</si>
  <si>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</si>
  <si>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</si>
  <si>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</si>
  <si>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</si>
  <si>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</si>
  <si>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</si>
  <si>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</si>
  <si>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</si>
  <si>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Северсталь-2021-еврооб</t>
  </si>
  <si>
    <t>Сбербанк-2022-еврооб</t>
  </si>
  <si>
    <t>Беларусь-2023-еврооб</t>
  </si>
  <si>
    <t>Газпром-2025_u-еврооб</t>
  </si>
  <si>
    <t>МКБ-02.2024-еврооб</t>
  </si>
  <si>
    <t>МКБ-01.2025-еврооб</t>
  </si>
  <si>
    <t>Евраз-2023-еврооб</t>
  </si>
  <si>
    <t>ГТЛК БО-07</t>
  </si>
  <si>
    <t>Ипотечный агент ТФБ-1-об</t>
  </si>
  <si>
    <t>Россельхозбанк-08Т1-об</t>
  </si>
  <si>
    <t>ГТЛК-001Р-07-боб</t>
  </si>
  <si>
    <t>ГТЛК-001P-08-боб</t>
  </si>
  <si>
    <t>СистемаАФК-001P-01-боб</t>
  </si>
  <si>
    <t>ГТЛК-001P-09-боб</t>
  </si>
  <si>
    <t>ПИК-П06-боб</t>
  </si>
  <si>
    <t>СистемаАФК-001P-04-боб</t>
  </si>
  <si>
    <t>ГТЛК-4-боб</t>
  </si>
  <si>
    <t>Совкомбанк-03-боб</t>
  </si>
  <si>
    <t>РОСНАНО-6-об</t>
  </si>
  <si>
    <t>Россельхозбанк-20-об</t>
  </si>
  <si>
    <t>МБЭС-001P-01-боб</t>
  </si>
  <si>
    <t>РОСНАНО-8-об</t>
  </si>
  <si>
    <t>Синх-финанс-001P-01-боб</t>
  </si>
  <si>
    <t>Сегежа-001P-01R-боб</t>
  </si>
  <si>
    <t>РЖД-41-об</t>
  </si>
  <si>
    <t>Роснано-2р4-боб</t>
  </si>
  <si>
    <t>Альфа-Банк-2022-еврооб</t>
  </si>
  <si>
    <t>МИБ-01Р4-боб</t>
  </si>
  <si>
    <t>Русал Братск-002Р-01-боб</t>
  </si>
  <si>
    <t>Совкомбанк Лизинг-п01-боб</t>
  </si>
  <si>
    <t>РусГидро-2022-еврооб</t>
  </si>
  <si>
    <t>Металлоинвест-2-об</t>
  </si>
  <si>
    <t>Металлоинвест-3-об</t>
  </si>
  <si>
    <t>Россельхозбанк-12</t>
  </si>
  <si>
    <t>ФСК ЕЭС-13</t>
  </si>
  <si>
    <t>Брусника-1P02-об</t>
  </si>
  <si>
    <t>МСП-01-об</t>
  </si>
  <si>
    <t>МСП-02-об</t>
  </si>
  <si>
    <t>ОФЗ-29007</t>
  </si>
  <si>
    <t>Россия-2032-еврооб</t>
  </si>
  <si>
    <t>МКБ-2024-еврооб</t>
  </si>
  <si>
    <t>МКБ-2025-еврооб</t>
  </si>
  <si>
    <t>Лукойл-2030-еврооб</t>
  </si>
  <si>
    <t>ГТЛК-2027-еврооб</t>
  </si>
  <si>
    <t>ГТЛК-2028-еврооб</t>
  </si>
  <si>
    <t>РОСНАНО</t>
  </si>
  <si>
    <t>Московский Кредитный Банк</t>
  </si>
  <si>
    <t>XS2120091991</t>
  </si>
  <si>
    <t>XS1449458915</t>
  </si>
  <si>
    <t>XS1433454243</t>
  </si>
  <si>
    <t>CH0385518086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</si>
  <si>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</si>
  <si>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</si>
  <si>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</si>
  <si>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</si>
  <si>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</si>
  <si>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</si>
  <si>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</si>
  <si>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</si>
  <si>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</si>
  <si>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</si>
  <si>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</si>
  <si>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</si>
  <si>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</si>
  <si>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</si>
  <si>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XS1567051443</t>
  </si>
  <si>
    <t>XS0743596040</t>
  </si>
  <si>
    <t>XS1634369067</t>
  </si>
  <si>
    <t>XS2243631095</t>
  </si>
  <si>
    <t>XS1951067039</t>
  </si>
  <si>
    <t>XS2099763075</t>
  </si>
  <si>
    <t>XS1533915721</t>
  </si>
  <si>
    <t>RU000A0JW1P8</t>
  </si>
  <si>
    <t>RU000A0JV508</t>
  </si>
  <si>
    <t>RU000A0JWV63</t>
  </si>
  <si>
    <t>RU000A0ZYNY4</t>
  </si>
  <si>
    <t>RU000A0ZYR91</t>
  </si>
  <si>
    <t>RU000A0JVUK8</t>
  </si>
  <si>
    <t>RU000A0ZZ1J8</t>
  </si>
  <si>
    <t>RU000A0ZZAW2</t>
  </si>
  <si>
    <t>RU000A0JWYQ5</t>
  </si>
  <si>
    <t>RU000A0JVA10</t>
  </si>
  <si>
    <t>RU000A0JWPA7</t>
  </si>
  <si>
    <t>RU000A0JVVA7</t>
  </si>
  <si>
    <t>RU000A0JTVJ2</t>
  </si>
  <si>
    <t>RU000A100VX2</t>
  </si>
  <si>
    <t>RU000A1008V9</t>
  </si>
  <si>
    <t>RU000A0JXVE5</t>
  </si>
  <si>
    <t>RU000A101D13</t>
  </si>
  <si>
    <t>RU000A0JX1S1</t>
  </si>
  <si>
    <t>RU000A101KK0</t>
  </si>
  <si>
    <t>XS1946883342</t>
  </si>
  <si>
    <t>RU000A101MZ4</t>
  </si>
  <si>
    <t>RU000A101S81</t>
  </si>
  <si>
    <t>RU000A0ZZZN8</t>
  </si>
  <si>
    <t>XS1691350455</t>
  </si>
  <si>
    <t>RU000A0JTLJ3</t>
  </si>
  <si>
    <t>RU000A0JTLL9</t>
  </si>
  <si>
    <t>RU000A0JRMB2</t>
  </si>
  <si>
    <t>RU000A0JRL96</t>
  </si>
  <si>
    <t>RU000A102Y58</t>
  </si>
  <si>
    <t>RU000A0JS5R1</t>
  </si>
  <si>
    <t>RU000A0JS603</t>
  </si>
  <si>
    <t>RU000A0JV4M0</t>
  </si>
  <si>
    <t>RU000A102CL3</t>
  </si>
  <si>
    <t>XS1964558339</t>
  </si>
  <si>
    <t>XS2159874002</t>
  </si>
  <si>
    <t>XS2131995958</t>
  </si>
  <si>
    <t>XS2249778247</t>
  </si>
  <si>
    <t>Вложения (руб) на 01.06.2021</t>
  </si>
  <si>
    <t>акции обыкновенные</t>
  </si>
  <si>
    <t>акции привилегированные</t>
  </si>
  <si>
    <t>SBER</t>
  </si>
  <si>
    <t>SNGS</t>
  </si>
  <si>
    <t>YNDX</t>
  </si>
  <si>
    <t>NVTK</t>
  </si>
  <si>
    <t>MAGN</t>
  </si>
  <si>
    <t>NLMK</t>
  </si>
  <si>
    <t>XS2134628069</t>
  </si>
  <si>
    <t>XS2291819980</t>
  </si>
  <si>
    <t>XS0810596832</t>
  </si>
  <si>
    <t>XS2252958751</t>
  </si>
  <si>
    <t>RU000A0JTX09</t>
  </si>
  <si>
    <t>RU000A100V79</t>
  </si>
  <si>
    <t>RU000A0JX2F6</t>
  </si>
  <si>
    <t>RU000A0JWNB0</t>
  </si>
  <si>
    <t>RU000A0JTM36</t>
  </si>
  <si>
    <t>RU000A0JTM51</t>
  </si>
  <si>
    <t>RU000A1023K1</t>
  </si>
  <si>
    <t>RU000A1023H7</t>
  </si>
  <si>
    <t>RU000A102GY7</t>
  </si>
  <si>
    <t>RU000A102RF3</t>
  </si>
  <si>
    <t>RU000A102SV8</t>
  </si>
  <si>
    <t>RU000A0ZYZ26</t>
  </si>
  <si>
    <t>RU000A1007F4</t>
  </si>
  <si>
    <t>RU000A100EG3</t>
  </si>
  <si>
    <t>RU000A1014N4</t>
  </si>
  <si>
    <t>RU000A0JWM07</t>
  </si>
  <si>
    <t>BANEP</t>
  </si>
  <si>
    <t>TRNFP</t>
  </si>
  <si>
    <t>Биржевой код ЦБ</t>
  </si>
  <si>
    <t>Норникель-2025-еврооб</t>
  </si>
  <si>
    <t>Газпром-2029-еврооб</t>
  </si>
  <si>
    <t>ВТБ-2012-еврооб</t>
  </si>
  <si>
    <t>VEON Holdings-2027-еврооб</t>
  </si>
  <si>
    <t>Открытие Холдинг-5-об</t>
  </si>
  <si>
    <t>Тинькофф-001P-03R-боб</t>
  </si>
  <si>
    <t>Росбанк-11-боб</t>
  </si>
  <si>
    <t>Росбанк-26-боб</t>
  </si>
  <si>
    <t>Башнефть-7-об</t>
  </si>
  <si>
    <t>Башнефть-9-об</t>
  </si>
  <si>
    <t>СистемаАФК-1Р-15</t>
  </si>
  <si>
    <t>МИБ-001Р-05</t>
  </si>
  <si>
    <t>Хэдхантер-001Р-01R</t>
  </si>
  <si>
    <t>ХКФБанк-7-боб</t>
  </si>
  <si>
    <t>СистемаАФК-001P-18</t>
  </si>
  <si>
    <t>ОФЗ-52002</t>
  </si>
  <si>
    <t>ОФЗ-26227</t>
  </si>
  <si>
    <t>ОФЗ-26229</t>
  </si>
  <si>
    <t>ОФЗ-26232</t>
  </si>
  <si>
    <t>ОФЗ-26219</t>
  </si>
  <si>
    <t>Портфель обособленный, без АББ</t>
  </si>
  <si>
    <t>облигации субъектов РФ</t>
  </si>
  <si>
    <t>Ипотечный агент ДОМ.РФ</t>
  </si>
  <si>
    <t>МТС-Банк</t>
  </si>
  <si>
    <t>Москва</t>
  </si>
  <si>
    <t>ИА ДОМ.РФ-06р-об</t>
  </si>
  <si>
    <t>ИА ДОМ.РФ-02р-об</t>
  </si>
  <si>
    <t>ИА ДОМ.РФ-009р-об</t>
  </si>
  <si>
    <t>ИА ДОМ.РФ-010P-боб</t>
  </si>
  <si>
    <t>РЖД-2028</t>
  </si>
  <si>
    <t>МТС-Банк-01-об</t>
  </si>
  <si>
    <t>Москва-74-об</t>
  </si>
  <si>
    <t>RU000A0ZZV86</t>
  </si>
  <si>
    <t>RU000A0ZYJT2</t>
  </si>
  <si>
    <t>RU000A100DQ4</t>
  </si>
  <si>
    <t>RU000A100ZB9</t>
  </si>
  <si>
    <t>XS2318748956</t>
  </si>
  <si>
    <t>RU000A1034T9</t>
  </si>
  <si>
    <t>RU000A1033Z8</t>
  </si>
  <si>
    <t>BYGV   5.875 02/24/26</t>
  </si>
  <si>
    <t>EVRE   5.375 03/20/23</t>
  </si>
  <si>
    <t>CrVar "резерв ликвидности"</t>
  </si>
  <si>
    <t>кредитный риск портфель "резерв ликвидности"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</si>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</sst>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2">
    <xf numFmtId="0" fontId="0" fillId="0" borderId="0"/>
    <xf numFmtId="0" fontId="7" fillId="0" borderId="0"/>
    <xf numFmtId="0" fontId="8" fillId="0" borderId="0"/>
    <xf numFmtId="0" fontId="9" fillId="0" borderId="0"/>
    <xf numFmtId="166" fontId="9" fillId="0" borderId="0" applyFill="0" applyBorder="0" applyAlignment="0" applyProtection="0"/>
    <xf numFmtId="0" fontId="6" fillId="0" borderId="0"/>
    <xf numFmtId="165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3" fillId="0" borderId="0"/>
    <xf numFmtId="0" fontId="19" fillId="0" borderId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4" fillId="0" borderId="0"/>
    <xf numFmtId="0" fontId="3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</cellStyleXfs>
  <cellXfs count="249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1" fillId="0" borderId="1" xfId="0" applyNumberFormat="1" applyFont="1" applyBorder="1"/>
    <xf numFmtId="14" fontId="11" fillId="4" borderId="1" xfId="0" applyNumberFormat="1" applyFont="1" applyFill="1" applyBorder="1"/>
    <xf numFmtId="3" fontId="11" fillId="0" borderId="1" xfId="0" applyNumberFormat="1" applyFont="1" applyBorder="1"/>
    <xf numFmtId="0" fontId="11" fillId="0" borderId="1" xfId="0" applyFont="1" applyBorder="1"/>
    <xf numFmtId="0" fontId="10" fillId="0" borderId="1" xfId="0" applyFont="1" applyBorder="1"/>
    <xf numFmtId="3" fontId="12" fillId="0" borderId="1" xfId="0" applyNumberFormat="1" applyFont="1" applyBorder="1"/>
    <xf numFmtId="0" fontId="0" fillId="0" borderId="1" xfId="0" applyBorder="1" applyAlignment="1">
      <alignment wrapText="1"/>
    </xf>
    <xf numFmtId="3" fontId="11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3" fillId="0" borderId="0" xfId="0" applyFont="1" applyAlignment="1">
      <alignment horizontal="left" vertical="center" wrapText="1"/>
    </xf>
    <xf numFmtId="14" fontId="11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0" fillId="0" borderId="0" xfId="0" applyFont="1" applyBorder="1"/>
    <xf numFmtId="3" fontId="12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6" fillId="0" borderId="0" xfId="10" applyFont="1" applyAlignment="1">
      <alignment vertical="center"/>
    </xf>
    <xf numFmtId="0" fontId="16" fillId="0" borderId="1" xfId="10" applyFont="1" applyBorder="1" applyAlignment="1">
      <alignment vertical="center"/>
    </xf>
    <xf numFmtId="3" fontId="16" fillId="0" borderId="1" xfId="10" applyNumberFormat="1" applyFont="1" applyBorder="1" applyAlignment="1">
      <alignment vertical="center"/>
    </xf>
    <xf numFmtId="10" fontId="16" fillId="0" borderId="1" xfId="10" applyNumberFormat="1" applyFont="1" applyBorder="1" applyAlignment="1">
      <alignment vertical="center"/>
    </xf>
    <xf numFmtId="0" fontId="17" fillId="0" borderId="1" xfId="10" applyFont="1" applyBorder="1" applyAlignment="1">
      <alignment horizontal="center" vertical="center" wrapText="1"/>
    </xf>
    <xf numFmtId="0" fontId="16" fillId="0" borderId="1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3" fontId="18" fillId="0" borderId="1" xfId="10" applyNumberFormat="1" applyFont="1" applyBorder="1" applyAlignment="1">
      <alignment vertical="center"/>
    </xf>
    <xf numFmtId="3" fontId="18" fillId="6" borderId="1" xfId="10" applyNumberFormat="1" applyFon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20" fillId="0" borderId="0" xfId="11" applyFont="1"/>
    <xf numFmtId="167" fontId="20" fillId="0" borderId="0" xfId="12" applyNumberFormat="1" applyFont="1"/>
    <xf numFmtId="0" fontId="20" fillId="4" borderId="1" xfId="11" applyFont="1" applyFill="1" applyBorder="1" applyAlignment="1">
      <alignment horizontal="center" vertical="center" wrapText="1"/>
    </xf>
    <xf numFmtId="0" fontId="20" fillId="0" borderId="0" xfId="11" applyFont="1" applyAlignment="1">
      <alignment wrapText="1"/>
    </xf>
    <xf numFmtId="167" fontId="20" fillId="4" borderId="1" xfId="12" applyNumberFormat="1" applyFont="1" applyFill="1" applyBorder="1" applyAlignment="1">
      <alignment horizontal="center" vertical="center" wrapText="1"/>
    </xf>
    <xf numFmtId="10" fontId="20" fillId="2" borderId="1" xfId="13" applyNumberFormat="1" applyFont="1" applyFill="1" applyBorder="1" applyAlignment="1">
      <alignment vertical="center"/>
    </xf>
    <xf numFmtId="0" fontId="20" fillId="2" borderId="1" xfId="11" applyFont="1" applyFill="1" applyBorder="1" applyAlignment="1">
      <alignment vertical="center"/>
    </xf>
    <xf numFmtId="10" fontId="20" fillId="2" borderId="1" xfId="12" applyNumberFormat="1" applyFont="1" applyFill="1" applyBorder="1" applyAlignment="1">
      <alignment horizontal="right" vertical="center"/>
    </xf>
    <xf numFmtId="168" fontId="20" fillId="4" borderId="1" xfId="13" applyNumberFormat="1" applyFont="1" applyFill="1" applyBorder="1" applyAlignment="1">
      <alignment horizontal="center" vertical="center"/>
    </xf>
    <xf numFmtId="167" fontId="20" fillId="2" borderId="1" xfId="12" applyNumberFormat="1" applyFont="1" applyFill="1" applyBorder="1" applyAlignment="1">
      <alignment horizontal="right" vertical="center"/>
    </xf>
    <xf numFmtId="10" fontId="20" fillId="2" borderId="1" xfId="13" applyNumberFormat="1" applyFont="1" applyFill="1" applyBorder="1" applyAlignment="1">
      <alignment horizontal="center" vertical="center"/>
    </xf>
    <xf numFmtId="10" fontId="20" fillId="4" borderId="1" xfId="13" applyNumberFormat="1" applyFont="1" applyFill="1" applyBorder="1" applyAlignment="1">
      <alignment horizontal="center" vertical="center"/>
    </xf>
    <xf numFmtId="10" fontId="20" fillId="0" borderId="0" xfId="11" applyNumberFormat="1" applyFont="1"/>
    <xf numFmtId="10" fontId="20" fillId="2" borderId="1" xfId="12" applyNumberFormat="1" applyFont="1" applyFill="1" applyBorder="1" applyAlignment="1">
      <alignment vertical="center"/>
    </xf>
    <xf numFmtId="3" fontId="16" fillId="0" borderId="1" xfId="10" applyNumberFormat="1" applyFont="1" applyBorder="1" applyAlignment="1">
      <alignment horizontal="center" vertical="center"/>
    </xf>
    <xf numFmtId="0" fontId="22" fillId="7" borderId="0" xfId="10" applyFont="1" applyFill="1" applyAlignment="1">
      <alignment horizontal="center" vertical="center"/>
    </xf>
    <xf numFmtId="3" fontId="22" fillId="7" borderId="0" xfId="10" applyNumberFormat="1" applyFont="1" applyFill="1" applyAlignment="1">
      <alignment horizontal="center" vertical="center"/>
    </xf>
    <xf numFmtId="3" fontId="23" fillId="0" borderId="1" xfId="0" applyNumberFormat="1" applyFont="1" applyBorder="1"/>
    <xf numFmtId="169" fontId="11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8" xfId="10" applyFont="1" applyBorder="1" applyAlignment="1">
      <alignment horizontal="center" vertical="center"/>
    </xf>
    <xf numFmtId="0" fontId="16" fillId="0" borderId="1" xfId="10" applyFont="1" applyBorder="1" applyAlignment="1">
      <alignment horizontal="center" vertical="center"/>
    </xf>
    <xf numFmtId="17" fontId="26" fillId="3" borderId="0" xfId="0" applyNumberFormat="1" applyFont="1" applyFill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7" fillId="0" borderId="0" xfId="0" applyFont="1"/>
    <xf numFmtId="0" fontId="28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vertical="center" wrapText="1"/>
    </xf>
    <xf numFmtId="0" fontId="26" fillId="0" borderId="0" xfId="0" applyFont="1" applyBorder="1" applyAlignment="1">
      <alignment vertical="center"/>
    </xf>
    <xf numFmtId="14" fontId="26" fillId="0" borderId="0" xfId="0" applyNumberFormat="1" applyFont="1" applyBorder="1" applyAlignment="1">
      <alignment vertical="center"/>
    </xf>
    <xf numFmtId="0" fontId="26" fillId="0" borderId="0" xfId="0" applyFont="1" applyBorder="1" applyAlignment="1">
      <alignment vertical="center" wrapText="1"/>
    </xf>
    <xf numFmtId="0" fontId="27" fillId="0" borderId="0" xfId="0" applyFont="1" applyAlignment="1">
      <alignment wrapText="1"/>
    </xf>
    <xf numFmtId="14" fontId="26" fillId="0" borderId="1" xfId="0" applyNumberFormat="1" applyFont="1" applyBorder="1" applyAlignment="1">
      <alignment vertical="center"/>
    </xf>
    <xf numFmtId="0" fontId="27" fillId="0" borderId="0" xfId="0" applyFont="1" applyBorder="1"/>
    <xf numFmtId="14" fontId="27" fillId="0" borderId="0" xfId="0" applyNumberFormat="1" applyFont="1" applyBorder="1"/>
    <xf numFmtId="0" fontId="27" fillId="0" borderId="0" xfId="0" applyFont="1" applyBorder="1" applyAlignment="1">
      <alignment wrapText="1"/>
    </xf>
    <xf numFmtId="0" fontId="27" fillId="0" borderId="1" xfId="0" applyFont="1" applyBorder="1" applyAlignment="1">
      <alignment wrapText="1"/>
    </xf>
    <xf numFmtId="169" fontId="11" fillId="2" borderId="1" xfId="0" applyNumberFormat="1" applyFont="1" applyFill="1" applyBorder="1"/>
    <xf numFmtId="170" fontId="16" fillId="0" borderId="0" xfId="15" applyNumberFormat="1" applyFont="1" applyAlignment="1">
      <alignment vertical="center"/>
    </xf>
    <xf numFmtId="170" fontId="17" fillId="0" borderId="1" xfId="15" applyNumberFormat="1" applyFont="1" applyBorder="1" applyAlignment="1">
      <alignment horizontal="center" vertical="center" wrapText="1"/>
    </xf>
    <xf numFmtId="170" fontId="16" fillId="0" borderId="1" xfId="15" applyNumberFormat="1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0" xfId="0" applyFont="1"/>
    <xf numFmtId="0" fontId="26" fillId="0" borderId="1" xfId="0" applyFont="1" applyFill="1" applyBorder="1" applyAlignment="1">
      <alignment horizontal="center" vertical="center"/>
    </xf>
    <xf numFmtId="167" fontId="20" fillId="0" borderId="1" xfId="12" applyNumberFormat="1" applyFont="1" applyBorder="1"/>
    <xf numFmtId="0" fontId="20" fillId="0" borderId="1" xfId="11" applyFont="1" applyBorder="1"/>
    <xf numFmtId="0" fontId="3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1" fillId="5" borderId="1" xfId="0" applyFont="1" applyFill="1" applyBorder="1"/>
    <xf numFmtId="0" fontId="11" fillId="4" borderId="1" xfId="0" applyFont="1" applyFill="1" applyBorder="1"/>
    <xf numFmtId="0" fontId="11" fillId="0" borderId="1" xfId="0" applyFont="1" applyBorder="1" applyAlignment="1">
      <alignment wrapText="1"/>
    </xf>
    <xf numFmtId="0" fontId="31" fillId="0" borderId="1" xfId="0" applyFont="1" applyBorder="1" applyAlignment="1">
      <alignment vertical="top" wrapText="1"/>
    </xf>
    <xf numFmtId="0" fontId="11" fillId="0" borderId="0" xfId="0" applyFont="1" applyAlignment="1">
      <alignment wrapText="1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wrapText="1"/>
    </xf>
    <xf numFmtId="14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6" fillId="0" borderId="1" xfId="15" applyNumberFormat="1" applyFont="1" applyBorder="1" applyAlignment="1">
      <alignment horizontal="center" vertical="center"/>
    </xf>
    <xf numFmtId="170" fontId="16" fillId="2" borderId="1" xfId="15" applyNumberFormat="1" applyFont="1" applyFill="1" applyBorder="1" applyAlignment="1">
      <alignment horizontal="center" vertical="center"/>
    </xf>
    <xf numFmtId="0" fontId="2" fillId="0" borderId="0" xfId="16"/>
    <xf numFmtId="173" fontId="2" fillId="0" borderId="0" xfId="16" applyNumberFormat="1"/>
    <xf numFmtId="0" fontId="36" fillId="3" borderId="0" xfId="19" applyFont="1" applyFill="1"/>
    <xf numFmtId="0" fontId="2" fillId="3" borderId="0" xfId="16" applyFill="1"/>
    <xf numFmtId="0" fontId="34" fillId="4" borderId="0" xfId="16" applyFont="1" applyFill="1"/>
    <xf numFmtId="0" fontId="13" fillId="4" borderId="0" xfId="16" applyFont="1" applyFill="1"/>
    <xf numFmtId="174" fontId="13" fillId="4" borderId="0" xfId="16" applyNumberFormat="1" applyFont="1" applyFill="1"/>
    <xf numFmtId="0" fontId="37" fillId="0" borderId="0" xfId="11" applyFont="1"/>
    <xf numFmtId="0" fontId="37" fillId="0" borderId="0" xfId="11" applyFont="1" applyAlignment="1">
      <alignment horizontal="right"/>
    </xf>
    <xf numFmtId="175" fontId="20" fillId="0" borderId="0" xfId="11" applyNumberFormat="1" applyFont="1"/>
    <xf numFmtId="171" fontId="20" fillId="2" borderId="1" xfId="12" applyNumberFormat="1" applyFont="1" applyFill="1" applyBorder="1" applyAlignment="1">
      <alignment horizontal="right" vertical="center"/>
    </xf>
    <xf numFmtId="10" fontId="20" fillId="0" borderId="1" xfId="11" applyNumberFormat="1" applyFont="1" applyBorder="1" applyAlignment="1">
      <alignment horizontal="center"/>
    </xf>
    <xf numFmtId="170" fontId="17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6" fillId="4" borderId="1" xfId="10" applyNumberFormat="1" applyFont="1" applyFill="1" applyBorder="1" applyAlignment="1">
      <alignment vertical="center"/>
    </xf>
    <xf numFmtId="176" fontId="16" fillId="4" borderId="1" xfId="15" applyNumberFormat="1" applyFont="1" applyFill="1" applyBorder="1" applyAlignment="1">
      <alignment horizontal="center" vertical="center"/>
    </xf>
    <xf numFmtId="170" fontId="16" fillId="4" borderId="1" xfId="15" applyNumberFormat="1" applyFont="1" applyFill="1" applyBorder="1" applyAlignment="1">
      <alignment horizontal="center" vertical="center"/>
    </xf>
    <xf numFmtId="0" fontId="38" fillId="0" borderId="0" xfId="10" applyFont="1" applyAlignment="1">
      <alignment horizontal="right" vertical="center"/>
    </xf>
    <xf numFmtId="0" fontId="38" fillId="0" borderId="0" xfId="10" applyFont="1" applyAlignment="1">
      <alignment vertical="center"/>
    </xf>
    <xf numFmtId="3" fontId="38" fillId="0" borderId="0" xfId="10" applyNumberFormat="1" applyFont="1" applyAlignment="1">
      <alignment vertical="center"/>
    </xf>
    <xf numFmtId="0" fontId="35" fillId="3" borderId="0" xfId="19" applyFill="1"/>
    <xf numFmtId="167" fontId="18" fillId="6" borderId="1" xfId="10" applyNumberFormat="1" applyFont="1" applyFill="1" applyBorder="1" applyAlignment="1">
      <alignment vertical="center"/>
    </xf>
    <xf numFmtId="167" fontId="18" fillId="0" borderId="1" xfId="10" applyNumberFormat="1" applyFont="1" applyBorder="1" applyAlignment="1">
      <alignment vertical="center"/>
    </xf>
    <xf numFmtId="3" fontId="11" fillId="2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2" fontId="11" fillId="2" borderId="1" xfId="0" applyNumberFormat="1" applyFont="1" applyFill="1" applyBorder="1"/>
    <xf numFmtId="3" fontId="11" fillId="2" borderId="1" xfId="0" applyNumberFormat="1" applyFont="1" applyFill="1" applyBorder="1" applyAlignment="1">
      <alignment horizontal="center"/>
    </xf>
    <xf numFmtId="167" fontId="11" fillId="2" borderId="1" xfId="0" applyNumberFormat="1" applyFont="1" applyFill="1" applyBorder="1" applyAlignment="1">
      <alignment horizontal="center" vertical="center"/>
    </xf>
    <xf numFmtId="0" fontId="39" fillId="0" borderId="1" xfId="0" applyFont="1" applyBorder="1"/>
    <xf numFmtId="3" fontId="39" fillId="0" borderId="1" xfId="0" applyNumberFormat="1" applyFont="1" applyBorder="1"/>
    <xf numFmtId="9" fontId="39" fillId="0" borderId="1" xfId="0" applyNumberFormat="1" applyFont="1" applyBorder="1"/>
    <xf numFmtId="3" fontId="39" fillId="0" borderId="0" xfId="0" applyNumberFormat="1" applyFont="1"/>
    <xf numFmtId="0" fontId="39" fillId="0" borderId="0" xfId="0" applyFont="1"/>
    <xf numFmtId="0" fontId="40" fillId="0" borderId="0" xfId="0" applyFont="1" applyAlignment="1">
      <alignment horizontal="right"/>
    </xf>
    <xf numFmtId="3" fontId="40" fillId="0" borderId="0" xfId="0" applyNumberFormat="1" applyFont="1" applyAlignment="1">
      <alignment horizontal="right"/>
    </xf>
    <xf numFmtId="0" fontId="39" fillId="0" borderId="1" xfId="0" applyFont="1" applyBorder="1" applyAlignment="1">
      <alignment horizontal="center" vertical="center"/>
    </xf>
    <xf numFmtId="0" fontId="40" fillId="0" borderId="0" xfId="0" applyFont="1" applyFill="1" applyBorder="1" applyAlignment="1">
      <alignment horizontal="right"/>
    </xf>
    <xf numFmtId="3" fontId="41" fillId="0" borderId="0" xfId="0" applyNumberFormat="1" applyFont="1"/>
    <xf numFmtId="3" fontId="40" fillId="0" borderId="0" xfId="0" applyNumberFormat="1" applyFont="1"/>
    <xf numFmtId="0" fontId="39" fillId="0" borderId="0" xfId="0" applyFont="1" applyAlignment="1">
      <alignment horizontal="center"/>
    </xf>
    <xf numFmtId="3" fontId="39" fillId="0" borderId="0" xfId="0" applyNumberFormat="1" applyFont="1" applyAlignment="1">
      <alignment horizontal="center"/>
    </xf>
    <xf numFmtId="0" fontId="39" fillId="0" borderId="1" xfId="0" applyFont="1" applyBorder="1" applyAlignment="1">
      <alignment horizontal="center"/>
    </xf>
    <xf numFmtId="9" fontId="39" fillId="0" borderId="0" xfId="0" applyNumberFormat="1" applyFont="1" applyBorder="1"/>
    <xf numFmtId="0" fontId="41" fillId="0" borderId="0" xfId="0" applyFont="1"/>
    <xf numFmtId="0" fontId="40" fillId="0" borderId="0" xfId="0" applyFont="1"/>
    <xf numFmtId="0" fontId="39" fillId="0" borderId="1" xfId="0" applyFont="1" applyBorder="1" applyAlignment="1">
      <alignment horizontal="left" vertical="top"/>
    </xf>
    <xf numFmtId="9" fontId="39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center" wrapText="1"/>
    </xf>
    <xf numFmtId="0" fontId="39" fillId="0" borderId="1" xfId="0" applyFont="1" applyBorder="1" applyAlignment="1">
      <alignment wrapText="1"/>
    </xf>
    <xf numFmtId="0" fontId="39" fillId="0" borderId="0" xfId="0" applyFont="1" applyBorder="1" applyAlignment="1">
      <alignment wrapText="1"/>
    </xf>
    <xf numFmtId="0" fontId="40" fillId="0" borderId="0" xfId="0" applyFont="1" applyAlignment="1">
      <alignment horizontal="right" wrapText="1"/>
    </xf>
    <xf numFmtId="0" fontId="39" fillId="0" borderId="0" xfId="0" applyFont="1" applyAlignment="1">
      <alignment wrapText="1"/>
    </xf>
    <xf numFmtId="0" fontId="39" fillId="2" borderId="1" xfId="0" applyFont="1" applyFill="1" applyBorder="1" applyAlignment="1">
      <alignment wrapText="1"/>
    </xf>
    <xf numFmtId="0" fontId="39" fillId="2" borderId="1" xfId="0" applyFont="1" applyFill="1" applyBorder="1"/>
    <xf numFmtId="3" fontId="39" fillId="2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167" fontId="39" fillId="6" borderId="1" xfId="0" applyNumberFormat="1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/>
    </xf>
    <xf numFmtId="0" fontId="39" fillId="6" borderId="1" xfId="0" applyFont="1" applyFill="1" applyBorder="1"/>
    <xf numFmtId="0" fontId="39" fillId="0" borderId="1" xfId="0" applyFont="1" applyBorder="1" applyAlignment="1">
      <alignment horizontal="center" vertical="center" wrapText="1"/>
    </xf>
    <xf numFmtId="3" fontId="39" fillId="0" borderId="1" xfId="0" applyNumberFormat="1" applyFont="1" applyBorder="1" applyAlignment="1">
      <alignment horizontal="center" vertical="center"/>
    </xf>
    <xf numFmtId="3" fontId="39" fillId="6" borderId="1" xfId="0" applyNumberFormat="1" applyFont="1" applyFill="1" applyBorder="1"/>
    <xf numFmtId="167" fontId="39" fillId="6" borderId="1" xfId="0" applyNumberFormat="1" applyFont="1" applyFill="1" applyBorder="1"/>
    <xf numFmtId="3" fontId="41" fillId="0" borderId="9" xfId="0" applyNumberFormat="1" applyFont="1" applyBorder="1"/>
    <xf numFmtId="0" fontId="39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41" fillId="0" borderId="9" xfId="0" applyNumberFormat="1" applyFont="1" applyBorder="1"/>
    <xf numFmtId="0" fontId="0" fillId="0" borderId="0" xfId="0" quotePrefix="1"/>
    <xf numFmtId="167" fontId="39" fillId="0" borderId="1" xfId="0" applyNumberFormat="1" applyFont="1" applyBorder="1"/>
    <xf numFmtId="0" fontId="39" fillId="0" borderId="0" xfId="0" applyFont="1" applyBorder="1" applyAlignment="1">
      <alignment horizontal="left" vertical="top"/>
    </xf>
    <xf numFmtId="0" fontId="42" fillId="0" borderId="0" xfId="0" applyFont="1"/>
    <xf numFmtId="49" fontId="0" fillId="0" borderId="1" xfId="0" applyNumberFormat="1" applyBorder="1" applyAlignment="1">
      <alignment horizontal="center" wrapText="1"/>
    </xf>
    <xf numFmtId="167" fontId="42" fillId="0" borderId="0" xfId="0" applyNumberFormat="1" applyFont="1"/>
    <xf numFmtId="0" fontId="43" fillId="0" borderId="0" xfId="0" applyFont="1"/>
    <xf numFmtId="0" fontId="40" fillId="0" borderId="0" xfId="0" applyFont="1" applyFill="1" applyBorder="1" applyAlignment="1">
      <alignment horizontal="right" vertical="top"/>
    </xf>
    <xf numFmtId="3" fontId="43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4" fillId="0" borderId="0" xfId="0" applyFont="1" applyAlignment="1">
      <alignment horizontal="right"/>
    </xf>
    <xf numFmtId="3" fontId="44" fillId="0" borderId="0" xfId="0" applyNumberFormat="1" applyFont="1" applyAlignment="1">
      <alignment horizontal="right"/>
    </xf>
    <xf numFmtId="9" fontId="39" fillId="0" borderId="0" xfId="0" applyNumberFormat="1" applyFont="1" applyAlignment="1">
      <alignment horizontal="center"/>
    </xf>
    <xf numFmtId="1" fontId="11" fillId="4" borderId="1" xfId="0" applyNumberFormat="1" applyFont="1" applyFill="1" applyBorder="1" applyAlignment="1">
      <alignment horizontal="center" vertical="center"/>
    </xf>
    <xf numFmtId="0" fontId="16" fillId="0" borderId="1" xfId="21" applyFont="1" applyBorder="1" applyAlignment="1">
      <alignment vertical="center"/>
    </xf>
    <xf numFmtId="0" fontId="16" fillId="0" borderId="1" xfId="21" applyFont="1" applyBorder="1" applyAlignment="1">
      <alignment horizontal="center" vertical="center" wrapText="1"/>
    </xf>
    <xf numFmtId="3" fontId="16" fillId="0" borderId="1" xfId="21" applyNumberFormat="1" applyFont="1" applyBorder="1" applyAlignment="1">
      <alignment vertical="center"/>
    </xf>
    <xf numFmtId="0" fontId="16" fillId="0" borderId="0" xfId="21" applyFont="1" applyAlignment="1">
      <alignment vertical="center"/>
    </xf>
    <xf numFmtId="0" fontId="16" fillId="0" borderId="0" xfId="21" applyFont="1" applyBorder="1" applyAlignment="1">
      <alignment vertical="center"/>
    </xf>
    <xf numFmtId="0" fontId="16" fillId="0" borderId="0" xfId="2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 wrapText="1"/>
    </xf>
    <xf numFmtId="170" fontId="16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2" fillId="0" borderId="0" xfId="16" applyNumberFormat="1"/>
    <xf numFmtId="177" fontId="20" fillId="8" borderId="0" xfId="11" applyNumberFormat="1" applyFont="1" applyFill="1"/>
    <xf numFmtId="0" fontId="46" fillId="0" borderId="0" xfId="0" applyFont="1"/>
    <xf numFmtId="167" fontId="0" fillId="0" borderId="13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39" fillId="0" borderId="0" xfId="0" applyFont="1" applyBorder="1"/>
    <xf numFmtId="3" fontId="41" fillId="0" borderId="0" xfId="0" applyNumberFormat="1" applyFont="1" applyBorder="1"/>
    <xf numFmtId="3" fontId="40" fillId="0" borderId="0" xfId="0" applyNumberFormat="1" applyFont="1" applyBorder="1" applyAlignment="1">
      <alignment horizontal="right"/>
    </xf>
    <xf numFmtId="9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center" wrapText="1"/>
    </xf>
    <xf numFmtId="3" fontId="0" fillId="2" borderId="1" xfId="0" applyNumberFormat="1" applyFill="1" applyBorder="1"/>
    <xf numFmtId="0" fontId="18" fillId="6" borderId="1" xfId="10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5" xfId="10" applyFont="1" applyBorder="1" applyAlignment="1">
      <alignment horizontal="center" vertical="center"/>
    </xf>
    <xf numFmtId="0" fontId="16" fillId="0" borderId="7" xfId="10" applyFont="1" applyBorder="1" applyAlignment="1">
      <alignment horizontal="center" vertical="center"/>
    </xf>
    <xf numFmtId="0" fontId="45" fillId="12" borderId="0" xfId="11" applyFont="1" applyFill="1" applyAlignment="1">
      <alignment horizontal="center"/>
    </xf>
    <xf numFmtId="0" fontId="20" fillId="0" borderId="5" xfId="11" applyFont="1" applyBorder="1" applyAlignment="1">
      <alignment horizontal="center"/>
    </xf>
    <xf numFmtId="0" fontId="20" fillId="8" borderId="0" xfId="11" applyFont="1" applyFill="1" applyAlignment="1">
      <alignment horizontal="center"/>
    </xf>
    <xf numFmtId="0" fontId="20" fillId="0" borderId="2" xfId="11" applyFont="1" applyBorder="1" applyAlignment="1">
      <alignment horizontal="center"/>
    </xf>
    <xf numFmtId="0" fontId="20" fillId="0" borderId="3" xfId="11" applyFont="1" applyBorder="1" applyAlignment="1">
      <alignment horizontal="center"/>
    </xf>
    <xf numFmtId="0" fontId="20" fillId="0" borderId="4" xfId="11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 wrapText="1"/>
    </xf>
    <xf numFmtId="0" fontId="39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9" borderId="5" xfId="21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39" fillId="0" borderId="3" xfId="0" applyFont="1" applyBorder="1" applyAlignment="1">
      <alignment horizontal="center"/>
    </xf>
  </cellXfs>
  <cellStyles count="22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0"/>
  <tableStyles count="0" defaultTableStyle="TableStyleMedium2" defaultPivotStyle="PivotStyleLight16"/>
  <colors>
    <mruColors>
      <color rgb="FFD3E9E6"/>
      <color rgb="FFB4EFCF"/>
      <color rgb="FF939598"/>
      <color rgb="FFBFDFDB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sharedStrings" Target="sharedStrings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4/1/2021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9.1577047436181627E-3"/>
                  <c:y val="-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0055325169924472E-3"/>
                  <c:y val="-1.593624998078552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6279-4934-BFC5-4E58ABD1A0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'1'!$C$10:$C$14</c:f>
              <c:numCache>
                <c:formatCode>#,##0</c:formatCode>
                <c:ptCount val="5"/>
                <c:pt idx="0">
                  <c:v>1258.1382393040278</c:v>
                </c:pt>
                <c:pt idx="1">
                  <c:v>501.08319123191905</c:v>
                </c:pt>
                <c:pt idx="2">
                  <c:v>3055</c:v>
                </c:pt>
                <c:pt idx="3">
                  <c:v>566</c:v>
                </c:pt>
                <c:pt idx="4">
                  <c:v>5380.2214305359466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5/1/2021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5.5896702145628394E-3"/>
                  <c:y val="-1.593624998078559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'1'!$D$10:$D$14</c:f>
              <c:numCache>
                <c:formatCode>#,##0</c:formatCode>
                <c:ptCount val="5"/>
                <c:pt idx="0">
                  <c:v>1479.3048183136734</c:v>
                </c:pt>
                <c:pt idx="1">
                  <c:v>745.57405171516007</c:v>
                </c:pt>
                <c:pt idx="2">
                  <c:v>2542</c:v>
                </c:pt>
                <c:pt idx="3">
                  <c:v>512</c:v>
                </c:pt>
                <c:pt idx="4">
                  <c:v>5278.8788700288333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6/1/2021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935521521733612E-2"/>
                  <c:y val="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9.6362034320013508E-3"/>
                  <c:y val="-7.3040301977465778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455841971219854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794-4458-A860-A9A1885088A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'1'!$E$10:$E$14</c:f>
              <c:numCache>
                <c:formatCode>#,##0</c:formatCode>
                <c:ptCount val="5"/>
                <c:pt idx="0">
                  <c:v>1574.4549347528919</c:v>
                </c:pt>
                <c:pt idx="1">
                  <c:v>817.87964110103769</c:v>
                </c:pt>
                <c:pt idx="2">
                  <c:v>2325</c:v>
                </c:pt>
                <c:pt idx="3">
                  <c:v>664.55044842044322</c:v>
                </c:pt>
                <c:pt idx="4">
                  <c:v>5381.885024274372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706638640"/>
        <c:axId val="-1706640272"/>
      </c:barChart>
      <c:catAx>
        <c:axId val="-170663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06640272"/>
        <c:crosses val="autoZero"/>
        <c:auto val="1"/>
        <c:lblAlgn val="ctr"/>
        <c:lblOffset val="100"/>
        <c:noMultiLvlLbl val="0"/>
      </c:catAx>
      <c:valAx>
        <c:axId val="-170664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170663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'1'!$C$34</c:f>
              <c:strCache>
                <c:ptCount val="1"/>
                <c:pt idx="0">
                  <c:v>4/1/2021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'1'!$C$35</c:f>
              <c:numCache>
                <c:formatCode>#,##0.0</c:formatCode>
                <c:ptCount val="1"/>
                <c:pt idx="0">
                  <c:v>124.49229304596814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'1'!$D$34</c:f>
              <c:strCache>
                <c:ptCount val="1"/>
                <c:pt idx="0">
                  <c:v>5/1/2021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'1'!$D$35</c:f>
              <c:numCache>
                <c:formatCode>#,##0.0</c:formatCode>
                <c:ptCount val="1"/>
                <c:pt idx="0">
                  <c:v>111.32945445702924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'1'!$E$34</c:f>
              <c:strCache>
                <c:ptCount val="1"/>
                <c:pt idx="0">
                  <c:v>6/1/2021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'1'!$E$35</c:f>
              <c:numCache>
                <c:formatCode>#,##0</c:formatCode>
                <c:ptCount val="1"/>
                <c:pt idx="0">
                  <c:v>111.21287995970742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706641360"/>
        <c:axId val="-1706643536"/>
      </c:barChart>
      <c:catAx>
        <c:axId val="-170664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06643536"/>
        <c:crosses val="autoZero"/>
        <c:auto val="1"/>
        <c:lblAlgn val="ctr"/>
        <c:lblOffset val="100"/>
        <c:noMultiLvlLbl val="0"/>
      </c:catAx>
      <c:valAx>
        <c:axId val="-1706643536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-170664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06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701867741305009"/>
          <c:y val="1.6452356881081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496915265538641"/>
          <c:y val="0.24145978722308811"/>
          <c:w val="0.41671531298613573"/>
          <c:h val="0.659261775044348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3B5-493E-846B-3165019196CB}"/>
              </c:ext>
            </c:extLst>
          </c:dPt>
          <c:dLbls>
            <c:dLbl>
              <c:idx val="0"/>
              <c:layout>
                <c:manualLayout>
                  <c:x val="3.1888194023649327E-2"/>
                  <c:y val="-7.39444818886876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333222101610578"/>
                  <c:y val="-4.806981172060198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3857377928556192"/>
                  <c:y val="-6.9874760707883482E-2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4273486557066528"/>
                  <c:y val="5.73013933938993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2333780750036565"/>
                      <c:h val="0.1829092772793012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7.5820212078845678E-2"/>
                  <c:y val="-7.86576297326012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3B5-493E-846B-3165019196CB}"/>
                </c:ext>
                <c:ext xmlns:c15="http://schemas.microsoft.com/office/drawing/2012/chart" uri="{CE6537A1-D6FC-4f65-9D91-7224C49458BB}">
                  <c15:layout>
                    <c:manualLayout>
                      <c:w val="0.19828264470053436"/>
                      <c:h val="0.223248721045068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'1'!$B$78:$B$83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портфель "резерв ликвидности"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'1'!$C$78:$C$83</c:f>
              <c:numCache>
                <c:formatCode>#,##0</c:formatCode>
                <c:ptCount val="6"/>
                <c:pt idx="0">
                  <c:v>817.87964110103769</c:v>
                </c:pt>
                <c:pt idx="1">
                  <c:v>638</c:v>
                </c:pt>
                <c:pt idx="2">
                  <c:v>1685.6678147125992</c:v>
                </c:pt>
                <c:pt idx="3">
                  <c:v>664.55044842044322</c:v>
                </c:pt>
                <c:pt idx="4">
                  <c:v>2325</c:v>
                </c:pt>
                <c:pt idx="5">
                  <c:v>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9102196752626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Pt>
            <c:idx val="1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8C6F-4312-8660-5B0EBE94D657}"/>
              </c:ext>
            </c:extLst>
          </c:dPt>
          <c:dPt>
            <c:idx val="1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6-8C6F-4312-8660-5B0EBE94D657}"/>
              </c:ext>
            </c:extLst>
          </c:dPt>
          <c:dPt>
            <c:idx val="1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8C6F-4312-8660-5B0EBE94D657}"/>
              </c:ext>
            </c:extLst>
          </c:dPt>
          <c:dPt>
            <c:idx val="1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4-8C6F-4312-8660-5B0EBE94D657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9.1003291820545618E-2"/>
                  <c:y val="-0.2788920725883476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9.2981624251427045E-2"/>
                  <c:y val="-3.82043935052531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5.9349972926442795E-3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6.9241635080849934E-2"/>
                  <c:y val="-4.202483285577841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8C6F-4312-8660-5B0EBE94D65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политика'!$A$2:$A$18</c:f>
              <c:strCache>
                <c:ptCount val="17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  <c:pt idx="13">
                  <c:v>Лесная и лесоперерабатывающая промышленность</c:v>
                </c:pt>
                <c:pt idx="14">
                  <c:v>Профессиональные услуги, сервис</c:v>
                </c:pt>
                <c:pt idx="15">
                  <c:v>Розничная торговля</c:v>
                </c:pt>
                <c:pt idx="16">
                  <c:v>Прочее</c:v>
                </c:pt>
              </c:strCache>
            </c:strRef>
          </c:cat>
          <c:val>
            <c:numRef>
              <c:f>'Инвест политика'!$C$2:$C$18</c:f>
              <c:numCache>
                <c:formatCode>0%</c:formatCode>
                <c:ptCount val="17"/>
                <c:pt idx="0">
                  <c:v>0.35049712356267582</c:v>
                </c:pt>
                <c:pt idx="1">
                  <c:v>1.4109314481091323E-2</c:v>
                </c:pt>
                <c:pt idx="2">
                  <c:v>1.7291795085907367E-2</c:v>
                </c:pt>
                <c:pt idx="3">
                  <c:v>0.21846685699582635</c:v>
                </c:pt>
                <c:pt idx="4">
                  <c:v>2.9938375102511912E-2</c:v>
                </c:pt>
                <c:pt idx="5">
                  <c:v>6.6674952816029101E-3</c:v>
                </c:pt>
                <c:pt idx="6">
                  <c:v>1.9816269146090758E-2</c:v>
                </c:pt>
                <c:pt idx="7">
                  <c:v>4.1642023009889645E-2</c:v>
                </c:pt>
                <c:pt idx="8">
                  <c:v>3.2781997554467361E-2</c:v>
                </c:pt>
                <c:pt idx="9">
                  <c:v>0</c:v>
                </c:pt>
                <c:pt idx="10">
                  <c:v>0.11443478124657519</c:v>
                </c:pt>
                <c:pt idx="11">
                  <c:v>1.8646625831484919E-2</c:v>
                </c:pt>
                <c:pt idx="12">
                  <c:v>0.12657570609170699</c:v>
                </c:pt>
                <c:pt idx="13">
                  <c:v>7.9386938994705121E-3</c:v>
                </c:pt>
                <c:pt idx="14">
                  <c:v>5.6718037248991156E-4</c:v>
                </c:pt>
                <c:pt idx="15">
                  <c:v>0</c:v>
                </c:pt>
                <c:pt idx="16">
                  <c:v>6.2576233820907812E-4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политика'!$A$2:$A$18</c15:sqref>
                        </c15:formulaRef>
                      </c:ext>
                    </c:extLst>
                    <c:strCache>
                      <c:ptCount val="17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  <c:pt idx="13">
                        <c:v>Лесная и лесоперерабатывающая промышленность</c:v>
                      </c:pt>
                      <c:pt idx="14">
                        <c:v>Профессиональные услуги, сервис</c:v>
                      </c:pt>
                      <c:pt idx="15">
                        <c:v>Розничная торговля</c:v>
                      </c:pt>
                      <c:pt idx="16">
                        <c:v>Прочее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27680745210.780006</c:v>
                      </c:pt>
                      <c:pt idx="1">
                        <c:v>1114292566.1700001</c:v>
                      </c:pt>
                      <c:pt idx="2">
                        <c:v>1365631104.5999999</c:v>
                      </c:pt>
                      <c:pt idx="3">
                        <c:v>17253566431.68</c:v>
                      </c:pt>
                      <c:pt idx="4">
                        <c:v>2364403236.2200003</c:v>
                      </c:pt>
                      <c:pt idx="5">
                        <c:v>526569907.93000001</c:v>
                      </c:pt>
                      <c:pt idx="6">
                        <c:v>1565003135.22</c:v>
                      </c:pt>
                      <c:pt idx="7">
                        <c:v>3288706672.6300001</c:v>
                      </c:pt>
                      <c:pt idx="8">
                        <c:v>2588980224.9499998</c:v>
                      </c:pt>
                      <c:pt idx="9">
                        <c:v>0</c:v>
                      </c:pt>
                      <c:pt idx="10">
                        <c:v>9037563534.7299995</c:v>
                      </c:pt>
                      <c:pt idx="11">
                        <c:v>1472629770.6399999</c:v>
                      </c:pt>
                      <c:pt idx="12">
                        <c:v>9996401210.3299999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pct7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pattFill prst="trellis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6.4730286226661563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0041425814916563E-2"/>
                  <c:y val="0.1269173199470788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9087401949498528E-2"/>
                  <c:y val="-0.125542478325808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4.5428093256984853E-2"/>
                  <c:y val="-9.234031063310620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8.0843657931606583E-2"/>
                  <c:y val="3.70370489565267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2.8536191730782062E-2"/>
                  <c:y val="0.102141850056657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2240659833328334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1.2448131966665575E-2"/>
                  <c:y val="7.950716819636033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'1'!$B$57:$B$67</c15:sqref>
                  </c15:fullRef>
                </c:ext>
              </c:extLst>
              <c:f>('1'!$B$57,'1'!$B$59:$B$65)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'1'!$D$57:$D$67</c15:sqref>
                  </c15:fullRef>
                </c:ext>
              </c:extLst>
              <c:f>('1'!$D$57,'1'!$D$59:$D$65)</c:f>
              <c:numCache>
                <c:formatCode>0.0%</c:formatCode>
                <c:ptCount val="8"/>
                <c:pt idx="0">
                  <c:v>1.9792641024649279E-2</c:v>
                </c:pt>
                <c:pt idx="1">
                  <c:v>0.18527306361929147</c:v>
                </c:pt>
                <c:pt idx="2">
                  <c:v>0.29122995062510271</c:v>
                </c:pt>
                <c:pt idx="3">
                  <c:v>0.19941798000791061</c:v>
                </c:pt>
                <c:pt idx="4">
                  <c:v>0.16399434206480279</c:v>
                </c:pt>
                <c:pt idx="5">
                  <c:v>0.11467382372511103</c:v>
                </c:pt>
                <c:pt idx="6">
                  <c:v>8.6935927889258049E-3</c:v>
                </c:pt>
                <c:pt idx="7">
                  <c:v>1.692460614420626E-2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7530572156938"/>
          <c:y val="4.403827983040582E-2"/>
          <c:w val="0.42870627605844597"/>
          <c:h val="0.86980787401574799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F731-4BFE-8859-E30BD4859EF7}"/>
              </c:ext>
            </c:extLst>
          </c:dPt>
          <c:dPt>
            <c:idx val="1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2.2911692788477041E-2"/>
                  <c:y val="0.1090909715624747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8687347175513665E-2"/>
                  <c:y val="-0.147272811609341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2911692788477094E-2"/>
                  <c:y val="0.1527273601874646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F731-4BFE-8859-E30BD4859EF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'страт портфель'!$A$2:$A$12</c15:sqref>
                  </c15:fullRef>
                </c:ext>
              </c:extLst>
              <c:f>('страт портфель'!$A$4:$A$5,'страт портфель'!$A$8)</c:f>
              <c:strCache>
                <c:ptCount val="3"/>
                <c:pt idx="0">
                  <c:v>BBB</c:v>
                </c:pt>
                <c:pt idx="1">
                  <c:v>BBB-</c:v>
                </c:pt>
                <c:pt idx="2">
                  <c:v>BB-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'страт портфель'!$B$2:$B$12</c15:sqref>
                  </c15:fullRef>
                </c:ext>
              </c:extLst>
              <c:f>('страт портфель'!$B$4:$B$5,'страт портфель'!$B$8)</c:f>
              <c:numCache>
                <c:formatCode>#,##0</c:formatCode>
                <c:ptCount val="3"/>
                <c:pt idx="0">
                  <c:v>6771556968.0500002</c:v>
                </c:pt>
                <c:pt idx="1">
                  <c:v>52344415712.110001</c:v>
                </c:pt>
                <c:pt idx="2">
                  <c:v>585596700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31-4BFE-8859-E30BD4859EF7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245150667098767E-2"/>
                  <c:y val="7.59733865825017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54E-446D-8812-9B37D67CD5E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8864143452129338E-17"/>
                  <c:y val="1.51946773165003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BC6-40A8-BF0A-E7C8B36BC4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Синдикаты!$B$3:$K$3</c:f>
              <c:numCache>
                <c:formatCode>#,##0</c:formatCode>
                <c:ptCount val="7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15355.535384999999</c:v>
                </c:pt>
                <c:pt idx="6">
                  <c:v>22781.429500196231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706633200"/>
        <c:axId val="-1706634832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Синдикаты!$B$2:$K$2</c15:sqref>
                        </c15:formulaRef>
                      </c:ext>
                    </c:extLst>
                    <c:strCache>
                      <c:ptCount val="7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апр 2021
Европлан
SOCAR
   CB ENTERPRISES PTE. LTD
Societe Generale
 (НорНикель) 
SUEK Ltd </c:v>
                      </c:pt>
                      <c:pt idx="6">
                        <c:v>1 июня 2021
Европлан
SOCAR
   CB Entreprises Sàrl 
Societe Generale
 (НорНикель) 
SUEK Ltd 
Уралкалий
 Coral Energy Pte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Синдикаты!$B$4:$K$4</c15:sqref>
                        </c15:formulaRef>
                      </c:ext>
                    </c:extLst>
                    <c:numCache>
                      <c:formatCode>#,##0</c:formatCode>
                      <c:ptCount val="7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501.08319123191905</c:v>
                      </c:pt>
                      <c:pt idx="6">
                        <c:v>817.87964110103769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7.3179647622133954E-3"/>
                  <c:y val="1.51946773165003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234C-44A5-868C-30041EECEC7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Синдикаты!$B$5:$K$5</c:f>
              <c:numCache>
                <c:formatCode>0.0%</c:formatCode>
                <c:ptCount val="7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3.2632088603136586E-2</c:v>
                </c:pt>
                <c:pt idx="6">
                  <c:v>3.590115541669555E-2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06638096"/>
        <c:axId val="-1706634288"/>
      </c:lineChart>
      <c:catAx>
        <c:axId val="-170663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06634832"/>
        <c:crosses val="autoZero"/>
        <c:auto val="1"/>
        <c:lblAlgn val="ctr"/>
        <c:lblOffset val="100"/>
        <c:noMultiLvlLbl val="0"/>
      </c:catAx>
      <c:valAx>
        <c:axId val="-170663483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06633200"/>
        <c:crosses val="autoZero"/>
        <c:crossBetween val="between"/>
      </c:valAx>
      <c:valAx>
        <c:axId val="-170663428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06638096"/>
        <c:crosses val="max"/>
        <c:crossBetween val="between"/>
      </c:valAx>
      <c:catAx>
        <c:axId val="-170663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0663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Pt>
            <c:idx val="4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9C83-4489-A742-079F51636F0D}"/>
              </c:ext>
            </c:extLst>
          </c:dPt>
          <c:dLbls>
            <c:dLbl>
              <c:idx val="0"/>
              <c:layout>
                <c:manualLayout>
                  <c:x val="-1.8365772239635095E-2"/>
                  <c:y val="0.11574061394499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15702163445E-2"/>
                  <c:y val="0.1292271482369051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8732461840328305E-2"/>
                  <c:y val="0.14110293278557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4223326453125302E-2"/>
                  <c:y val="-0.1217793563847997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1779935275081384E-3"/>
                  <c:y val="0.13043478260869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C83-4489-A742-079F51636F0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Синдикаты!$A$45:$A$49</c:f>
              <c:strCache>
                <c:ptCount val="5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  <c:pt idx="4">
                  <c:v>B</c:v>
                </c:pt>
              </c:strCache>
            </c:strRef>
          </c:cat>
          <c:val>
            <c:numRef>
              <c:f>Синдикаты!$C$45:$C$49</c:f>
              <c:numCache>
                <c:formatCode>0%</c:formatCode>
                <c:ptCount val="5"/>
                <c:pt idx="0">
                  <c:v>1.8400212902230647E-2</c:v>
                </c:pt>
                <c:pt idx="1">
                  <c:v>3.7172147277233628E-2</c:v>
                </c:pt>
                <c:pt idx="2">
                  <c:v>0.21684339778204664</c:v>
                </c:pt>
                <c:pt idx="3">
                  <c:v>0.61854594337099444</c:v>
                </c:pt>
                <c:pt idx="4">
                  <c:v>0.10903829866749459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706632112"/>
        <c:axId val="-1706646800"/>
      </c:barChart>
      <c:catAx>
        <c:axId val="-17066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06646800"/>
        <c:crosses val="autoZero"/>
        <c:auto val="1"/>
        <c:lblAlgn val="ctr"/>
        <c:lblOffset val="100"/>
        <c:noMultiLvlLbl val="0"/>
      </c:catAx>
      <c:valAx>
        <c:axId val="-17066468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7066321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1235528</xdr:colOff>
      <xdr:row>14</xdr:row>
      <xdr:rowOff>177798</xdr:rowOff>
    </xdr:from>
    <xdr:to>
      <xdr:col>6</xdr:col>
      <xdr:colOff>105832</xdr:colOff>
      <xdr:row>31</xdr:row>
      <xdr:rowOff>126999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35</xdr:row>
      <xdr:rowOff>153762</xdr:rowOff>
    </xdr:from>
    <xdr:to>
      <xdr:col>4</xdr:col>
      <xdr:colOff>335642</xdr:colOff>
      <xdr:row>48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889000</xdr:colOff>
      <xdr:row>83</xdr:row>
      <xdr:rowOff>158751</xdr:rowOff>
    </xdr:from>
    <xdr:to>
      <xdr:col>4</xdr:col>
      <xdr:colOff>21166</xdr:colOff>
      <xdr:row>101</xdr:row>
      <xdr:rowOff>148167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1862667</xdr:colOff>
      <xdr:row>93</xdr:row>
      <xdr:rowOff>9069</xdr:rowOff>
    </xdr:from>
    <xdr:to>
      <xdr:col>2</xdr:col>
      <xdr:colOff>687917</xdr:colOff>
      <xdr:row>95</xdr:row>
      <xdr:rowOff>21164</xdr:rowOff>
    </xdr:to>
    <xdr:sp macro="" textlink="">
      <xdr:nvSpPr>
        <xdr:cNvPr id="6" name="TextBox 5"/>
        <xdr:cNvSpPr txBox="1"/>
      </xdr:nvSpPr>
      <xdr:spPr>
        <a:xfrm>
          <a:off x="3122084" y="17323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600" b="1">
              <a:solidFill>
                <a:sysClr val="windowText" lastClr="000000"/>
              </a:solidFill>
            </a:rPr>
            <a:t>6 </a:t>
          </a:r>
          <a:r>
            <a:rPr lang="en-US" sz="1600" b="1">
              <a:solidFill>
                <a:sysClr val="windowText" lastClr="000000"/>
              </a:solidFill>
            </a:rPr>
            <a:t>147</a:t>
          </a:r>
          <a:endParaRPr lang="ru-RU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27214</xdr:colOff>
      <xdr:row>102</xdr:row>
      <xdr:rowOff>23131</xdr:rowOff>
    </xdr:from>
    <xdr:to>
      <xdr:col>5</xdr:col>
      <xdr:colOff>340179</xdr:colOff>
      <xdr:row>119</xdr:row>
      <xdr:rowOff>108856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486831</xdr:colOff>
      <xdr:row>54</xdr:row>
      <xdr:rowOff>14816</xdr:rowOff>
    </xdr:from>
    <xdr:to>
      <xdr:col>9</xdr:col>
      <xdr:colOff>687915</xdr:colOff>
      <xdr:row>70</xdr:row>
      <xdr:rowOff>74083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1227665</xdr:colOff>
      <xdr:row>0</xdr:row>
      <xdr:rowOff>52916</xdr:rowOff>
    </xdr:from>
    <xdr:to>
      <xdr:col>8</xdr:col>
      <xdr:colOff>42332</xdr:colOff>
      <xdr:row>14</xdr:row>
      <xdr:rowOff>158748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1019174</xdr:colOff>
      <xdr:row>11</xdr:row>
      <xdr:rowOff>133348</xdr:rowOff>
    </xdr:from>
    <xdr:to>
      <xdr:col>6</xdr:col>
      <xdr:colOff>981075</xdr:colOff>
      <xdr:row>31</xdr:row>
      <xdr:rowOff>114299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51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126"/>
  <sheetViews>
    <sheetView topLeftCell="A5" zoomScale="90" zoomScaleNormal="90" workbookViewId="0">
      <selection activeCell="G83" sqref="G78:G83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1" max="11" width="11.5703125" bestFit="1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23" t="s">
        <v>11</v>
      </c>
      <c r="C6" s="223"/>
      <c r="D6" s="223"/>
      <c r="E6" s="223"/>
    </row>
    <row r="8" spans="2:19" x14ac:dyDescent="0.25">
      <c r="B8" s="38" t="s">
        <v>42</v>
      </c>
      <c r="G8" s="226" t="s">
        <v>18</v>
      </c>
      <c r="H8" s="226"/>
    </row>
    <row r="9" spans="2:19" x14ac:dyDescent="0.25">
      <c r="B9" s="5" t="s">
        <v>12</v>
      </c>
      <c r="C9" s="7">
        <v>44287</v>
      </c>
      <c r="D9" s="7">
        <v>44317</v>
      </c>
      <c r="E9" s="8">
        <v>44348</v>
      </c>
      <c r="F9" s="1"/>
      <c r="G9" s="19">
        <f>E9</f>
        <v>44348</v>
      </c>
      <c r="H9" s="24" t="s">
        <v>17</v>
      </c>
      <c r="J9" s="19">
        <v>44317</v>
      </c>
      <c r="K9" s="24" t="s">
        <v>17</v>
      </c>
      <c r="L9" t="s">
        <v>39</v>
      </c>
      <c r="Q9" s="2"/>
    </row>
    <row r="10" spans="2:19" x14ac:dyDescent="0.25">
      <c r="B10" s="5" t="s">
        <v>3</v>
      </c>
      <c r="C10" s="14">
        <v>1258.1382393040278</v>
      </c>
      <c r="D10" s="14">
        <v>1479.3048183136734</v>
      </c>
      <c r="E10" s="26">
        <f ca="1">'портефль до погашения'!J3/1000000</f>
        <v>1574.4549347528919</v>
      </c>
      <c r="G10" s="26">
        <f ca="1">'портефль до погашения'!F3/1000000</f>
        <v>62610.899202850007</v>
      </c>
      <c r="H10" s="25">
        <f ca="1">E10/G10</f>
        <v>2.5146659044967424E-2</v>
      </c>
      <c r="J10" s="218">
        <v>61027.714097600016</v>
      </c>
      <c r="K10" s="25">
        <v>2.4239885766454569E-2</v>
      </c>
      <c r="L10" s="2">
        <f ca="1">G10-J10</f>
        <v>1583.1851052499915</v>
      </c>
      <c r="M10" t="s">
        <v>40</v>
      </c>
      <c r="Q10" s="2"/>
    </row>
    <row r="11" spans="2:19" x14ac:dyDescent="0.25">
      <c r="B11" s="5" t="s">
        <v>4</v>
      </c>
      <c r="C11" s="14">
        <v>501.08319123191905</v>
      </c>
      <c r="D11" s="14">
        <v>745.57405171516007</v>
      </c>
      <c r="E11" s="9">
        <v>817.87964110103769</v>
      </c>
      <c r="G11" s="218">
        <v>22781.429500196231</v>
      </c>
      <c r="H11" s="25">
        <f>E11/G11</f>
        <v>3.590115541669555E-2</v>
      </c>
      <c r="J11" s="218">
        <v>20010.22417275206</v>
      </c>
      <c r="K11" s="25">
        <v>3.7259655128222345E-2</v>
      </c>
      <c r="L11" s="2">
        <f>G11-J11</f>
        <v>2771.2053274441714</v>
      </c>
      <c r="Q11" s="2"/>
    </row>
    <row r="12" spans="2:19" x14ac:dyDescent="0.25">
      <c r="B12" s="5" t="s">
        <v>96</v>
      </c>
      <c r="C12" s="9">
        <v>3055</v>
      </c>
      <c r="D12" s="9">
        <v>2542</v>
      </c>
      <c r="E12" s="9">
        <v>2325</v>
      </c>
      <c r="G12" s="218">
        <v>36585</v>
      </c>
      <c r="H12" s="25">
        <f>E12/G12</f>
        <v>6.3550635506355063E-2</v>
      </c>
      <c r="J12" s="220">
        <v>38456</v>
      </c>
      <c r="K12" s="25">
        <v>6.610151861868109E-2</v>
      </c>
      <c r="L12" s="2">
        <f>G12-J12</f>
        <v>-1871</v>
      </c>
      <c r="O12" s="2"/>
      <c r="Q12" s="2"/>
    </row>
    <row r="13" spans="2:19" x14ac:dyDescent="0.25">
      <c r="B13" s="5" t="s">
        <v>696</v>
      </c>
      <c r="C13" s="9">
        <v>566</v>
      </c>
      <c r="D13" s="9">
        <v>512</v>
      </c>
      <c r="E13" s="58">
        <f>'страт портфель'!I18/1000000</f>
        <v>664.55044842044322</v>
      </c>
      <c r="G13" s="58">
        <f>'страт портфель'!E18/1000000</f>
        <v>59701.569380160006</v>
      </c>
      <c r="H13" s="25">
        <f>E13/G13</f>
        <v>1.1131205683870788E-2</v>
      </c>
      <c r="J13" s="220">
        <v>48974</v>
      </c>
      <c r="K13" s="25">
        <v>0.01</v>
      </c>
      <c r="L13" s="2">
        <f>G13-J13</f>
        <v>10727.569380160006</v>
      </c>
      <c r="O13" s="2"/>
      <c r="Q13" s="2"/>
    </row>
    <row r="14" spans="2:19" x14ac:dyDescent="0.25">
      <c r="B14" s="11" t="s">
        <v>5</v>
      </c>
      <c r="C14" s="12">
        <f>SUM(C10:C13)</f>
        <v>5380.2214305359466</v>
      </c>
      <c r="D14" s="12">
        <f t="shared" ref="D14" si="0">SUM(D10:D13)</f>
        <v>5278.8788700288333</v>
      </c>
      <c r="E14" s="12">
        <f ca="1">SUM(E10:E13)</f>
        <v>5381.885024274372</v>
      </c>
      <c r="G14" s="15">
        <f ca="1">SUM(G10:G13)</f>
        <v>181678.89808320624</v>
      </c>
      <c r="H14" s="25">
        <f ca="1">E14/G14</f>
        <v>2.962306069144887E-2</v>
      </c>
      <c r="J14" s="15">
        <v>119493.93827035208</v>
      </c>
      <c r="K14" s="25">
        <v>3.9892223312984192E-2</v>
      </c>
      <c r="L14" s="2">
        <f ca="1">G14-J14</f>
        <v>62184.959812854155</v>
      </c>
      <c r="Q14" s="2"/>
    </row>
    <row r="15" spans="2:19" x14ac:dyDescent="0.25">
      <c r="B15" s="20"/>
      <c r="C15" s="21"/>
      <c r="D15" s="21"/>
      <c r="E15" s="21"/>
      <c r="G15" s="211">
        <f ca="1">E14/G14</f>
        <v>2.962306069144887E-2</v>
      </c>
      <c r="H15" s="211"/>
      <c r="I15" s="17"/>
      <c r="J15" s="3"/>
      <c r="K15" s="211"/>
      <c r="L15" s="17"/>
      <c r="M15" s="17"/>
      <c r="N15" s="17"/>
      <c r="O15" s="17"/>
      <c r="P15" s="17"/>
      <c r="Q15" s="17"/>
      <c r="S15" s="2"/>
    </row>
    <row r="16" spans="2:19" x14ac:dyDescent="0.25">
      <c r="B16" s="20"/>
      <c r="C16" s="21"/>
      <c r="D16" s="21"/>
      <c r="E16" s="21"/>
      <c r="G16" s="3"/>
      <c r="H16" s="3"/>
      <c r="I16" s="17"/>
      <c r="J16" s="17"/>
      <c r="K16" s="17"/>
      <c r="L16" s="17"/>
      <c r="M16" s="17"/>
      <c r="N16" s="17"/>
      <c r="O16" s="17"/>
      <c r="P16" s="17"/>
      <c r="Q16" s="17"/>
    </row>
    <row r="17" spans="7:16" x14ac:dyDescent="0.25">
      <c r="I17" s="6"/>
      <c r="J17" s="6"/>
      <c r="K17" s="6"/>
      <c r="L17" s="6"/>
      <c r="M17" s="6"/>
      <c r="N17" s="6"/>
      <c r="O17" s="6"/>
      <c r="P17" s="6"/>
    </row>
    <row r="18" spans="7:16" x14ac:dyDescent="0.25">
      <c r="I18" s="6"/>
      <c r="J18" s="6"/>
      <c r="K18" s="6"/>
      <c r="L18" s="6"/>
      <c r="M18" s="6"/>
      <c r="N18" s="6"/>
      <c r="O18" s="6"/>
      <c r="P18" s="6"/>
    </row>
    <row r="19" spans="7:16" x14ac:dyDescent="0.25">
      <c r="G19" s="2"/>
      <c r="I19" s="6"/>
      <c r="J19" s="6"/>
      <c r="K19" s="6"/>
      <c r="L19" s="6"/>
      <c r="M19" s="6"/>
      <c r="N19" s="6"/>
      <c r="O19" s="6"/>
      <c r="P19" s="6"/>
    </row>
    <row r="20" spans="7:16" ht="15" customHeight="1" x14ac:dyDescent="0.25">
      <c r="G20" s="2"/>
      <c r="I20" s="222" t="s">
        <v>36</v>
      </c>
      <c r="J20" s="222"/>
      <c r="K20" s="222"/>
      <c r="L20" s="222"/>
      <c r="M20" s="222"/>
      <c r="N20" s="222"/>
      <c r="O20" s="222"/>
      <c r="P20" s="6"/>
    </row>
    <row r="21" spans="7:16" x14ac:dyDescent="0.25">
      <c r="G21" s="2"/>
      <c r="I21" s="222"/>
      <c r="J21" s="222"/>
      <c r="K21" s="222"/>
      <c r="L21" s="222"/>
      <c r="M21" s="222"/>
      <c r="N21" s="222"/>
      <c r="O21" s="222"/>
      <c r="P21" s="6"/>
    </row>
    <row r="22" spans="7:16" x14ac:dyDescent="0.25">
      <c r="G22" s="2"/>
      <c r="I22" s="222"/>
      <c r="J22" s="222"/>
      <c r="K22" s="222"/>
      <c r="L22" s="222"/>
      <c r="M22" s="222"/>
      <c r="N22" s="222"/>
      <c r="O22" s="222"/>
      <c r="P22" s="6"/>
    </row>
    <row r="23" spans="7:16" x14ac:dyDescent="0.25">
      <c r="I23" s="222"/>
      <c r="J23" s="222"/>
      <c r="K23" s="222"/>
      <c r="L23" s="222"/>
      <c r="M23" s="222"/>
      <c r="N23" s="222"/>
      <c r="O23" s="222"/>
      <c r="P23" s="6"/>
    </row>
    <row r="24" spans="7:16" x14ac:dyDescent="0.25">
      <c r="I24" s="222"/>
      <c r="J24" s="222"/>
      <c r="K24" s="222"/>
      <c r="L24" s="222"/>
      <c r="M24" s="222"/>
      <c r="N24" s="222"/>
      <c r="O24" s="222"/>
      <c r="P24" s="6"/>
    </row>
    <row r="31" spans="7:16" x14ac:dyDescent="0.25">
      <c r="K31" s="2"/>
    </row>
    <row r="33" spans="2:8" x14ac:dyDescent="0.25">
      <c r="B33" s="38" t="s">
        <v>49</v>
      </c>
      <c r="G33" s="226" t="str">
        <f>G8</f>
        <v>Всего портфель (до погашения)</v>
      </c>
      <c r="H33" s="226"/>
    </row>
    <row r="34" spans="2:8" ht="24.75" customHeight="1" x14ac:dyDescent="0.25">
      <c r="B34" s="13" t="s">
        <v>15</v>
      </c>
      <c r="C34" s="18">
        <v>44287</v>
      </c>
      <c r="D34" s="18">
        <v>44317</v>
      </c>
      <c r="E34" s="18">
        <f>E9</f>
        <v>44348</v>
      </c>
      <c r="G34" s="23">
        <f>E34</f>
        <v>44348</v>
      </c>
      <c r="H34" s="24" t="s">
        <v>17</v>
      </c>
    </row>
    <row r="35" spans="2:8" x14ac:dyDescent="0.25">
      <c r="B35" s="5" t="s">
        <v>3</v>
      </c>
      <c r="C35" s="57">
        <v>124.49229304596814</v>
      </c>
      <c r="D35" s="57">
        <v>111.32945445702924</v>
      </c>
      <c r="E35" s="26">
        <f ca="1">'портефль до погашения'!J4/1000000</f>
        <v>111.21287995970742</v>
      </c>
      <c r="G35" s="26">
        <f ca="1">'портефль до погашения'!F4/1000000</f>
        <v>3227.712146546261</v>
      </c>
      <c r="H35" s="25">
        <f ca="1">E35/G35</f>
        <v>3.4455637587976422E-2</v>
      </c>
    </row>
    <row r="36" spans="2:8" x14ac:dyDescent="0.25">
      <c r="G36" s="22"/>
    </row>
    <row r="50" spans="2:8" x14ac:dyDescent="0.25">
      <c r="B50" s="38" t="s">
        <v>202</v>
      </c>
      <c r="G50" s="226"/>
      <c r="H50" s="226"/>
    </row>
    <row r="51" spans="2:8" ht="30" x14ac:dyDescent="0.25">
      <c r="B51" s="13" t="s">
        <v>203</v>
      </c>
      <c r="C51" s="18">
        <v>44287</v>
      </c>
      <c r="D51" s="18">
        <v>44317</v>
      </c>
      <c r="E51" s="18">
        <f>E34</f>
        <v>44348</v>
      </c>
      <c r="G51" s="23">
        <f>E51</f>
        <v>44348</v>
      </c>
      <c r="H51" s="24" t="s">
        <v>17</v>
      </c>
    </row>
    <row r="52" spans="2:8" x14ac:dyDescent="0.25">
      <c r="B52" s="5" t="s">
        <v>3</v>
      </c>
      <c r="C52" s="57">
        <v>0</v>
      </c>
      <c r="D52" s="57">
        <v>0</v>
      </c>
      <c r="E52" s="79">
        <v>0</v>
      </c>
      <c r="G52" s="218"/>
      <c r="H52" s="25" t="e">
        <f>E52/G52</f>
        <v>#DIV/0!</v>
      </c>
    </row>
    <row r="56" spans="2:8" x14ac:dyDescent="0.25">
      <c r="B56" s="227" t="s">
        <v>442</v>
      </c>
      <c r="C56" s="227"/>
      <c r="D56" s="4"/>
    </row>
    <row r="57" spans="2:8" x14ac:dyDescent="0.25">
      <c r="B57" s="157" t="s">
        <v>71</v>
      </c>
      <c r="C57" s="56">
        <f>SUMIF('портефль до погашения'!$L$8:$L$100,B57,'портефль до погашения'!$F$8:$F$100)</f>
        <v>1303120000</v>
      </c>
      <c r="D57" s="16">
        <f>C57/$C$68</f>
        <v>1.9792641024649279E-2</v>
      </c>
    </row>
    <row r="58" spans="2:8" x14ac:dyDescent="0.25">
      <c r="B58" s="140" t="s">
        <v>73</v>
      </c>
      <c r="C58" s="56">
        <f>SUMIF('портефль до погашения'!$L$8:$L$100,B58,'портефль до погашения'!$F$8:$F$100)</f>
        <v>0</v>
      </c>
      <c r="D58" s="16">
        <f t="shared" ref="D58:D67" si="1">C58/$C$68</f>
        <v>0</v>
      </c>
    </row>
    <row r="59" spans="2:8" x14ac:dyDescent="0.25">
      <c r="B59" s="140" t="s">
        <v>75</v>
      </c>
      <c r="C59" s="56">
        <f>SUMIF('портефль до погашения'!$L$8:$L$100,B59,'портефль до погашения'!$F$8:$F$100)</f>
        <v>12198121229.1425</v>
      </c>
      <c r="D59" s="16">
        <f t="shared" si="1"/>
        <v>0.18527306361929147</v>
      </c>
    </row>
    <row r="60" spans="2:8" x14ac:dyDescent="0.25">
      <c r="B60" s="140" t="s">
        <v>77</v>
      </c>
      <c r="C60" s="56">
        <f>SUMIF('портефль до погашения'!$L$8:$L$100,B60,'портефль до погашения'!$F$8:$F$100)</f>
        <v>19174175532.510002</v>
      </c>
      <c r="D60" s="16">
        <f t="shared" si="1"/>
        <v>0.29122995062510271</v>
      </c>
    </row>
    <row r="61" spans="2:8" x14ac:dyDescent="0.25">
      <c r="B61" s="157" t="s">
        <v>79</v>
      </c>
      <c r="C61" s="56">
        <f>SUMIF('портефль до погашения'!$L$8:$L$100,B61,'портефль до погашения'!$F$8:$F$100)</f>
        <v>13129402881.8225</v>
      </c>
      <c r="D61" s="16">
        <f t="shared" si="1"/>
        <v>0.19941798000791061</v>
      </c>
    </row>
    <row r="62" spans="2:8" x14ac:dyDescent="0.25">
      <c r="B62" s="158" t="s">
        <v>81</v>
      </c>
      <c r="C62" s="56">
        <f>SUMIF('портефль до погашения'!$L$8:$L$100,B62,'портефль до погашения'!$F$8:$F$100)</f>
        <v>10797159750.704498</v>
      </c>
      <c r="D62" s="16">
        <f t="shared" si="1"/>
        <v>0.16399434206480279</v>
      </c>
    </row>
    <row r="63" spans="2:8" x14ac:dyDescent="0.25">
      <c r="B63" s="158" t="s">
        <v>83</v>
      </c>
      <c r="C63" s="56">
        <f>SUMIF('портефль до погашения'!$L$8:$L$100,B63,'портефль до погашения'!$F$8:$F$100)</f>
        <v>7549965312.1867619</v>
      </c>
      <c r="D63" s="16">
        <f t="shared" si="1"/>
        <v>0.11467382372511103</v>
      </c>
    </row>
    <row r="64" spans="2:8" x14ac:dyDescent="0.25">
      <c r="B64" s="157" t="s">
        <v>85</v>
      </c>
      <c r="C64" s="56">
        <f>SUMIF('портефль до погашения'!$L$8:$L$100,B64,'портефль до погашения'!$F$8:$F$100)</f>
        <v>572374076.86000001</v>
      </c>
      <c r="D64" s="16">
        <f t="shared" si="1"/>
        <v>8.6935927889258049E-3</v>
      </c>
    </row>
    <row r="65" spans="2:19" x14ac:dyDescent="0.25">
      <c r="B65" s="157" t="s">
        <v>87</v>
      </c>
      <c r="C65" s="56">
        <f>SUMIF('портефль до погашения'!$L$8:$L$100,B65,'портефль до погашения'!$F$8:$F$100)</f>
        <v>1114292566.1700001</v>
      </c>
      <c r="D65" s="16">
        <f t="shared" si="1"/>
        <v>1.692460614420626E-2</v>
      </c>
    </row>
    <row r="66" spans="2:19" x14ac:dyDescent="0.25">
      <c r="B66" s="157" t="s">
        <v>89</v>
      </c>
      <c r="C66" s="56">
        <f>SUMIF('портефль до погашения'!$L$8:$L$100,B66,'портефль до погашения'!$F$8:$F$100)</f>
        <v>0</v>
      </c>
      <c r="D66" s="16">
        <f t="shared" si="1"/>
        <v>0</v>
      </c>
    </row>
    <row r="67" spans="2:19" x14ac:dyDescent="0.25">
      <c r="B67" s="157" t="s">
        <v>116</v>
      </c>
      <c r="C67" s="56">
        <f>SUMIF('портефль до погашения'!$L$8:$L$100,B67,'портефль до погашения'!$F$8:$F$100)</f>
        <v>0</v>
      </c>
      <c r="D67" s="16">
        <f t="shared" si="1"/>
        <v>0</v>
      </c>
    </row>
    <row r="68" spans="2:19" x14ac:dyDescent="0.25">
      <c r="C68" s="2">
        <f>SUM(C57:C67)</f>
        <v>65838611349.396263</v>
      </c>
      <c r="D68" s="22">
        <f>SUM(D57:D67)</f>
        <v>0.99999999999999989</v>
      </c>
    </row>
    <row r="69" spans="2:19" x14ac:dyDescent="0.25">
      <c r="B69" s="187" t="s">
        <v>443</v>
      </c>
      <c r="C69" s="188">
        <f ca="1">C68-'портефль до погашения'!F2</f>
        <v>0</v>
      </c>
    </row>
    <row r="70" spans="2:19" x14ac:dyDescent="0.25">
      <c r="B70" s="186"/>
      <c r="C70" s="186"/>
    </row>
    <row r="77" spans="2:19" x14ac:dyDescent="0.25">
      <c r="C77" s="1">
        <f>E9</f>
        <v>44348</v>
      </c>
      <c r="D77" s="108" t="s">
        <v>19</v>
      </c>
      <c r="E77" s="1">
        <v>44317</v>
      </c>
      <c r="G77" s="27" t="s">
        <v>38</v>
      </c>
      <c r="S77">
        <v>1</v>
      </c>
    </row>
    <row r="78" spans="2:19" x14ac:dyDescent="0.25">
      <c r="B78" s="5" t="s">
        <v>9</v>
      </c>
      <c r="C78" s="14">
        <f>E11</f>
        <v>817.87964110103769</v>
      </c>
      <c r="E78" s="9">
        <v>745.57405171516007</v>
      </c>
      <c r="G78" s="15">
        <f>C78-E78</f>
        <v>72.305589385877624</v>
      </c>
    </row>
    <row r="79" spans="2:19" x14ac:dyDescent="0.25">
      <c r="B79" s="5" t="s">
        <v>10</v>
      </c>
      <c r="C79" s="14">
        <v>638</v>
      </c>
      <c r="D79" t="s">
        <v>37</v>
      </c>
      <c r="E79" s="9">
        <v>737</v>
      </c>
      <c r="G79" s="15">
        <f t="shared" ref="G79:G83" si="2">C79-E79</f>
        <v>-99</v>
      </c>
    </row>
    <row r="80" spans="2:19" x14ac:dyDescent="0.25">
      <c r="B80" s="5" t="s">
        <v>191</v>
      </c>
      <c r="C80" s="14">
        <f ca="1">E10+E35</f>
        <v>1685.6678147125992</v>
      </c>
      <c r="E80" s="9">
        <v>1590.6342727707026</v>
      </c>
      <c r="G80" s="15">
        <f t="shared" ca="1" si="2"/>
        <v>95.033541941896601</v>
      </c>
    </row>
    <row r="81" spans="2:13" ht="30" x14ac:dyDescent="0.25">
      <c r="B81" s="13" t="s">
        <v>697</v>
      </c>
      <c r="C81" s="14">
        <f>E13</f>
        <v>664.55044842044322</v>
      </c>
      <c r="E81" s="9">
        <v>512.42440975579439</v>
      </c>
      <c r="G81" s="15">
        <f t="shared" si="2"/>
        <v>152.12603866464883</v>
      </c>
    </row>
    <row r="82" spans="2:13" x14ac:dyDescent="0.25">
      <c r="B82" s="5" t="s">
        <v>190</v>
      </c>
      <c r="C82" s="14">
        <f>E12</f>
        <v>2325</v>
      </c>
      <c r="E82" s="9">
        <v>2542</v>
      </c>
      <c r="G82" s="15">
        <f t="shared" si="2"/>
        <v>-217</v>
      </c>
    </row>
    <row r="83" spans="2:13" x14ac:dyDescent="0.25">
      <c r="B83" s="5" t="s">
        <v>30</v>
      </c>
      <c r="C83" s="14">
        <v>16</v>
      </c>
      <c r="D83" t="s">
        <v>29</v>
      </c>
      <c r="E83" s="9">
        <v>18.399999999999999</v>
      </c>
      <c r="G83" s="15">
        <f t="shared" si="2"/>
        <v>-2.3999999999999986</v>
      </c>
    </row>
    <row r="84" spans="2:13" x14ac:dyDescent="0.25">
      <c r="C84" s="2">
        <f ca="1">SUM(C78:C83)</f>
        <v>6147.0979042340796</v>
      </c>
      <c r="E84" s="2">
        <v>6146.0327342416567</v>
      </c>
      <c r="G84" s="2">
        <f ca="1">E84-C84</f>
        <v>-1.0651699924228524</v>
      </c>
    </row>
    <row r="85" spans="2:13" ht="15" customHeight="1" x14ac:dyDescent="0.25">
      <c r="E85" s="225" t="s">
        <v>16</v>
      </c>
      <c r="F85" s="222"/>
      <c r="G85" s="222"/>
      <c r="H85" s="222"/>
      <c r="I85" s="222"/>
    </row>
    <row r="86" spans="2:13" x14ac:dyDescent="0.25">
      <c r="E86" s="222"/>
      <c r="F86" s="222"/>
      <c r="G86" s="222"/>
      <c r="H86" s="222"/>
      <c r="I86" s="222"/>
    </row>
    <row r="87" spans="2:13" x14ac:dyDescent="0.25">
      <c r="E87" s="222"/>
      <c r="F87" s="222"/>
      <c r="G87" s="222"/>
      <c r="H87" s="222"/>
      <c r="I87" s="222"/>
    </row>
    <row r="88" spans="2:13" x14ac:dyDescent="0.25">
      <c r="E88" s="222"/>
      <c r="F88" s="222"/>
      <c r="G88" s="222"/>
      <c r="H88" s="222"/>
      <c r="I88" s="222"/>
      <c r="J88" s="4"/>
      <c r="K88" s="4"/>
      <c r="L88" s="4"/>
      <c r="M88" s="4"/>
    </row>
    <row r="89" spans="2:13" x14ac:dyDescent="0.25">
      <c r="E89" s="222"/>
      <c r="F89" s="222"/>
      <c r="G89" s="222"/>
      <c r="H89" s="222"/>
      <c r="I89" s="222"/>
      <c r="J89" s="4"/>
      <c r="K89" s="4"/>
      <c r="L89" s="4"/>
      <c r="M89" s="4"/>
    </row>
    <row r="90" spans="2:13" x14ac:dyDescent="0.25">
      <c r="E90" s="222"/>
      <c r="F90" s="222"/>
      <c r="G90" s="222"/>
      <c r="H90" s="222"/>
      <c r="I90" s="222"/>
      <c r="J90" s="4"/>
      <c r="K90" s="4"/>
      <c r="L90" s="4"/>
      <c r="M90" s="4"/>
    </row>
    <row r="91" spans="2:13" x14ac:dyDescent="0.25">
      <c r="E91" s="222"/>
      <c r="F91" s="222"/>
      <c r="G91" s="222"/>
      <c r="H91" s="222"/>
      <c r="I91" s="222"/>
      <c r="J91" s="4"/>
      <c r="K91" s="4"/>
      <c r="L91" s="4"/>
      <c r="M91" s="4"/>
    </row>
    <row r="92" spans="2:13" x14ac:dyDescent="0.25">
      <c r="E92" s="222"/>
      <c r="F92" s="222"/>
      <c r="G92" s="222"/>
      <c r="H92" s="222"/>
      <c r="I92" s="222"/>
      <c r="J92" s="4"/>
      <c r="K92" s="4"/>
    </row>
    <row r="93" spans="2:13" x14ac:dyDescent="0.25">
      <c r="E93" s="222"/>
      <c r="F93" s="222"/>
      <c r="G93" s="222"/>
      <c r="H93" s="222"/>
      <c r="I93" s="222"/>
      <c r="J93" s="4"/>
      <c r="K93" s="4"/>
    </row>
    <row r="94" spans="2:13" x14ac:dyDescent="0.25">
      <c r="E94" s="222"/>
      <c r="F94" s="222"/>
      <c r="G94" s="222"/>
      <c r="H94" s="222"/>
      <c r="I94" s="222"/>
      <c r="J94" s="4"/>
      <c r="K94" s="4"/>
    </row>
    <row r="95" spans="2:13" x14ac:dyDescent="0.25">
      <c r="E95" s="222"/>
      <c r="F95" s="222"/>
      <c r="G95" s="222"/>
      <c r="H95" s="222"/>
      <c r="I95" s="222"/>
      <c r="J95" s="4"/>
      <c r="K95" s="4"/>
    </row>
    <row r="96" spans="2:13" x14ac:dyDescent="0.25">
      <c r="G96" s="4"/>
      <c r="H96" s="4"/>
      <c r="I96" s="4"/>
      <c r="J96" s="4"/>
      <c r="K96" s="4"/>
    </row>
    <row r="97" spans="2:11" x14ac:dyDescent="0.25">
      <c r="J97" s="4"/>
      <c r="K97" s="4"/>
    </row>
    <row r="98" spans="2:11" x14ac:dyDescent="0.25">
      <c r="J98" s="4"/>
      <c r="K98" s="4"/>
    </row>
    <row r="99" spans="2:11" x14ac:dyDescent="0.25">
      <c r="G99" s="4"/>
      <c r="H99" s="4"/>
      <c r="I99" s="4"/>
      <c r="J99" s="4"/>
      <c r="K99" s="4"/>
    </row>
    <row r="100" spans="2:11" x14ac:dyDescent="0.25">
      <c r="B100" s="4"/>
      <c r="C100" s="4"/>
      <c r="D100" s="4"/>
      <c r="G100" s="4"/>
      <c r="H100" s="4"/>
      <c r="I100" s="4"/>
      <c r="J100" s="4"/>
      <c r="K100" s="4"/>
    </row>
    <row r="101" spans="2:11" x14ac:dyDescent="0.25">
      <c r="B101" s="4"/>
      <c r="C101" s="4"/>
      <c r="D101" s="4"/>
      <c r="G101" s="4"/>
      <c r="H101" s="4"/>
      <c r="I101" s="4"/>
      <c r="J101" s="4"/>
      <c r="K101" s="4"/>
    </row>
    <row r="102" spans="2:11" x14ac:dyDescent="0.25">
      <c r="B102" s="4"/>
      <c r="C102" s="4"/>
      <c r="D102" s="4"/>
      <c r="G102" s="4"/>
      <c r="H102" s="4"/>
      <c r="I102" s="4"/>
      <c r="J102" s="4"/>
      <c r="K102" s="4"/>
    </row>
    <row r="103" spans="2:11" x14ac:dyDescent="0.25">
      <c r="B103" s="4"/>
      <c r="C103" s="4"/>
      <c r="D103" s="4"/>
      <c r="G103" s="4"/>
      <c r="H103" s="4"/>
      <c r="I103" s="4"/>
      <c r="J103" s="4"/>
      <c r="K103" s="4"/>
    </row>
    <row r="104" spans="2:11" x14ac:dyDescent="0.25">
      <c r="B104" s="4"/>
      <c r="C104" s="4"/>
      <c r="D104" s="4"/>
      <c r="G104" s="4"/>
      <c r="H104" s="4"/>
      <c r="I104" s="4"/>
      <c r="J104" s="4"/>
      <c r="K104" s="4"/>
    </row>
    <row r="105" spans="2:11" x14ac:dyDescent="0.25">
      <c r="B105" s="4"/>
      <c r="C105" s="4"/>
      <c r="D105" s="4"/>
      <c r="G105" s="4"/>
      <c r="H105" s="4"/>
      <c r="I105" s="4"/>
      <c r="J105" s="4"/>
      <c r="K105" s="4"/>
    </row>
    <row r="106" spans="2:11" x14ac:dyDescent="0.25">
      <c r="B106" s="4"/>
      <c r="C106" s="4"/>
      <c r="D106" s="4"/>
      <c r="G106" s="4"/>
      <c r="H106" s="4"/>
      <c r="I106" s="4"/>
      <c r="J106" s="4"/>
      <c r="K106" s="4"/>
    </row>
    <row r="107" spans="2:11" x14ac:dyDescent="0.25">
      <c r="B107" s="4"/>
      <c r="C107" s="4"/>
      <c r="D107" s="4"/>
      <c r="G107" s="4"/>
      <c r="H107" s="4"/>
      <c r="I107" s="4"/>
      <c r="J107" s="4"/>
      <c r="K107" s="4"/>
    </row>
    <row r="108" spans="2:11" x14ac:dyDescent="0.25">
      <c r="B108" s="4"/>
      <c r="C108" s="4"/>
      <c r="D108" s="4"/>
      <c r="G108" s="4"/>
      <c r="H108" s="4"/>
      <c r="I108" s="4"/>
      <c r="J108" s="4"/>
      <c r="K108" s="4"/>
    </row>
    <row r="109" spans="2:11" x14ac:dyDescent="0.25">
      <c r="B109" s="4"/>
      <c r="C109" s="4"/>
      <c r="D109" s="4"/>
      <c r="G109" s="4"/>
      <c r="H109" s="4"/>
      <c r="I109" s="4"/>
      <c r="J109" s="4"/>
      <c r="K109" s="4"/>
    </row>
    <row r="110" spans="2:11" x14ac:dyDescent="0.25">
      <c r="B110" s="4"/>
      <c r="C110" s="4"/>
      <c r="D110" s="4"/>
      <c r="G110" s="4"/>
      <c r="H110" s="4"/>
      <c r="I110" s="4"/>
      <c r="J110" s="4"/>
      <c r="K110" s="4"/>
    </row>
    <row r="111" spans="2:11" x14ac:dyDescent="0.25">
      <c r="B111" s="4"/>
      <c r="C111" s="4"/>
      <c r="D111" s="4"/>
      <c r="G111" s="4"/>
      <c r="H111" s="4"/>
      <c r="I111" s="4"/>
      <c r="J111" s="4"/>
      <c r="K111" s="4"/>
    </row>
    <row r="112" spans="2:11" x14ac:dyDescent="0.25">
      <c r="B112" s="4"/>
      <c r="C112" s="4"/>
      <c r="D112" s="4"/>
      <c r="G112" s="4"/>
      <c r="H112" s="4"/>
      <c r="I112" s="4"/>
      <c r="J112" s="4"/>
      <c r="K112" s="4"/>
    </row>
    <row r="113" spans="1:15" x14ac:dyDescent="0.25">
      <c r="B113" s="4"/>
      <c r="C113" s="4"/>
      <c r="D113" s="4"/>
      <c r="G113" s="4"/>
      <c r="H113" s="4"/>
      <c r="I113" s="4"/>
      <c r="J113" s="4"/>
      <c r="K113" s="4"/>
    </row>
    <row r="114" spans="1:15" x14ac:dyDescent="0.25">
      <c r="B114" s="4"/>
      <c r="C114" s="4"/>
      <c r="D114" s="4"/>
      <c r="G114" s="4"/>
      <c r="H114" s="4"/>
      <c r="I114" s="4"/>
      <c r="J114" s="4"/>
      <c r="K114" s="4"/>
    </row>
    <row r="115" spans="1:15" x14ac:dyDescent="0.25">
      <c r="B115" s="4"/>
      <c r="C115" s="4"/>
      <c r="D115" s="4"/>
      <c r="G115" s="4"/>
      <c r="H115" s="4"/>
      <c r="I115" s="4"/>
      <c r="J115" s="4"/>
      <c r="K115" s="4"/>
    </row>
    <row r="116" spans="1:15" x14ac:dyDescent="0.25">
      <c r="B116" s="4"/>
      <c r="C116" s="4"/>
      <c r="D116" s="4"/>
      <c r="G116" s="4"/>
      <c r="H116" s="4"/>
      <c r="I116" s="4"/>
      <c r="J116" s="4"/>
      <c r="K116" s="4"/>
    </row>
    <row r="117" spans="1:15" x14ac:dyDescent="0.25">
      <c r="B117" s="4"/>
      <c r="C117" s="4"/>
      <c r="D117" s="4"/>
      <c r="G117" s="4"/>
      <c r="H117" s="4"/>
      <c r="I117" s="4"/>
      <c r="J117" s="4"/>
      <c r="K117" s="4"/>
    </row>
    <row r="118" spans="1:15" x14ac:dyDescent="0.25">
      <c r="B118" s="4"/>
      <c r="C118" s="4"/>
      <c r="D118" s="4"/>
      <c r="G118" s="4"/>
      <c r="H118" s="4"/>
      <c r="I118" s="4"/>
      <c r="J118" s="4"/>
      <c r="K118" s="4"/>
    </row>
    <row r="119" spans="1:15" x14ac:dyDescent="0.25">
      <c r="B119" s="4"/>
      <c r="C119" s="4"/>
      <c r="D119" s="4"/>
      <c r="G119" s="4"/>
      <c r="H119" s="4"/>
      <c r="I119" s="4"/>
      <c r="J119" s="4"/>
      <c r="K119" s="4"/>
    </row>
    <row r="120" spans="1:15" x14ac:dyDescent="0.25">
      <c r="B120" s="4"/>
      <c r="C120" s="4"/>
      <c r="D120" s="4"/>
      <c r="G120" s="4"/>
      <c r="H120" s="4"/>
      <c r="I120" s="4"/>
      <c r="J120" s="4"/>
      <c r="K120" s="4"/>
    </row>
    <row r="121" spans="1:15" x14ac:dyDescent="0.25">
      <c r="B121" s="4"/>
      <c r="C121" s="4"/>
      <c r="D121" s="4"/>
      <c r="G121" s="4"/>
      <c r="H121" s="4"/>
      <c r="I121" s="4"/>
      <c r="J121" s="4"/>
      <c r="K121" s="4"/>
    </row>
    <row r="122" spans="1:15" x14ac:dyDescent="0.25">
      <c r="B122" s="4"/>
      <c r="C122" s="4"/>
      <c r="D122" s="4"/>
      <c r="G122" s="4"/>
      <c r="H122" s="4"/>
      <c r="I122" s="4"/>
      <c r="J122" s="4"/>
      <c r="K122" s="4"/>
    </row>
    <row r="123" spans="1:15" x14ac:dyDescent="0.25">
      <c r="B123" s="4"/>
      <c r="C123" s="4"/>
      <c r="D123" s="4"/>
      <c r="G123" s="4"/>
      <c r="H123" s="4"/>
      <c r="I123" s="4"/>
      <c r="J123" s="4"/>
      <c r="K123" s="4"/>
    </row>
    <row r="124" spans="1:15" ht="14.45" customHeight="1" x14ac:dyDescent="0.25">
      <c r="B124" s="224"/>
      <c r="C124" s="224"/>
      <c r="D124" s="224"/>
      <c r="E124" s="212">
        <f>E9</f>
        <v>44348</v>
      </c>
      <c r="K124" s="6"/>
      <c r="L124" s="6"/>
      <c r="M124" s="6"/>
      <c r="N124" s="6"/>
    </row>
    <row r="125" spans="1:15" ht="75" customHeight="1" x14ac:dyDescent="0.25">
      <c r="A125" s="5"/>
      <c r="B125" s="124" t="s">
        <v>19</v>
      </c>
      <c r="C125" s="24" t="s">
        <v>186</v>
      </c>
      <c r="D125" s="124" t="s">
        <v>466</v>
      </c>
      <c r="E125" s="24" t="s">
        <v>164</v>
      </c>
      <c r="F125" s="81" t="s">
        <v>165</v>
      </c>
      <c r="G125" s="81" t="s">
        <v>166</v>
      </c>
      <c r="H125" s="81" t="s">
        <v>187</v>
      </c>
      <c r="I125" s="24" t="s">
        <v>188</v>
      </c>
      <c r="J125" s="221"/>
      <c r="K125" s="222"/>
      <c r="L125" s="222"/>
      <c r="M125" s="222"/>
      <c r="N125" s="222"/>
      <c r="O125" s="6"/>
    </row>
    <row r="126" spans="1:15" x14ac:dyDescent="0.25">
      <c r="A126" s="10" t="s">
        <v>189</v>
      </c>
      <c r="B126" s="196"/>
      <c r="C126" s="134">
        <f>D126*B126</f>
        <v>0</v>
      </c>
      <c r="D126" s="135">
        <f>VLOOKUP(E126,'РейтPD FRED Graph'!B4:$K$26,9,0)</f>
        <v>3.2694150032581602E-2</v>
      </c>
      <c r="E126" s="136" t="s">
        <v>81</v>
      </c>
      <c r="F126" s="137">
        <f>VLOOKUP(E126,'РейтPD FRED Graph'!$R$4:$V$26,5,0)</f>
        <v>7.1516069880933021E-3</v>
      </c>
      <c r="G126" s="138">
        <f>F126*B126</f>
        <v>0</v>
      </c>
      <c r="H126" s="138">
        <f>G126+C126</f>
        <v>0</v>
      </c>
      <c r="I126" s="139" t="e">
        <f>H126/B126</f>
        <v>#DIV/0!</v>
      </c>
    </row>
  </sheetData>
  <mergeCells count="9">
    <mergeCell ref="J125:N125"/>
    <mergeCell ref="B6:E6"/>
    <mergeCell ref="I20:O24"/>
    <mergeCell ref="B124:D124"/>
    <mergeCell ref="E85:I95"/>
    <mergeCell ref="G8:H8"/>
    <mergeCell ref="G33:H33"/>
    <mergeCell ref="G50:H50"/>
    <mergeCell ref="B56:C5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zoomScale="90" zoomScaleNormal="90" workbookViewId="0">
      <selection activeCell="O4" sqref="O4"/>
    </sheetView>
  </sheetViews>
  <sheetFormatPr defaultColWidth="12.85546875" defaultRowHeight="12.75" x14ac:dyDescent="0.25"/>
  <cols>
    <col min="1" max="1" width="7.5703125" style="28" customWidth="1"/>
    <col min="2" max="2" width="28.5703125" style="28" customWidth="1"/>
    <col min="3" max="3" width="24.7109375" style="28" customWidth="1"/>
    <col min="4" max="4" width="25.42578125" style="28" customWidth="1"/>
    <col min="5" max="5" width="18.5703125" style="28" customWidth="1"/>
    <col min="6" max="6" width="22.7109375" style="28" customWidth="1"/>
    <col min="7" max="7" width="12.85546875" style="28"/>
    <col min="8" max="8" width="15.5703125" style="28" customWidth="1"/>
    <col min="9" max="9" width="14.5703125" style="28" customWidth="1"/>
    <col min="10" max="10" width="12.85546875" style="28"/>
    <col min="11" max="11" width="14.7109375" style="28" customWidth="1"/>
    <col min="12" max="15" width="14.7109375" style="80" bestFit="1" customWidth="1"/>
    <col min="16" max="16" width="12.85546875" style="28"/>
    <col min="17" max="17" width="12.85546875" style="129"/>
    <col min="18" max="18" width="29.5703125" style="28" customWidth="1"/>
    <col min="19" max="16384" width="12.85546875" style="28"/>
  </cols>
  <sheetData>
    <row r="1" spans="1:17" x14ac:dyDescent="0.25">
      <c r="A1" s="230"/>
      <c r="B1" s="230"/>
      <c r="C1" s="230"/>
      <c r="D1" s="231"/>
      <c r="E1" s="61"/>
      <c r="F1" s="34" t="s">
        <v>107</v>
      </c>
      <c r="J1" s="35" t="s">
        <v>108</v>
      </c>
      <c r="K1" s="35"/>
      <c r="L1" s="35"/>
      <c r="M1" s="35"/>
      <c r="N1" s="35"/>
      <c r="O1" s="123" t="str">
        <f>O7</f>
        <v>Стрессс итог</v>
      </c>
      <c r="P1" s="123" t="s">
        <v>195</v>
      </c>
    </row>
    <row r="2" spans="1:17" x14ac:dyDescent="0.25">
      <c r="A2" s="229" t="s">
        <v>13</v>
      </c>
      <c r="B2" s="229"/>
      <c r="C2" s="229"/>
      <c r="D2" s="229"/>
      <c r="E2" s="60"/>
      <c r="F2" s="36">
        <f ca="1">F3+F4</f>
        <v>65838611349.396271</v>
      </c>
      <c r="G2" s="36"/>
      <c r="H2" s="36"/>
      <c r="I2" s="36"/>
      <c r="J2" s="36">
        <f t="shared" ref="J2" ca="1" si="0">J3+J4</f>
        <v>1685667814.7125993</v>
      </c>
      <c r="K2" s="36"/>
      <c r="L2" s="36"/>
      <c r="M2" s="36"/>
      <c r="N2" s="36"/>
      <c r="O2" s="36">
        <f ca="1">O3+O4</f>
        <v>2039609793.0544252</v>
      </c>
      <c r="P2" s="36"/>
    </row>
    <row r="3" spans="1:17" x14ac:dyDescent="0.25">
      <c r="A3" s="228" t="s">
        <v>46</v>
      </c>
      <c r="B3" s="228"/>
      <c r="C3" s="228"/>
      <c r="D3" s="228"/>
      <c r="E3" s="59"/>
      <c r="F3" s="37">
        <f ca="1">SUMIF(A$8:A$1048576,"АББ",(F8:F108))</f>
        <v>62610899202.850006</v>
      </c>
      <c r="G3" s="37"/>
      <c r="H3" s="37"/>
      <c r="I3" s="37"/>
      <c r="J3" s="37">
        <f ca="1">SUMIF(A$8:A$1048576,"АББ",(J8:J108))</f>
        <v>1574454934.7528918</v>
      </c>
      <c r="K3" s="37"/>
      <c r="L3" s="37"/>
      <c r="M3" s="37"/>
      <c r="N3" s="37"/>
      <c r="O3" s="37">
        <f ca="1">SUMIF(A$8:A$1048576,"АББ",(O8:O108))</f>
        <v>1901350064.5001948</v>
      </c>
      <c r="P3" s="132">
        <f ca="1">O3/F3</f>
        <v>3.036771694238256E-2</v>
      </c>
    </row>
    <row r="4" spans="1:17" x14ac:dyDescent="0.25">
      <c r="A4" s="229" t="s">
        <v>47</v>
      </c>
      <c r="B4" s="229"/>
      <c r="C4" s="229"/>
      <c r="D4" s="229"/>
      <c r="E4" s="60"/>
      <c r="F4" s="36">
        <f ca="1">SUMIF(A$8:A$1048576,"АБФ-БО",(F8:F108))</f>
        <v>3227712146.5462608</v>
      </c>
      <c r="G4" s="36"/>
      <c r="H4" s="36"/>
      <c r="I4" s="36"/>
      <c r="J4" s="36">
        <f ca="1">SUMIF(A$8:A$1048576,"АБФ-БО",(J8:J108))</f>
        <v>111212879.95970742</v>
      </c>
      <c r="K4" s="36"/>
      <c r="L4" s="36"/>
      <c r="M4" s="36"/>
      <c r="N4" s="36"/>
      <c r="O4" s="36">
        <f ca="1">SUMIF(A$8:A$1048576,"АБФ-БО",(O8:O108))</f>
        <v>138259728.55423057</v>
      </c>
      <c r="P4" s="133">
        <f ca="1">O4/F4</f>
        <v>4.2835210290413352E-2</v>
      </c>
    </row>
    <row r="6" spans="1:17" x14ac:dyDescent="0.25">
      <c r="D6" s="54" t="s">
        <v>13</v>
      </c>
      <c r="E6" s="54"/>
      <c r="F6" s="55">
        <f>SUM(F8:F100)</f>
        <v>65838611349.396271</v>
      </c>
      <c r="G6" s="55"/>
      <c r="H6" s="55">
        <f t="shared" ref="H6:I6" si="1">SUM(H8:H100)</f>
        <v>185459503.24690524</v>
      </c>
      <c r="I6" s="55">
        <f t="shared" si="1"/>
        <v>1500208311.4656942</v>
      </c>
      <c r="J6" s="55">
        <f>SUM(J8:J100)</f>
        <v>1685667814.7125993</v>
      </c>
      <c r="K6" s="55"/>
      <c r="L6" s="55"/>
      <c r="M6" s="55"/>
      <c r="N6" s="55">
        <f t="shared" ref="N6" si="2">SUM(N8:N100)</f>
        <v>353941978.34182698</v>
      </c>
      <c r="O6" s="55">
        <f>SUM(O8:O100)</f>
        <v>2039609793.0544252</v>
      </c>
    </row>
    <row r="7" spans="1:17" ht="30.75" customHeight="1" x14ac:dyDescent="0.25">
      <c r="A7" s="29" t="s">
        <v>44</v>
      </c>
      <c r="B7" s="29" t="s">
        <v>221</v>
      </c>
      <c r="C7" s="29" t="s">
        <v>102</v>
      </c>
      <c r="D7" s="29" t="s">
        <v>43</v>
      </c>
      <c r="E7" s="62" t="s">
        <v>106</v>
      </c>
      <c r="F7" s="33" t="s">
        <v>623</v>
      </c>
      <c r="G7" s="33" t="s">
        <v>48</v>
      </c>
      <c r="H7" s="33" t="s">
        <v>56</v>
      </c>
      <c r="I7" s="33" t="s">
        <v>57</v>
      </c>
      <c r="J7" s="32" t="s">
        <v>108</v>
      </c>
      <c r="K7" s="32" t="s">
        <v>103</v>
      </c>
      <c r="L7" s="81" t="s">
        <v>164</v>
      </c>
      <c r="M7" s="81" t="s">
        <v>165</v>
      </c>
      <c r="N7" s="81" t="s">
        <v>166</v>
      </c>
      <c r="O7" s="81" t="s">
        <v>167</v>
      </c>
      <c r="Q7" s="128" t="s">
        <v>192</v>
      </c>
    </row>
    <row r="8" spans="1:17" x14ac:dyDescent="0.25">
      <c r="A8" s="29" t="s">
        <v>42</v>
      </c>
      <c r="B8" s="29" t="s">
        <v>493</v>
      </c>
      <c r="C8" s="29" t="s">
        <v>337</v>
      </c>
      <c r="D8" s="29" t="s">
        <v>496</v>
      </c>
      <c r="E8" s="29" t="s">
        <v>561</v>
      </c>
      <c r="F8" s="30">
        <v>696316987.5</v>
      </c>
      <c r="G8" s="31">
        <v>0.10092766245929954</v>
      </c>
      <c r="H8" s="30">
        <v>14287219.681475133</v>
      </c>
      <c r="I8" s="30">
        <v>55990426.197601162</v>
      </c>
      <c r="J8" s="125">
        <f>F8*G8</f>
        <v>70277645.879076302</v>
      </c>
      <c r="K8" s="53" t="s">
        <v>87</v>
      </c>
      <c r="L8" s="109" t="s">
        <v>87</v>
      </c>
      <c r="M8" s="126">
        <f>VLOOKUP(L8,'РейтPD FRED Graph'!$R$4:$V$26,5,0)</f>
        <v>2.8424720798995207E-2</v>
      </c>
      <c r="N8" s="127">
        <f>M8*F8</f>
        <v>19792615.957284935</v>
      </c>
      <c r="O8" s="127">
        <f>N8+J8</f>
        <v>90070261.836361229</v>
      </c>
      <c r="Q8" s="130">
        <f>J8-I8-H8</f>
        <v>0</v>
      </c>
    </row>
    <row r="9" spans="1:17" x14ac:dyDescent="0.25">
      <c r="A9" s="29" t="s">
        <v>42</v>
      </c>
      <c r="B9" s="29" t="s">
        <v>493</v>
      </c>
      <c r="C9" s="29" t="s">
        <v>133</v>
      </c>
      <c r="D9" s="29" t="s">
        <v>497</v>
      </c>
      <c r="E9" s="29" t="s">
        <v>562</v>
      </c>
      <c r="F9" s="30">
        <v>75219394.409999996</v>
      </c>
      <c r="G9" s="31">
        <v>2.5445769658936176E-2</v>
      </c>
      <c r="H9" s="30">
        <v>192366.96003424001</v>
      </c>
      <c r="I9" s="30">
        <v>1721648.4240072914</v>
      </c>
      <c r="J9" s="125">
        <f t="shared" ref="J9:J39" si="3">F9*G9</f>
        <v>1914015.3840415312</v>
      </c>
      <c r="K9" s="53" t="s">
        <v>79</v>
      </c>
      <c r="L9" s="109" t="s">
        <v>81</v>
      </c>
      <c r="M9" s="126">
        <f>VLOOKUP(L9,'РейтPD FRED Graph'!$R$4:$V$26,5,0)</f>
        <v>7.1516069880933021E-3</v>
      </c>
      <c r="N9" s="127">
        <f t="shared" ref="N9:N65" si="4">M9*F9</f>
        <v>537939.54670270218</v>
      </c>
      <c r="O9" s="127">
        <f t="shared" ref="O9:O65" si="5">N9+J9</f>
        <v>2451954.9307442335</v>
      </c>
      <c r="Q9" s="130">
        <f t="shared" ref="Q9:Q72" si="6">J9-I9-H9</f>
        <v>0</v>
      </c>
    </row>
    <row r="10" spans="1:17" x14ac:dyDescent="0.25">
      <c r="A10" s="29" t="s">
        <v>42</v>
      </c>
      <c r="B10" s="29" t="s">
        <v>493</v>
      </c>
      <c r="C10" s="29" t="s">
        <v>136</v>
      </c>
      <c r="D10" s="29" t="s">
        <v>498</v>
      </c>
      <c r="E10" s="29" t="s">
        <v>563</v>
      </c>
      <c r="F10" s="30">
        <v>342782070.78000003</v>
      </c>
      <c r="G10" s="31">
        <v>1.9110596344166456E-2</v>
      </c>
      <c r="H10" s="30">
        <v>609952.28039288113</v>
      </c>
      <c r="I10" s="30">
        <v>5940817.5083011948</v>
      </c>
      <c r="J10" s="125">
        <f t="shared" si="3"/>
        <v>6550769.7886940762</v>
      </c>
      <c r="K10" s="53" t="s">
        <v>77</v>
      </c>
      <c r="L10" s="109" t="s">
        <v>79</v>
      </c>
      <c r="M10" s="126">
        <f>VLOOKUP(L10,'РейтPD FRED Graph'!$R$4:$V$26,5,0)</f>
        <v>4.3231037193945891E-3</v>
      </c>
      <c r="N10" s="127">
        <f t="shared" si="4"/>
        <v>1481882.4451307973</v>
      </c>
      <c r="O10" s="127">
        <f t="shared" si="5"/>
        <v>8032652.2338248733</v>
      </c>
      <c r="Q10" s="130">
        <f t="shared" si="6"/>
        <v>0</v>
      </c>
    </row>
    <row r="11" spans="1:17" x14ac:dyDescent="0.25">
      <c r="A11" s="29" t="s">
        <v>42</v>
      </c>
      <c r="B11" s="29" t="s">
        <v>493</v>
      </c>
      <c r="C11" s="29" t="s">
        <v>137</v>
      </c>
      <c r="D11" s="29" t="s">
        <v>499</v>
      </c>
      <c r="E11" s="29" t="s">
        <v>564</v>
      </c>
      <c r="F11" s="30">
        <v>1938079573.5399997</v>
      </c>
      <c r="G11" s="31">
        <v>3.3927692878581571E-2</v>
      </c>
      <c r="H11" s="30">
        <v>6608623.1933605559</v>
      </c>
      <c r="I11" s="30">
        <v>59145945.351956904</v>
      </c>
      <c r="J11" s="125">
        <f t="shared" si="3"/>
        <v>65754568.545317456</v>
      </c>
      <c r="K11" s="53" t="s">
        <v>79</v>
      </c>
      <c r="L11" s="109" t="s">
        <v>81</v>
      </c>
      <c r="M11" s="126">
        <f>VLOOKUP(L11,'РейтPD FRED Graph'!$R$4:$V$26,5,0)</f>
        <v>7.1516069880933021E-3</v>
      </c>
      <c r="N11" s="127">
        <f t="shared" si="4"/>
        <v>13860383.421609549</v>
      </c>
      <c r="O11" s="127">
        <f t="shared" si="5"/>
        <v>79614951.966927007</v>
      </c>
      <c r="Q11" s="130">
        <f t="shared" si="6"/>
        <v>0</v>
      </c>
    </row>
    <row r="12" spans="1:17" x14ac:dyDescent="0.25">
      <c r="A12" s="29" t="s">
        <v>42</v>
      </c>
      <c r="B12" s="29" t="s">
        <v>493</v>
      </c>
      <c r="C12" s="29" t="s">
        <v>139</v>
      </c>
      <c r="D12" s="29" t="s">
        <v>500</v>
      </c>
      <c r="E12" s="29" t="s">
        <v>565</v>
      </c>
      <c r="F12" s="30">
        <v>66023806.859999999</v>
      </c>
      <c r="G12" s="31">
        <v>5.8927158902003771E-2</v>
      </c>
      <c r="H12" s="30">
        <v>552708.87703047018</v>
      </c>
      <c r="I12" s="30">
        <v>3337886.4811239564</v>
      </c>
      <c r="J12" s="125">
        <f t="shared" si="3"/>
        <v>3890595.3581544268</v>
      </c>
      <c r="K12" s="53" t="s">
        <v>83</v>
      </c>
      <c r="L12" s="109" t="s">
        <v>85</v>
      </c>
      <c r="M12" s="126">
        <f>VLOOKUP(L12,'РейтPD FRED Graph'!$R$4:$V$26,5,0)</f>
        <v>2.0239437618496649E-2</v>
      </c>
      <c r="N12" s="127">
        <f t="shared" si="4"/>
        <v>1336284.720278641</v>
      </c>
      <c r="O12" s="127">
        <f t="shared" si="5"/>
        <v>5226880.0784330675</v>
      </c>
      <c r="Q12" s="130">
        <f t="shared" si="6"/>
        <v>0</v>
      </c>
    </row>
    <row r="13" spans="1:17" x14ac:dyDescent="0.25">
      <c r="A13" s="29" t="s">
        <v>42</v>
      </c>
      <c r="B13" s="29" t="s">
        <v>493</v>
      </c>
      <c r="C13" s="29" t="s">
        <v>101</v>
      </c>
      <c r="D13" s="29" t="s">
        <v>501</v>
      </c>
      <c r="E13" s="29" t="s">
        <v>566</v>
      </c>
      <c r="F13" s="30">
        <v>229287626.29000002</v>
      </c>
      <c r="G13" s="31">
        <v>2.5445769658936176E-2</v>
      </c>
      <c r="H13" s="30">
        <v>586382.86028277781</v>
      </c>
      <c r="I13" s="30">
        <v>5248017.2639368018</v>
      </c>
      <c r="J13" s="125">
        <f t="shared" si="3"/>
        <v>5834400.1242195796</v>
      </c>
      <c r="K13" s="53" t="s">
        <v>79</v>
      </c>
      <c r="L13" s="109" t="s">
        <v>81</v>
      </c>
      <c r="M13" s="126">
        <f>VLOOKUP(L13,'РейтPD FRED Graph'!$R$4:$V$26,5,0)</f>
        <v>7.1516069880933021E-3</v>
      </c>
      <c r="N13" s="127">
        <f t="shared" si="4"/>
        <v>1639774.9904588896</v>
      </c>
      <c r="O13" s="127">
        <f t="shared" si="5"/>
        <v>7474175.1146784695</v>
      </c>
      <c r="Q13" s="130">
        <f>J13-I13-H13</f>
        <v>0</v>
      </c>
    </row>
    <row r="14" spans="1:17" x14ac:dyDescent="0.25">
      <c r="A14" s="29" t="s">
        <v>42</v>
      </c>
      <c r="B14" s="29" t="s">
        <v>493</v>
      </c>
      <c r="C14" s="29" t="s">
        <v>140</v>
      </c>
      <c r="D14" s="29" t="s">
        <v>502</v>
      </c>
      <c r="E14" s="29" t="s">
        <v>567</v>
      </c>
      <c r="F14" s="30">
        <v>565242718.46000004</v>
      </c>
      <c r="G14" s="31">
        <v>2.5445769658936176E-2</v>
      </c>
      <c r="H14" s="30">
        <v>1445558.3468136035</v>
      </c>
      <c r="I14" s="30">
        <v>12937477.668510471</v>
      </c>
      <c r="J14" s="125">
        <f t="shared" si="3"/>
        <v>14383036.015324073</v>
      </c>
      <c r="K14" s="53" t="s">
        <v>79</v>
      </c>
      <c r="L14" s="109" t="s">
        <v>81</v>
      </c>
      <c r="M14" s="126">
        <f>VLOOKUP(L14,'РейтPD FRED Graph'!$R$4:$V$26,5,0)</f>
        <v>7.1516069880933021E-3</v>
      </c>
      <c r="N14" s="127">
        <f t="shared" si="4"/>
        <v>4042393.7753073913</v>
      </c>
      <c r="O14" s="127">
        <f t="shared" si="5"/>
        <v>18425429.790631466</v>
      </c>
      <c r="Q14" s="130">
        <f t="shared" si="6"/>
        <v>0</v>
      </c>
    </row>
    <row r="15" spans="1:17" x14ac:dyDescent="0.25">
      <c r="A15" s="29" t="s">
        <v>42</v>
      </c>
      <c r="B15" s="29" t="s">
        <v>493</v>
      </c>
      <c r="C15" s="29" t="s">
        <v>141</v>
      </c>
      <c r="D15" s="29" t="s">
        <v>503</v>
      </c>
      <c r="E15" s="29" t="s">
        <v>568</v>
      </c>
      <c r="F15" s="30">
        <v>295903989.97000003</v>
      </c>
      <c r="G15" s="31">
        <v>5.8927158902003771E-2</v>
      </c>
      <c r="H15" s="30">
        <v>2477118.0242900983</v>
      </c>
      <c r="I15" s="30">
        <v>14959663.412409024</v>
      </c>
      <c r="J15" s="125">
        <f t="shared" si="3"/>
        <v>17436781.436699122</v>
      </c>
      <c r="K15" s="53" t="s">
        <v>83</v>
      </c>
      <c r="L15" s="109" t="s">
        <v>83</v>
      </c>
      <c r="M15" s="126">
        <f>VLOOKUP(L15,'РейтPD FRED Graph'!$R$4:$V$26,5,0)</f>
        <v>1.3647274556882657E-2</v>
      </c>
      <c r="N15" s="127">
        <f t="shared" si="4"/>
        <v>4038282.9935976425</v>
      </c>
      <c r="O15" s="127">
        <f t="shared" si="5"/>
        <v>21475064.430296764</v>
      </c>
      <c r="Q15" s="130">
        <f t="shared" si="6"/>
        <v>0</v>
      </c>
    </row>
    <row r="16" spans="1:17" x14ac:dyDescent="0.25">
      <c r="A16" s="29" t="s">
        <v>42</v>
      </c>
      <c r="B16" s="29" t="s">
        <v>493</v>
      </c>
      <c r="C16" s="29" t="s">
        <v>133</v>
      </c>
      <c r="D16" s="29" t="s">
        <v>504</v>
      </c>
      <c r="E16" s="29" t="s">
        <v>569</v>
      </c>
      <c r="F16" s="30">
        <v>750349633.36000001</v>
      </c>
      <c r="G16" s="31">
        <v>2.5445769658936176E-2</v>
      </c>
      <c r="H16" s="30">
        <v>1918952.9384602469</v>
      </c>
      <c r="I16" s="30">
        <v>17174270.995685525</v>
      </c>
      <c r="J16" s="125">
        <f t="shared" si="3"/>
        <v>19093223.934145771</v>
      </c>
      <c r="K16" s="53" t="s">
        <v>79</v>
      </c>
      <c r="L16" s="109" t="s">
        <v>81</v>
      </c>
      <c r="M16" s="126">
        <f>VLOOKUP(L16,'РейтPD FRED Graph'!$R$4:$V$26,5,0)</f>
        <v>7.1516069880933021E-3</v>
      </c>
      <c r="N16" s="127">
        <f t="shared" si="4"/>
        <v>5366205.6814506231</v>
      </c>
      <c r="O16" s="127">
        <f t="shared" si="5"/>
        <v>24459429.615596395</v>
      </c>
      <c r="Q16" s="130">
        <f t="shared" si="6"/>
        <v>0</v>
      </c>
    </row>
    <row r="17" spans="1:17" x14ac:dyDescent="0.25">
      <c r="A17" s="29" t="s">
        <v>42</v>
      </c>
      <c r="B17" s="29" t="s">
        <v>493</v>
      </c>
      <c r="C17" s="29" t="s">
        <v>145</v>
      </c>
      <c r="D17" s="29" t="s">
        <v>505</v>
      </c>
      <c r="E17" s="29" t="s">
        <v>570</v>
      </c>
      <c r="F17" s="30">
        <v>1444725626.76</v>
      </c>
      <c r="G17" s="31">
        <v>2.5480795125555275E-2</v>
      </c>
      <c r="H17" s="30">
        <v>3427692.6584057566</v>
      </c>
      <c r="I17" s="30">
        <v>33385065.049705237</v>
      </c>
      <c r="J17" s="125">
        <f t="shared" si="3"/>
        <v>36812757.708110996</v>
      </c>
      <c r="K17" s="53" t="s">
        <v>77</v>
      </c>
      <c r="L17" s="109" t="s">
        <v>79</v>
      </c>
      <c r="M17" s="126">
        <f>VLOOKUP(L17,'РейтPD FRED Graph'!$R$4:$V$26,5,0)</f>
        <v>4.3231037193945891E-3</v>
      </c>
      <c r="N17" s="127">
        <f t="shared" si="4"/>
        <v>6245698.7305508349</v>
      </c>
      <c r="O17" s="127">
        <f t="shared" si="5"/>
        <v>43058456.438661829</v>
      </c>
      <c r="Q17" s="130">
        <f t="shared" si="6"/>
        <v>0</v>
      </c>
    </row>
    <row r="18" spans="1:17" x14ac:dyDescent="0.25">
      <c r="A18" s="29" t="s">
        <v>42</v>
      </c>
      <c r="B18" s="29" t="s">
        <v>493</v>
      </c>
      <c r="C18" s="29" t="s">
        <v>146</v>
      </c>
      <c r="D18" s="29" t="s">
        <v>506</v>
      </c>
      <c r="E18" s="29" t="s">
        <v>571</v>
      </c>
      <c r="F18" s="30">
        <v>866370962.51999998</v>
      </c>
      <c r="G18" s="31">
        <v>2.5480795125555275E-2</v>
      </c>
      <c r="H18" s="30">
        <v>2055513.7478564684</v>
      </c>
      <c r="I18" s="30">
        <v>20020307.250845779</v>
      </c>
      <c r="J18" s="125">
        <f t="shared" si="3"/>
        <v>22075820.998702247</v>
      </c>
      <c r="K18" s="53" t="s">
        <v>77</v>
      </c>
      <c r="L18" s="109" t="s">
        <v>81</v>
      </c>
      <c r="M18" s="126">
        <f>VLOOKUP(L18,'РейтPD FRED Graph'!$R$4:$V$26,5,0)</f>
        <v>7.1516069880933021E-3</v>
      </c>
      <c r="N18" s="127">
        <f t="shared" si="4"/>
        <v>6195944.6298391521</v>
      </c>
      <c r="O18" s="127">
        <f t="shared" si="5"/>
        <v>28271765.628541399</v>
      </c>
      <c r="Q18" s="130">
        <f t="shared" si="6"/>
        <v>0</v>
      </c>
    </row>
    <row r="19" spans="1:17" x14ac:dyDescent="0.25">
      <c r="A19" s="29" t="s">
        <v>42</v>
      </c>
      <c r="B19" s="29" t="s">
        <v>493</v>
      </c>
      <c r="C19" s="29" t="s">
        <v>104</v>
      </c>
      <c r="D19" s="29" t="s">
        <v>507</v>
      </c>
      <c r="E19" s="29" t="s">
        <v>572</v>
      </c>
      <c r="F19" s="30">
        <v>145216430.28999999</v>
      </c>
      <c r="G19" s="31">
        <v>1.0463168480298844E-2</v>
      </c>
      <c r="H19" s="30">
        <v>125101.73358995255</v>
      </c>
      <c r="I19" s="30">
        <v>1394322.2426418897</v>
      </c>
      <c r="J19" s="125">
        <f t="shared" si="3"/>
        <v>1519423.9762318423</v>
      </c>
      <c r="K19" s="53" t="s">
        <v>75</v>
      </c>
      <c r="L19" s="109" t="s">
        <v>75</v>
      </c>
      <c r="M19" s="126">
        <f>VLOOKUP(L19,'РейтPD FRED Graph'!$R$4:$V$26,5,0)</f>
        <v>1.3367227501891068E-3</v>
      </c>
      <c r="N19" s="127">
        <f t="shared" si="4"/>
        <v>194114.10606989352</v>
      </c>
      <c r="O19" s="127">
        <f t="shared" si="5"/>
        <v>1713538.0823017359</v>
      </c>
      <c r="Q19" s="130">
        <f t="shared" si="6"/>
        <v>0</v>
      </c>
    </row>
    <row r="20" spans="1:17" x14ac:dyDescent="0.25">
      <c r="A20" s="29" t="s">
        <v>42</v>
      </c>
      <c r="B20" s="29" t="s">
        <v>493</v>
      </c>
      <c r="C20" s="29" t="s">
        <v>100</v>
      </c>
      <c r="D20" s="29" t="s">
        <v>508</v>
      </c>
      <c r="E20" s="29" t="s">
        <v>573</v>
      </c>
      <c r="F20" s="30">
        <v>226106559.03999999</v>
      </c>
      <c r="G20" s="31">
        <v>1.0463168480298844E-2</v>
      </c>
      <c r="H20" s="30">
        <v>194787.34228265099</v>
      </c>
      <c r="I20" s="30">
        <v>2171003.6794535066</v>
      </c>
      <c r="J20" s="125">
        <f t="shared" si="3"/>
        <v>2365791.0217361576</v>
      </c>
      <c r="K20" s="53" t="s">
        <v>75</v>
      </c>
      <c r="L20" s="109" t="s">
        <v>75</v>
      </c>
      <c r="M20" s="126">
        <f>VLOOKUP(L20,'РейтPD FRED Graph'!$R$4:$V$26,5,0)</f>
        <v>1.3367227501891068E-3</v>
      </c>
      <c r="N20" s="127">
        <f t="shared" si="4"/>
        <v>302241.78143574443</v>
      </c>
      <c r="O20" s="127">
        <f t="shared" si="5"/>
        <v>2668032.803171902</v>
      </c>
      <c r="Q20" s="130">
        <f t="shared" si="6"/>
        <v>0</v>
      </c>
    </row>
    <row r="21" spans="1:17" x14ac:dyDescent="0.25">
      <c r="A21" s="29" t="s">
        <v>42</v>
      </c>
      <c r="B21" s="29" t="s">
        <v>493</v>
      </c>
      <c r="C21" s="29" t="s">
        <v>149</v>
      </c>
      <c r="D21" s="29" t="s">
        <v>509</v>
      </c>
      <c r="E21" s="29" t="s">
        <v>574</v>
      </c>
      <c r="F21" s="30">
        <v>5973997897.79</v>
      </c>
      <c r="G21" s="31">
        <v>1.3950891307065127E-2</v>
      </c>
      <c r="H21" s="30">
        <v>6862010.4211235959</v>
      </c>
      <c r="I21" s="30">
        <v>76480584.919580266</v>
      </c>
      <c r="J21" s="125">
        <f t="shared" si="3"/>
        <v>83342595.340703845</v>
      </c>
      <c r="K21" s="53" t="s">
        <v>75</v>
      </c>
      <c r="L21" s="109" t="s">
        <v>77</v>
      </c>
      <c r="M21" s="126">
        <f>VLOOKUP(L21,'РейтPD FRED Graph'!$R$4:$V$26,5,0)</f>
        <v>2.9499026019492382E-3</v>
      </c>
      <c r="N21" s="127">
        <f t="shared" si="4"/>
        <v>17622711.942729998</v>
      </c>
      <c r="O21" s="127">
        <f t="shared" si="5"/>
        <v>100965307.28343384</v>
      </c>
      <c r="Q21" s="130">
        <f t="shared" si="6"/>
        <v>-1.6763806343078613E-8</v>
      </c>
    </row>
    <row r="22" spans="1:17" x14ac:dyDescent="0.25">
      <c r="A22" s="29" t="s">
        <v>42</v>
      </c>
      <c r="B22" s="29" t="s">
        <v>493</v>
      </c>
      <c r="C22" s="29" t="s">
        <v>150</v>
      </c>
      <c r="D22" s="29" t="s">
        <v>510</v>
      </c>
      <c r="E22" s="29" t="s">
        <v>575</v>
      </c>
      <c r="F22" s="30">
        <v>4780781800.5699997</v>
      </c>
      <c r="G22" s="31">
        <v>1.0463168480298844E-2</v>
      </c>
      <c r="H22" s="30">
        <v>4118570.3984887684</v>
      </c>
      <c r="I22" s="30">
        <v>45903555.048421606</v>
      </c>
      <c r="J22" s="125">
        <f t="shared" si="3"/>
        <v>50022125.446910374</v>
      </c>
      <c r="K22" s="53" t="s">
        <v>75</v>
      </c>
      <c r="L22" s="109" t="s">
        <v>75</v>
      </c>
      <c r="M22" s="126">
        <f>VLOOKUP(L22,'РейтPD FRED Graph'!$R$4:$V$26,5,0)</f>
        <v>1.3367227501891068E-3</v>
      </c>
      <c r="N22" s="127">
        <f t="shared" si="4"/>
        <v>6390579.7965119602</v>
      </c>
      <c r="O22" s="127">
        <f t="shared" si="5"/>
        <v>56412705.243422337</v>
      </c>
      <c r="Q22" s="130">
        <f t="shared" si="6"/>
        <v>0</v>
      </c>
    </row>
    <row r="23" spans="1:17" x14ac:dyDescent="0.25">
      <c r="A23" s="29" t="s">
        <v>42</v>
      </c>
      <c r="B23" s="29" t="s">
        <v>493</v>
      </c>
      <c r="C23" s="29" t="s">
        <v>137</v>
      </c>
      <c r="D23" s="29" t="s">
        <v>511</v>
      </c>
      <c r="E23" s="29" t="s">
        <v>576</v>
      </c>
      <c r="F23" s="30">
        <v>185256934.81999999</v>
      </c>
      <c r="G23" s="31">
        <v>3.3927692878581571E-2</v>
      </c>
      <c r="H23" s="30">
        <v>631704.33912891592</v>
      </c>
      <c r="I23" s="30">
        <v>5653636.0490714479</v>
      </c>
      <c r="J23" s="125">
        <f t="shared" si="3"/>
        <v>6285340.3882003641</v>
      </c>
      <c r="K23" s="53" t="s">
        <v>79</v>
      </c>
      <c r="L23" s="109" t="s">
        <v>81</v>
      </c>
      <c r="M23" s="126">
        <f>VLOOKUP(L23,'РейтPD FRED Graph'!$R$4:$V$26,5,0)</f>
        <v>7.1516069880933021E-3</v>
      </c>
      <c r="N23" s="127">
        <f t="shared" si="4"/>
        <v>1324884.7896514572</v>
      </c>
      <c r="O23" s="127">
        <f t="shared" si="5"/>
        <v>7610225.1778518213</v>
      </c>
      <c r="Q23" s="130">
        <f t="shared" si="6"/>
        <v>0</v>
      </c>
    </row>
    <row r="24" spans="1:17" x14ac:dyDescent="0.25">
      <c r="A24" s="29" t="s">
        <v>42</v>
      </c>
      <c r="B24" s="29" t="s">
        <v>493</v>
      </c>
      <c r="C24" s="29" t="s">
        <v>151</v>
      </c>
      <c r="D24" s="29" t="s">
        <v>512</v>
      </c>
      <c r="E24" s="29" t="s">
        <v>577</v>
      </c>
      <c r="F24" s="30">
        <v>8023415321.1800003</v>
      </c>
      <c r="G24" s="31">
        <v>1.9110596344166456E-2</v>
      </c>
      <c r="H24" s="30">
        <v>14277002.471444493</v>
      </c>
      <c r="I24" s="30">
        <v>139055249.03322715</v>
      </c>
      <c r="J24" s="125">
        <f t="shared" si="3"/>
        <v>153332251.50467163</v>
      </c>
      <c r="K24" s="53" t="s">
        <v>77</v>
      </c>
      <c r="L24" s="109" t="s">
        <v>77</v>
      </c>
      <c r="M24" s="126">
        <f>VLOOKUP(L24,'РейтPD FRED Graph'!$R$4:$V$26,5,0)</f>
        <v>2.9499026019492382E-3</v>
      </c>
      <c r="N24" s="127">
        <f t="shared" si="4"/>
        <v>23668293.732468266</v>
      </c>
      <c r="O24" s="127">
        <f t="shared" si="5"/>
        <v>177000545.23713991</v>
      </c>
      <c r="Q24" s="130">
        <f t="shared" si="6"/>
        <v>0</v>
      </c>
    </row>
    <row r="25" spans="1:17" x14ac:dyDescent="0.25">
      <c r="A25" s="29" t="s">
        <v>42</v>
      </c>
      <c r="B25" s="29" t="s">
        <v>493</v>
      </c>
      <c r="C25" s="29" t="s">
        <v>135</v>
      </c>
      <c r="D25" s="29" t="s">
        <v>513</v>
      </c>
      <c r="E25" s="29" t="s">
        <v>578</v>
      </c>
      <c r="F25" s="30">
        <v>675280314.13</v>
      </c>
      <c r="G25" s="31">
        <v>1.0463168480298844E-2</v>
      </c>
      <c r="H25" s="30">
        <v>581743.6621195348</v>
      </c>
      <c r="I25" s="30">
        <v>6483828.0360517837</v>
      </c>
      <c r="J25" s="125">
        <f t="shared" si="3"/>
        <v>7065571.6981713185</v>
      </c>
      <c r="K25" s="53" t="s">
        <v>75</v>
      </c>
      <c r="L25" s="109" t="s">
        <v>77</v>
      </c>
      <c r="M25" s="126">
        <f>VLOOKUP(L25,'РейтPD FRED Graph'!$R$4:$V$26,5,0)</f>
        <v>2.9499026019492382E-3</v>
      </c>
      <c r="N25" s="127">
        <f t="shared" si="4"/>
        <v>1992011.155697186</v>
      </c>
      <c r="O25" s="127">
        <f t="shared" si="5"/>
        <v>9057582.853868505</v>
      </c>
      <c r="Q25" s="130">
        <f t="shared" si="6"/>
        <v>0</v>
      </c>
    </row>
    <row r="26" spans="1:17" x14ac:dyDescent="0.25">
      <c r="A26" s="29" t="s">
        <v>42</v>
      </c>
      <c r="B26" s="29" t="s">
        <v>493</v>
      </c>
      <c r="C26" s="29" t="s">
        <v>100</v>
      </c>
      <c r="D26" s="29" t="s">
        <v>514</v>
      </c>
      <c r="E26" s="29" t="s">
        <v>579</v>
      </c>
      <c r="F26" s="30">
        <v>513153541.26999998</v>
      </c>
      <c r="G26" s="31">
        <v>1.0463168480298844E-2</v>
      </c>
      <c r="H26" s="30">
        <v>442073.92705149704</v>
      </c>
      <c r="I26" s="30">
        <v>4927138.0315184994</v>
      </c>
      <c r="J26" s="125">
        <f t="shared" si="3"/>
        <v>5369211.9585699961</v>
      </c>
      <c r="K26" s="53" t="s">
        <v>75</v>
      </c>
      <c r="L26" s="109" t="s">
        <v>75</v>
      </c>
      <c r="M26" s="126">
        <f>VLOOKUP(L26,'РейтPD FRED Graph'!$R$4:$V$26,5,0)</f>
        <v>1.3367227501891068E-3</v>
      </c>
      <c r="N26" s="127">
        <f t="shared" si="4"/>
        <v>685944.01295571367</v>
      </c>
      <c r="O26" s="127">
        <f t="shared" si="5"/>
        <v>6055155.9715257101</v>
      </c>
      <c r="Q26" s="130">
        <f t="shared" si="6"/>
        <v>0</v>
      </c>
    </row>
    <row r="27" spans="1:17" x14ac:dyDescent="0.25">
      <c r="A27" s="29" t="s">
        <v>42</v>
      </c>
      <c r="B27" s="29" t="s">
        <v>493</v>
      </c>
      <c r="C27" s="29" t="s">
        <v>153</v>
      </c>
      <c r="D27" s="29" t="s">
        <v>515</v>
      </c>
      <c r="E27" s="29" t="s">
        <v>580</v>
      </c>
      <c r="F27" s="30">
        <v>788015507.60000002</v>
      </c>
      <c r="G27" s="31">
        <v>1.3950891307065127E-2</v>
      </c>
      <c r="H27" s="30">
        <v>905151.07599193905</v>
      </c>
      <c r="I27" s="30">
        <v>10088367.618817415</v>
      </c>
      <c r="J27" s="125">
        <f t="shared" si="3"/>
        <v>10993518.694809353</v>
      </c>
      <c r="K27" s="53" t="s">
        <v>75</v>
      </c>
      <c r="L27" s="109" t="s">
        <v>77</v>
      </c>
      <c r="M27" s="126">
        <f>VLOOKUP(L27,'РейтPD FRED Graph'!$R$4:$V$26,5,0)</f>
        <v>2.9499026019492382E-3</v>
      </c>
      <c r="N27" s="127">
        <f t="shared" si="4"/>
        <v>2324568.9962455896</v>
      </c>
      <c r="O27" s="127">
        <f t="shared" si="5"/>
        <v>13318087.691054942</v>
      </c>
      <c r="Q27" s="130">
        <f t="shared" si="6"/>
        <v>-1.1641532182693481E-9</v>
      </c>
    </row>
    <row r="28" spans="1:17" x14ac:dyDescent="0.25">
      <c r="A28" s="29" t="s">
        <v>42</v>
      </c>
      <c r="B28" s="29" t="s">
        <v>493</v>
      </c>
      <c r="C28" s="29" t="s">
        <v>337</v>
      </c>
      <c r="D28" s="29" t="s">
        <v>516</v>
      </c>
      <c r="E28" s="29" t="s">
        <v>581</v>
      </c>
      <c r="F28" s="30">
        <v>417975578.66999996</v>
      </c>
      <c r="G28" s="31">
        <v>0.10092766245929954</v>
      </c>
      <c r="H28" s="30">
        <v>8576135.612302551</v>
      </c>
      <c r="I28" s="30">
        <v>33609162.507933602</v>
      </c>
      <c r="J28" s="125">
        <f t="shared" si="3"/>
        <v>42185298.120236158</v>
      </c>
      <c r="K28" s="53" t="s">
        <v>87</v>
      </c>
      <c r="L28" s="109" t="s">
        <v>87</v>
      </c>
      <c r="M28" s="126">
        <f>VLOOKUP(L28,'РейтPD FRED Graph'!$R$4:$V$26,5,0)</f>
        <v>2.8424720798995207E-2</v>
      </c>
      <c r="N28" s="127">
        <f t="shared" si="4"/>
        <v>11880839.124493206</v>
      </c>
      <c r="O28" s="127">
        <f t="shared" si="5"/>
        <v>54066137.244729362</v>
      </c>
      <c r="Q28" s="130">
        <f t="shared" si="6"/>
        <v>0</v>
      </c>
    </row>
    <row r="29" spans="1:17" x14ac:dyDescent="0.25">
      <c r="A29" s="29" t="s">
        <v>42</v>
      </c>
      <c r="B29" s="29" t="s">
        <v>493</v>
      </c>
      <c r="C29" s="29" t="s">
        <v>104</v>
      </c>
      <c r="D29" s="29" t="s">
        <v>517</v>
      </c>
      <c r="E29" s="29" t="s">
        <v>582</v>
      </c>
      <c r="F29" s="30">
        <v>637640375.80999994</v>
      </c>
      <c r="G29" s="31">
        <v>1.0463168480298844E-2</v>
      </c>
      <c r="H29" s="30">
        <v>549317.43096478679</v>
      </c>
      <c r="I29" s="30">
        <v>6122421.2509763148</v>
      </c>
      <c r="J29" s="125">
        <f t="shared" si="3"/>
        <v>6671738.6819411013</v>
      </c>
      <c r="K29" s="53" t="s">
        <v>75</v>
      </c>
      <c r="L29" s="109" t="s">
        <v>79</v>
      </c>
      <c r="M29" s="126">
        <f>VLOOKUP(L29,'РейтPD FRED Graph'!$R$4:$V$26,5,0)</f>
        <v>4.3231037193945891E-3</v>
      </c>
      <c r="N29" s="127">
        <f t="shared" si="4"/>
        <v>2756585.4803003743</v>
      </c>
      <c r="O29" s="127">
        <f t="shared" si="5"/>
        <v>9428324.1622414757</v>
      </c>
      <c r="Q29" s="130">
        <f t="shared" si="6"/>
        <v>0</v>
      </c>
    </row>
    <row r="30" spans="1:17" ht="27.75" customHeight="1" x14ac:dyDescent="0.25">
      <c r="A30" s="29" t="s">
        <v>42</v>
      </c>
      <c r="B30" s="29" t="s">
        <v>493</v>
      </c>
      <c r="C30" s="29" t="s">
        <v>138</v>
      </c>
      <c r="D30" s="29" t="s">
        <v>518</v>
      </c>
      <c r="E30" s="29" t="s">
        <v>583</v>
      </c>
      <c r="F30" s="30">
        <v>2055715919.1500001</v>
      </c>
      <c r="G30" s="31">
        <v>4.919714419657685E-2</v>
      </c>
      <c r="H30" s="30">
        <v>11522172.921545755</v>
      </c>
      <c r="I30" s="30">
        <v>89613179.580075324</v>
      </c>
      <c r="J30" s="125">
        <f t="shared" si="3"/>
        <v>101135352.50162107</v>
      </c>
      <c r="K30" s="53" t="s">
        <v>81</v>
      </c>
      <c r="L30" s="109" t="s">
        <v>83</v>
      </c>
      <c r="M30" s="126">
        <f>VLOOKUP(L30,'РейтPD FRED Graph'!$R$4:$V$26,5,0)</f>
        <v>1.3647274556882657E-2</v>
      </c>
      <c r="N30" s="127">
        <f t="shared" si="4"/>
        <v>28054919.559594441</v>
      </c>
      <c r="O30" s="127">
        <f t="shared" si="5"/>
        <v>129190272.06121551</v>
      </c>
      <c r="Q30" s="130">
        <f t="shared" si="6"/>
        <v>0</v>
      </c>
    </row>
    <row r="31" spans="1:17" x14ac:dyDescent="0.25">
      <c r="A31" s="29" t="s">
        <v>42</v>
      </c>
      <c r="B31" s="29" t="s">
        <v>493</v>
      </c>
      <c r="C31" s="29" t="s">
        <v>138</v>
      </c>
      <c r="D31" s="29" t="s">
        <v>519</v>
      </c>
      <c r="E31" s="29" t="s">
        <v>584</v>
      </c>
      <c r="F31" s="30">
        <v>1121325081.3700004</v>
      </c>
      <c r="G31" s="31">
        <v>4.919714419657685E-2</v>
      </c>
      <c r="H31" s="30">
        <v>6284964.4585880945</v>
      </c>
      <c r="I31" s="30">
        <v>48881027.260810085</v>
      </c>
      <c r="J31" s="125">
        <f t="shared" si="3"/>
        <v>55165991.719398178</v>
      </c>
      <c r="K31" s="53" t="s">
        <v>81</v>
      </c>
      <c r="L31" s="109" t="s">
        <v>83</v>
      </c>
      <c r="M31" s="126">
        <f>VLOOKUP(L31,'РейтPD FRED Graph'!$R$4:$V$26,5,0)</f>
        <v>1.3647274556882657E-2</v>
      </c>
      <c r="N31" s="127">
        <f t="shared" si="4"/>
        <v>15303031.252975181</v>
      </c>
      <c r="O31" s="127">
        <f t="shared" si="5"/>
        <v>70469022.972373366</v>
      </c>
      <c r="Q31" s="130">
        <f t="shared" si="6"/>
        <v>0</v>
      </c>
    </row>
    <row r="32" spans="1:17" x14ac:dyDescent="0.25">
      <c r="A32" s="29" t="s">
        <v>42</v>
      </c>
      <c r="B32" s="29" t="s">
        <v>493</v>
      </c>
      <c r="C32" s="29" t="s">
        <v>134</v>
      </c>
      <c r="D32" s="29" t="s">
        <v>520</v>
      </c>
      <c r="E32" s="29" t="s">
        <v>585</v>
      </c>
      <c r="F32" s="30">
        <v>983234691.60000002</v>
      </c>
      <c r="G32" s="31">
        <v>2.5445769658936176E-2</v>
      </c>
      <c r="H32" s="30">
        <v>2514535.9133355394</v>
      </c>
      <c r="I32" s="30">
        <v>22504627.569793213</v>
      </c>
      <c r="J32" s="125">
        <f t="shared" si="3"/>
        <v>25019163.483128749</v>
      </c>
      <c r="K32" s="53" t="s">
        <v>79</v>
      </c>
      <c r="L32" s="109" t="s">
        <v>79</v>
      </c>
      <c r="M32" s="126">
        <f>VLOOKUP(L32,'РейтPD FRED Graph'!$R$4:$V$26,5,0)</f>
        <v>4.3231037193945891E-3</v>
      </c>
      <c r="N32" s="127">
        <f t="shared" si="4"/>
        <v>4250625.5522937514</v>
      </c>
      <c r="O32" s="127">
        <f t="shared" si="5"/>
        <v>29269789.0354225</v>
      </c>
      <c r="Q32" s="130">
        <f t="shared" si="6"/>
        <v>-3.7252902984619141E-9</v>
      </c>
    </row>
    <row r="33" spans="1:17" x14ac:dyDescent="0.25">
      <c r="A33" s="29" t="s">
        <v>42</v>
      </c>
      <c r="B33" s="29" t="s">
        <v>494</v>
      </c>
      <c r="C33" s="29" t="s">
        <v>133</v>
      </c>
      <c r="D33" s="29" t="s">
        <v>521</v>
      </c>
      <c r="E33" s="29" t="s">
        <v>586</v>
      </c>
      <c r="F33" s="30">
        <v>220965068.86000001</v>
      </c>
      <c r="G33" s="31">
        <v>2.5445769658936176E-2</v>
      </c>
      <c r="H33" s="30">
        <v>565098.65445957019</v>
      </c>
      <c r="I33" s="30">
        <v>5057527.5904229619</v>
      </c>
      <c r="J33" s="125">
        <f t="shared" si="3"/>
        <v>5622626.2448825315</v>
      </c>
      <c r="K33" s="53" t="s">
        <v>79</v>
      </c>
      <c r="L33" s="109" t="s">
        <v>79</v>
      </c>
      <c r="M33" s="126">
        <f>VLOOKUP(L33,'РейтPD FRED Graph'!$R$4:$V$26,5,0)</f>
        <v>4.3231037193945891E-3</v>
      </c>
      <c r="N33" s="127">
        <f t="shared" si="4"/>
        <v>955254.91104494757</v>
      </c>
      <c r="O33" s="127">
        <f t="shared" si="5"/>
        <v>6577881.1559274793</v>
      </c>
      <c r="Q33" s="130">
        <f t="shared" si="6"/>
        <v>0</v>
      </c>
    </row>
    <row r="34" spans="1:17" ht="24.75" customHeight="1" x14ac:dyDescent="0.25">
      <c r="A34" s="29" t="s">
        <v>42</v>
      </c>
      <c r="B34" s="29" t="s">
        <v>494</v>
      </c>
      <c r="C34" s="29" t="s">
        <v>155</v>
      </c>
      <c r="D34" s="29" t="s">
        <v>522</v>
      </c>
      <c r="E34" s="29" t="s">
        <v>587</v>
      </c>
      <c r="F34" s="30">
        <v>85288607.829999998</v>
      </c>
      <c r="G34" s="31">
        <v>1.0463168480298844E-2</v>
      </c>
      <c r="H34" s="30">
        <v>73474.831144787822</v>
      </c>
      <c r="I34" s="30">
        <v>818914.24203063734</v>
      </c>
      <c r="J34" s="125">
        <f t="shared" si="3"/>
        <v>892389.07317542518</v>
      </c>
      <c r="K34" s="53" t="s">
        <v>75</v>
      </c>
      <c r="L34" s="109" t="s">
        <v>77</v>
      </c>
      <c r="M34" s="126">
        <f>VLOOKUP(L34,'РейтPD FRED Graph'!$R$4:$V$26,5,0)</f>
        <v>2.9499026019492382E-3</v>
      </c>
      <c r="N34" s="127">
        <f t="shared" si="4"/>
        <v>251593.08615434516</v>
      </c>
      <c r="O34" s="127">
        <f t="shared" si="5"/>
        <v>1143982.1593297704</v>
      </c>
      <c r="Q34" s="130">
        <f t="shared" si="6"/>
        <v>0</v>
      </c>
    </row>
    <row r="35" spans="1:17" x14ac:dyDescent="0.25">
      <c r="A35" s="29" t="s">
        <v>42</v>
      </c>
      <c r="B35" s="29" t="s">
        <v>494</v>
      </c>
      <c r="C35" s="29" t="s">
        <v>145</v>
      </c>
      <c r="D35" s="29" t="s">
        <v>523</v>
      </c>
      <c r="E35" s="29" t="s">
        <v>588</v>
      </c>
      <c r="F35" s="30">
        <v>51366347.399999999</v>
      </c>
      <c r="G35" s="31">
        <v>2.5480795125555275E-2</v>
      </c>
      <c r="H35" s="30">
        <v>121869.54298509742</v>
      </c>
      <c r="I35" s="30">
        <v>1186985.8314624014</v>
      </c>
      <c r="J35" s="125">
        <f t="shared" si="3"/>
        <v>1308855.3744474989</v>
      </c>
      <c r="K35" s="53" t="s">
        <v>77</v>
      </c>
      <c r="L35" s="109" t="s">
        <v>79</v>
      </c>
      <c r="M35" s="126">
        <f>VLOOKUP(L35,'РейтPD FRED Graph'!$R$4:$V$26,5,0)</f>
        <v>4.3231037193945891E-3</v>
      </c>
      <c r="N35" s="127">
        <f t="shared" si="4"/>
        <v>222062.04749665456</v>
      </c>
      <c r="O35" s="127">
        <f t="shared" si="5"/>
        <v>1530917.4219441535</v>
      </c>
      <c r="Q35" s="130">
        <f t="shared" si="6"/>
        <v>0</v>
      </c>
    </row>
    <row r="36" spans="1:17" x14ac:dyDescent="0.25">
      <c r="A36" s="29" t="s">
        <v>42</v>
      </c>
      <c r="B36" s="29" t="s">
        <v>494</v>
      </c>
      <c r="C36" s="29" t="s">
        <v>133</v>
      </c>
      <c r="D36" s="29" t="s">
        <v>524</v>
      </c>
      <c r="E36" s="29" t="s">
        <v>589</v>
      </c>
      <c r="F36" s="30">
        <v>484185114.00999999</v>
      </c>
      <c r="G36" s="31">
        <v>2.5445769658936176E-2</v>
      </c>
      <c r="H36" s="30">
        <v>1238260.6800614311</v>
      </c>
      <c r="I36" s="30">
        <v>11082202.203322781</v>
      </c>
      <c r="J36" s="125">
        <f t="shared" si="3"/>
        <v>12320462.883384211</v>
      </c>
      <c r="K36" s="53" t="s">
        <v>79</v>
      </c>
      <c r="L36" s="109" t="s">
        <v>79</v>
      </c>
      <c r="M36" s="126">
        <f>VLOOKUP(L36,'РейтPD FRED Graph'!$R$4:$V$26,5,0)</f>
        <v>4.3231037193945891E-3</v>
      </c>
      <c r="N36" s="127">
        <f t="shared" si="4"/>
        <v>2093182.4672521241</v>
      </c>
      <c r="O36" s="127">
        <f t="shared" si="5"/>
        <v>14413645.350636335</v>
      </c>
      <c r="Q36" s="130">
        <f t="shared" si="6"/>
        <v>0</v>
      </c>
    </row>
    <row r="37" spans="1:17" x14ac:dyDescent="0.25">
      <c r="A37" s="29" t="s">
        <v>42</v>
      </c>
      <c r="B37" s="29" t="s">
        <v>494</v>
      </c>
      <c r="C37" s="29" t="s">
        <v>133</v>
      </c>
      <c r="D37" s="29" t="s">
        <v>525</v>
      </c>
      <c r="E37" s="29" t="s">
        <v>590</v>
      </c>
      <c r="F37" s="30">
        <v>574515972.60000002</v>
      </c>
      <c r="G37" s="31">
        <v>2.5445769658936176E-2</v>
      </c>
      <c r="H37" s="30">
        <v>1469273.8755350043</v>
      </c>
      <c r="I37" s="30">
        <v>13149727.228624284</v>
      </c>
      <c r="J37" s="125">
        <f t="shared" si="3"/>
        <v>14619001.104159288</v>
      </c>
      <c r="K37" s="53" t="s">
        <v>79</v>
      </c>
      <c r="L37" s="109" t="s">
        <v>79</v>
      </c>
      <c r="M37" s="126">
        <f>VLOOKUP(L37,'РейтPD FRED Graph'!$R$4:$V$26,5,0)</f>
        <v>4.3231037193945891E-3</v>
      </c>
      <c r="N37" s="127">
        <f t="shared" si="4"/>
        <v>2483692.1379986601</v>
      </c>
      <c r="O37" s="127">
        <f t="shared" si="5"/>
        <v>17102693.242157947</v>
      </c>
      <c r="Q37" s="130">
        <f t="shared" si="6"/>
        <v>0</v>
      </c>
    </row>
    <row r="38" spans="1:17" x14ac:dyDescent="0.25">
      <c r="A38" s="29" t="s">
        <v>42</v>
      </c>
      <c r="B38" s="29" t="s">
        <v>494</v>
      </c>
      <c r="C38" s="29" t="s">
        <v>157</v>
      </c>
      <c r="D38" s="29" t="s">
        <v>526</v>
      </c>
      <c r="E38" s="29" t="s">
        <v>591</v>
      </c>
      <c r="F38" s="30">
        <v>570142147.63999999</v>
      </c>
      <c r="G38" s="31">
        <v>3.6897858147432641E-2</v>
      </c>
      <c r="H38" s="30">
        <v>2396711.1726528667</v>
      </c>
      <c r="I38" s="30">
        <v>18640312.914840449</v>
      </c>
      <c r="J38" s="125">
        <f t="shared" si="3"/>
        <v>21037024.087493319</v>
      </c>
      <c r="K38" s="53" t="s">
        <v>81</v>
      </c>
      <c r="L38" s="109" t="s">
        <v>83</v>
      </c>
      <c r="M38" s="126">
        <f>VLOOKUP(L38,'РейтPD FRED Graph'!$R$4:$V$26,5,0)</f>
        <v>1.3647274556882657E-2</v>
      </c>
      <c r="N38" s="127">
        <f t="shared" si="4"/>
        <v>7780886.4252938069</v>
      </c>
      <c r="O38" s="127">
        <f t="shared" si="5"/>
        <v>28817910.512787126</v>
      </c>
      <c r="Q38" s="130">
        <f t="shared" si="6"/>
        <v>3.7252902984619141E-9</v>
      </c>
    </row>
    <row r="39" spans="1:17" x14ac:dyDescent="0.25">
      <c r="A39" s="29" t="s">
        <v>42</v>
      </c>
      <c r="B39" s="29" t="s">
        <v>494</v>
      </c>
      <c r="C39" s="29" t="s">
        <v>133</v>
      </c>
      <c r="D39" s="29" t="s">
        <v>527</v>
      </c>
      <c r="E39" s="29" t="s">
        <v>592</v>
      </c>
      <c r="F39" s="30">
        <v>599969195.61000001</v>
      </c>
      <c r="G39" s="31">
        <v>2.5445769658936176E-2</v>
      </c>
      <c r="H39" s="30">
        <v>1534368.2461014378</v>
      </c>
      <c r="I39" s="30">
        <v>13732309.707847845</v>
      </c>
      <c r="J39" s="125">
        <f t="shared" si="3"/>
        <v>15266677.953949282</v>
      </c>
      <c r="K39" s="53" t="s">
        <v>79</v>
      </c>
      <c r="L39" s="109" t="s">
        <v>79</v>
      </c>
      <c r="M39" s="126">
        <f>VLOOKUP(L39,'РейтPD FRED Graph'!$R$4:$V$26,5,0)</f>
        <v>4.3231037193945891E-3</v>
      </c>
      <c r="N39" s="127">
        <f t="shared" si="4"/>
        <v>2593729.0610637707</v>
      </c>
      <c r="O39" s="127">
        <f t="shared" si="5"/>
        <v>17860407.015013054</v>
      </c>
      <c r="Q39" s="130">
        <f t="shared" si="6"/>
        <v>0</v>
      </c>
    </row>
    <row r="40" spans="1:17" x14ac:dyDescent="0.25">
      <c r="A40" s="29" t="s">
        <v>42</v>
      </c>
      <c r="B40" s="29" t="s">
        <v>494</v>
      </c>
      <c r="C40" s="29" t="s">
        <v>7</v>
      </c>
      <c r="D40" s="29" t="s">
        <v>528</v>
      </c>
      <c r="E40" s="29" t="s">
        <v>593</v>
      </c>
      <c r="F40" s="30">
        <v>966279500.63999999</v>
      </c>
      <c r="G40" s="31">
        <v>3.6897858147432641E-2</v>
      </c>
      <c r="H40" s="30">
        <v>4061956.9780545766</v>
      </c>
      <c r="I40" s="30">
        <v>31591686.967332192</v>
      </c>
      <c r="J40" s="125">
        <f t="shared" ref="J40:J73" si="7">F40*G40</f>
        <v>35653643.945386767</v>
      </c>
      <c r="K40" s="53" t="s">
        <v>81</v>
      </c>
      <c r="L40" s="109" t="s">
        <v>83</v>
      </c>
      <c r="M40" s="126">
        <f>VLOOKUP(L40,'РейтPD FRED Graph'!$R$4:$V$26,5,0)</f>
        <v>1.3647274556882657E-2</v>
      </c>
      <c r="N40" s="127">
        <f t="shared" si="4"/>
        <v>13187081.64392155</v>
      </c>
      <c r="O40" s="127">
        <f t="shared" si="5"/>
        <v>48840725.589308321</v>
      </c>
      <c r="Q40" s="130">
        <f t="shared" si="6"/>
        <v>0</v>
      </c>
    </row>
    <row r="41" spans="1:17" x14ac:dyDescent="0.25">
      <c r="A41" s="29" t="s">
        <v>42</v>
      </c>
      <c r="B41" s="29" t="s">
        <v>494</v>
      </c>
      <c r="C41" s="29" t="s">
        <v>157</v>
      </c>
      <c r="D41" s="29" t="s">
        <v>529</v>
      </c>
      <c r="E41" s="29" t="s">
        <v>594</v>
      </c>
      <c r="F41" s="30">
        <v>144499107.13999999</v>
      </c>
      <c r="G41" s="31">
        <v>3.6897858147432641E-2</v>
      </c>
      <c r="H41" s="30">
        <v>607432.0692731475</v>
      </c>
      <c r="I41" s="30">
        <v>4724275.4884092426</v>
      </c>
      <c r="J41" s="125">
        <f t="shared" si="7"/>
        <v>5331707.5576823903</v>
      </c>
      <c r="K41" s="53" t="s">
        <v>81</v>
      </c>
      <c r="L41" s="109" t="s">
        <v>83</v>
      </c>
      <c r="M41" s="126">
        <f>VLOOKUP(L41,'РейтPD FRED Graph'!$R$4:$V$26,5,0)</f>
        <v>1.3647274556882657E-2</v>
      </c>
      <c r="N41" s="127">
        <f t="shared" si="4"/>
        <v>1972018.9883639829</v>
      </c>
      <c r="O41" s="127">
        <f t="shared" si="5"/>
        <v>7303726.5460463734</v>
      </c>
      <c r="Q41" s="130">
        <f t="shared" si="6"/>
        <v>0</v>
      </c>
    </row>
    <row r="42" spans="1:17" x14ac:dyDescent="0.25">
      <c r="A42" s="29" t="s">
        <v>42</v>
      </c>
      <c r="B42" s="29" t="s">
        <v>494</v>
      </c>
      <c r="C42" s="29" t="s">
        <v>133</v>
      </c>
      <c r="D42" s="29" t="s">
        <v>530</v>
      </c>
      <c r="E42" s="29" t="s">
        <v>595</v>
      </c>
      <c r="F42" s="30">
        <v>378715620.01999998</v>
      </c>
      <c r="G42" s="31">
        <v>2.5445769658936176E-2</v>
      </c>
      <c r="H42" s="30">
        <v>968531.76115233975</v>
      </c>
      <c r="I42" s="30">
        <v>8668178.672117779</v>
      </c>
      <c r="J42" s="125">
        <f t="shared" si="7"/>
        <v>9636710.4332701173</v>
      </c>
      <c r="K42" s="53" t="s">
        <v>79</v>
      </c>
      <c r="L42" s="109" t="s">
        <v>79</v>
      </c>
      <c r="M42" s="126">
        <f>VLOOKUP(L42,'РейтPD FRED Graph'!$R$4:$V$26,5,0)</f>
        <v>4.3231037193945891E-3</v>
      </c>
      <c r="N42" s="127">
        <f t="shared" si="4"/>
        <v>1637226.9055012898</v>
      </c>
      <c r="O42" s="127">
        <f t="shared" si="5"/>
        <v>11273937.338771407</v>
      </c>
      <c r="Q42" s="130">
        <f t="shared" si="6"/>
        <v>-1.5133991837501526E-9</v>
      </c>
    </row>
    <row r="43" spans="1:17" x14ac:dyDescent="0.25">
      <c r="A43" s="29" t="s">
        <v>42</v>
      </c>
      <c r="B43" s="29" t="s">
        <v>494</v>
      </c>
      <c r="C43" s="29" t="s">
        <v>158</v>
      </c>
      <c r="D43" s="29" t="s">
        <v>531</v>
      </c>
      <c r="E43" s="29" t="s">
        <v>596</v>
      </c>
      <c r="F43" s="30">
        <v>1542344411.77</v>
      </c>
      <c r="G43" s="31">
        <v>3.3927692878581571E-2</v>
      </c>
      <c r="H43" s="30">
        <v>5259212.8780118423</v>
      </c>
      <c r="I43" s="30">
        <v>47068974.637517266</v>
      </c>
      <c r="J43" s="125">
        <f t="shared" si="7"/>
        <v>52328187.515529111</v>
      </c>
      <c r="K43" s="53" t="s">
        <v>79</v>
      </c>
      <c r="L43" s="109" t="s">
        <v>79</v>
      </c>
      <c r="M43" s="126">
        <f>VLOOKUP(L43,'РейтPD FRED Graph'!$R$4:$V$26,5,0)</f>
        <v>4.3231037193945891E-3</v>
      </c>
      <c r="N43" s="127">
        <f t="shared" si="4"/>
        <v>6667714.8631103467</v>
      </c>
      <c r="O43" s="127">
        <f t="shared" si="5"/>
        <v>58995902.37863946</v>
      </c>
      <c r="Q43" s="130">
        <f t="shared" si="6"/>
        <v>0</v>
      </c>
    </row>
    <row r="44" spans="1:17" x14ac:dyDescent="0.25">
      <c r="A44" s="29" t="s">
        <v>42</v>
      </c>
      <c r="B44" s="29" t="s">
        <v>494</v>
      </c>
      <c r="C44" s="29" t="s">
        <v>559</v>
      </c>
      <c r="D44" s="29" t="s">
        <v>532</v>
      </c>
      <c r="E44" s="29" t="s">
        <v>597</v>
      </c>
      <c r="F44" s="30">
        <v>1258983587.73</v>
      </c>
      <c r="G44" s="31">
        <v>1.0463168480298844E-2</v>
      </c>
      <c r="H44" s="30">
        <v>1084595.1045056579</v>
      </c>
      <c r="I44" s="30">
        <v>12088362.287844434</v>
      </c>
      <c r="J44" s="125">
        <f t="shared" si="7"/>
        <v>13172957.392350091</v>
      </c>
      <c r="K44" s="53" t="s">
        <v>75</v>
      </c>
      <c r="L44" s="109" t="s">
        <v>75</v>
      </c>
      <c r="M44" s="126">
        <f>VLOOKUP(L44,'РейтPD FRED Graph'!$R$4:$V$26,5,0)</f>
        <v>1.3367227501891068E-3</v>
      </c>
      <c r="N44" s="127">
        <f t="shared" si="4"/>
        <v>1682912.0038333943</v>
      </c>
      <c r="O44" s="127">
        <f t="shared" si="5"/>
        <v>14855869.396183485</v>
      </c>
      <c r="Q44" s="130">
        <f t="shared" si="6"/>
        <v>0</v>
      </c>
    </row>
    <row r="45" spans="1:17" x14ac:dyDescent="0.25">
      <c r="A45" s="29" t="s">
        <v>42</v>
      </c>
      <c r="B45" s="29" t="s">
        <v>494</v>
      </c>
      <c r="C45" s="29" t="s">
        <v>145</v>
      </c>
      <c r="D45" s="29" t="s">
        <v>533</v>
      </c>
      <c r="E45" s="29" t="s">
        <v>598</v>
      </c>
      <c r="F45" s="30">
        <v>1023733035.33</v>
      </c>
      <c r="G45" s="31">
        <v>2.5480795125555275E-2</v>
      </c>
      <c r="H45" s="30">
        <v>2428864.1001250888</v>
      </c>
      <c r="I45" s="30">
        <v>23656667.636381481</v>
      </c>
      <c r="J45" s="125">
        <f t="shared" si="7"/>
        <v>26085531.73650657</v>
      </c>
      <c r="K45" s="53" t="s">
        <v>77</v>
      </c>
      <c r="L45" s="109" t="s">
        <v>79</v>
      </c>
      <c r="M45" s="126">
        <f>VLOOKUP(L45,'РейтPD FRED Graph'!$R$4:$V$26,5,0)</f>
        <v>4.3231037193945891E-3</v>
      </c>
      <c r="N45" s="127">
        <f t="shared" si="4"/>
        <v>4425704.0927022351</v>
      </c>
      <c r="O45" s="127">
        <f t="shared" si="5"/>
        <v>30511235.829208806</v>
      </c>
      <c r="Q45" s="130">
        <f t="shared" si="6"/>
        <v>0</v>
      </c>
    </row>
    <row r="46" spans="1:17" x14ac:dyDescent="0.25">
      <c r="A46" s="29" t="s">
        <v>42</v>
      </c>
      <c r="B46" s="29" t="s">
        <v>494</v>
      </c>
      <c r="C46" s="29" t="s">
        <v>159</v>
      </c>
      <c r="D46" s="29" t="s">
        <v>534</v>
      </c>
      <c r="E46" s="29" t="s">
        <v>599</v>
      </c>
      <c r="F46" s="30">
        <v>503895057.08000004</v>
      </c>
      <c r="G46" s="31">
        <v>1.3950891307065127E-2</v>
      </c>
      <c r="H46" s="30">
        <v>578797.17937543488</v>
      </c>
      <c r="I46" s="30">
        <v>6450987.9921150235</v>
      </c>
      <c r="J46" s="125">
        <f t="shared" si="7"/>
        <v>7029785.1714904588</v>
      </c>
      <c r="K46" s="53" t="s">
        <v>75</v>
      </c>
      <c r="L46" s="109" t="s">
        <v>77</v>
      </c>
      <c r="M46" s="126">
        <f>VLOOKUP(L46,'РейтPD FRED Graph'!$R$4:$V$26,5,0)</f>
        <v>2.9499026019492382E-3</v>
      </c>
      <c r="N46" s="127">
        <f t="shared" si="4"/>
        <v>1486441.3399896519</v>
      </c>
      <c r="O46" s="127">
        <f t="shared" si="5"/>
        <v>8516226.5114801116</v>
      </c>
      <c r="Q46" s="130">
        <f t="shared" si="6"/>
        <v>0</v>
      </c>
    </row>
    <row r="47" spans="1:17" x14ac:dyDescent="0.25">
      <c r="A47" s="29" t="s">
        <v>42</v>
      </c>
      <c r="B47" s="29" t="s">
        <v>494</v>
      </c>
      <c r="C47" s="29" t="s">
        <v>559</v>
      </c>
      <c r="D47" s="29" t="s">
        <v>535</v>
      </c>
      <c r="E47" s="29" t="s">
        <v>600</v>
      </c>
      <c r="F47" s="30">
        <v>2101261921.9200001</v>
      </c>
      <c r="G47" s="31">
        <v>1.0463168480298844E-2</v>
      </c>
      <c r="H47" s="30">
        <v>1810205.0066496476</v>
      </c>
      <c r="I47" s="30">
        <v>20175652.503635868</v>
      </c>
      <c r="J47" s="125">
        <f t="shared" si="7"/>
        <v>21985857.510285515</v>
      </c>
      <c r="K47" s="53" t="s">
        <v>75</v>
      </c>
      <c r="L47" s="53" t="s">
        <v>75</v>
      </c>
      <c r="M47" s="126">
        <f>VLOOKUP(L47,'РейтPD FRED Graph'!$R$4:$V$26,5,0)</f>
        <v>1.3367227501891068E-3</v>
      </c>
      <c r="N47" s="127">
        <f t="shared" si="4"/>
        <v>2808804.6151365507</v>
      </c>
      <c r="O47" s="127">
        <f t="shared" si="5"/>
        <v>24794662.125422068</v>
      </c>
      <c r="Q47" s="130">
        <f t="shared" si="6"/>
        <v>0</v>
      </c>
    </row>
    <row r="48" spans="1:17" x14ac:dyDescent="0.25">
      <c r="A48" s="29" t="s">
        <v>42</v>
      </c>
      <c r="B48" s="29" t="s">
        <v>494</v>
      </c>
      <c r="C48" s="29" t="s">
        <v>160</v>
      </c>
      <c r="D48" s="29" t="s">
        <v>536</v>
      </c>
      <c r="E48" s="29" t="s">
        <v>601</v>
      </c>
      <c r="F48" s="30">
        <v>2096281694.6199999</v>
      </c>
      <c r="G48" s="31">
        <v>1.9110596344166456E-2</v>
      </c>
      <c r="H48" s="30">
        <v>3730159.5065045194</v>
      </c>
      <c r="I48" s="30">
        <v>36331033.783043511</v>
      </c>
      <c r="J48" s="125">
        <f t="shared" si="7"/>
        <v>40061193.289548032</v>
      </c>
      <c r="K48" s="53" t="s">
        <v>77</v>
      </c>
      <c r="L48" s="109" t="s">
        <v>79</v>
      </c>
      <c r="M48" s="126">
        <f>VLOOKUP(L48,'РейтPD FRED Graph'!$R$4:$V$26,5,0)</f>
        <v>4.3231037193945891E-3</v>
      </c>
      <c r="N48" s="127">
        <f t="shared" si="4"/>
        <v>9062443.1909105144</v>
      </c>
      <c r="O48" s="127">
        <f t="shared" si="5"/>
        <v>49123636.480458543</v>
      </c>
      <c r="Q48" s="130">
        <f t="shared" si="6"/>
        <v>0</v>
      </c>
    </row>
    <row r="49" spans="1:17" x14ac:dyDescent="0.25">
      <c r="A49" s="29" t="s">
        <v>42</v>
      </c>
      <c r="B49" s="29" t="s">
        <v>494</v>
      </c>
      <c r="C49" s="29" t="s">
        <v>341</v>
      </c>
      <c r="D49" s="29" t="s">
        <v>537</v>
      </c>
      <c r="E49" s="29" t="s">
        <v>602</v>
      </c>
      <c r="F49" s="30">
        <v>626963670.63999999</v>
      </c>
      <c r="G49" s="31">
        <v>5.8927158902003771E-2</v>
      </c>
      <c r="H49" s="30">
        <v>5248536.8962915326</v>
      </c>
      <c r="I49" s="30">
        <v>31696650.949295305</v>
      </c>
      <c r="J49" s="125">
        <f t="shared" si="7"/>
        <v>36945187.845586836</v>
      </c>
      <c r="K49" s="53" t="s">
        <v>83</v>
      </c>
      <c r="L49" s="109" t="s">
        <v>83</v>
      </c>
      <c r="M49" s="126">
        <f>VLOOKUP(L49,'РейтPD FRED Graph'!$R$4:$V$26,5,0)</f>
        <v>1.3647274556882657E-2</v>
      </c>
      <c r="N49" s="127">
        <f t="shared" si="4"/>
        <v>8556345.3504150305</v>
      </c>
      <c r="O49" s="127">
        <f t="shared" si="5"/>
        <v>45501533.196001865</v>
      </c>
      <c r="Q49" s="130">
        <f t="shared" si="6"/>
        <v>0</v>
      </c>
    </row>
    <row r="50" spans="1:17" x14ac:dyDescent="0.25">
      <c r="A50" s="29" t="s">
        <v>42</v>
      </c>
      <c r="B50" s="29" t="s">
        <v>494</v>
      </c>
      <c r="C50" s="29" t="s">
        <v>148</v>
      </c>
      <c r="D50" s="29" t="s">
        <v>538</v>
      </c>
      <c r="E50" s="29" t="s">
        <v>603</v>
      </c>
      <c r="F50" s="30">
        <v>1456378446.98</v>
      </c>
      <c r="G50" s="31">
        <v>1.0463168480298844E-2</v>
      </c>
      <c r="H50" s="30">
        <v>1254647.7565685436</v>
      </c>
      <c r="I50" s="30">
        <v>13983685.305259174</v>
      </c>
      <c r="J50" s="125">
        <f t="shared" si="7"/>
        <v>15238333.061827717</v>
      </c>
      <c r="K50" s="53" t="s">
        <v>75</v>
      </c>
      <c r="L50" s="109" t="s">
        <v>75</v>
      </c>
      <c r="M50" s="126">
        <f>VLOOKUP(L50,'РейтPD FRED Graph'!$R$4:$V$26,5,0)</f>
        <v>1.3367227501891068E-3</v>
      </c>
      <c r="N50" s="127">
        <f t="shared" si="4"/>
        <v>1946774.202963246</v>
      </c>
      <c r="O50" s="127">
        <f t="shared" si="5"/>
        <v>17185107.264790963</v>
      </c>
      <c r="Q50" s="130">
        <f t="shared" si="6"/>
        <v>0</v>
      </c>
    </row>
    <row r="51" spans="1:17" x14ac:dyDescent="0.25">
      <c r="A51" s="29" t="s">
        <v>42</v>
      </c>
      <c r="B51" s="29" t="s">
        <v>494</v>
      </c>
      <c r="C51" s="29" t="s">
        <v>201</v>
      </c>
      <c r="D51" s="29" t="s">
        <v>539</v>
      </c>
      <c r="E51" s="29" t="s">
        <v>604</v>
      </c>
      <c r="F51" s="30">
        <v>1521419750.4200001</v>
      </c>
      <c r="G51" s="31">
        <v>1.0463168480298844E-2</v>
      </c>
      <c r="H51" s="30">
        <v>1310679.8446665972</v>
      </c>
      <c r="I51" s="30">
        <v>14608191.333232082</v>
      </c>
      <c r="J51" s="125">
        <f t="shared" si="7"/>
        <v>15918871.177898679</v>
      </c>
      <c r="K51" s="53" t="s">
        <v>75</v>
      </c>
      <c r="L51" s="109" t="s">
        <v>75</v>
      </c>
      <c r="M51" s="126">
        <f>VLOOKUP(L51,'РейтPD FRED Graph'!$R$4:$V$26,5,0)</f>
        <v>1.3367227501891068E-3</v>
      </c>
      <c r="N51" s="127">
        <f t="shared" si="4"/>
        <v>2033716.392973447</v>
      </c>
      <c r="O51" s="127">
        <f t="shared" si="5"/>
        <v>17952587.570872124</v>
      </c>
      <c r="Q51" s="130">
        <f t="shared" si="6"/>
        <v>0</v>
      </c>
    </row>
    <row r="52" spans="1:17" x14ac:dyDescent="0.25">
      <c r="A52" s="29" t="s">
        <v>42</v>
      </c>
      <c r="B52" s="29" t="s">
        <v>494</v>
      </c>
      <c r="C52" s="29" t="s">
        <v>146</v>
      </c>
      <c r="D52" s="29" t="s">
        <v>540</v>
      </c>
      <c r="E52" s="29" t="s">
        <v>605</v>
      </c>
      <c r="F52" s="30">
        <v>309712370.13</v>
      </c>
      <c r="G52" s="31">
        <v>2.5480795125555275E-2</v>
      </c>
      <c r="H52" s="30">
        <v>734809.98581912869</v>
      </c>
      <c r="I52" s="30">
        <v>7156907.4653135454</v>
      </c>
      <c r="J52" s="125">
        <f t="shared" si="7"/>
        <v>7891717.4511326747</v>
      </c>
      <c r="K52" s="53" t="s">
        <v>77</v>
      </c>
      <c r="L52" s="53" t="s">
        <v>79</v>
      </c>
      <c r="M52" s="126">
        <f>VLOOKUP(L52,'РейтPD FRED Graph'!$R$4:$V$26,5,0)</f>
        <v>4.3231037193945891E-3</v>
      </c>
      <c r="N52" s="127">
        <f t="shared" si="4"/>
        <v>1338918.6992515165</v>
      </c>
      <c r="O52" s="127">
        <f t="shared" si="5"/>
        <v>9230636.1503841914</v>
      </c>
      <c r="Q52" s="130">
        <f t="shared" si="6"/>
        <v>0</v>
      </c>
    </row>
    <row r="53" spans="1:17" x14ac:dyDescent="0.25">
      <c r="A53" s="29" t="s">
        <v>42</v>
      </c>
      <c r="B53" s="29" t="s">
        <v>494</v>
      </c>
      <c r="C53" s="29" t="s">
        <v>156</v>
      </c>
      <c r="D53" s="29" t="s">
        <v>541</v>
      </c>
      <c r="E53" s="29" t="s">
        <v>606</v>
      </c>
      <c r="F53" s="30">
        <v>1303120000</v>
      </c>
      <c r="G53" s="31">
        <v>7.6645829511292583E-3</v>
      </c>
      <c r="H53" s="30">
        <v>752152.09216080606</v>
      </c>
      <c r="I53" s="30">
        <v>9235719.2431147527</v>
      </c>
      <c r="J53" s="125">
        <f t="shared" si="7"/>
        <v>9987871.3352755588</v>
      </c>
      <c r="K53" s="53" t="s">
        <v>71</v>
      </c>
      <c r="L53" s="109" t="s">
        <v>71</v>
      </c>
      <c r="M53" s="126">
        <f>VLOOKUP(L53,'РейтPD FRED Graph'!$R$4:$V$26,5,0)</f>
        <v>6.1642390567728691E-4</v>
      </c>
      <c r="N53" s="127">
        <f t="shared" si="4"/>
        <v>803274.31996618607</v>
      </c>
      <c r="O53" s="127">
        <f t="shared" si="5"/>
        <v>10791145.655241745</v>
      </c>
      <c r="Q53" s="130">
        <f t="shared" si="6"/>
        <v>0</v>
      </c>
    </row>
    <row r="54" spans="1:17" x14ac:dyDescent="0.25">
      <c r="A54" s="29" t="s">
        <v>42</v>
      </c>
      <c r="B54" s="29" t="s">
        <v>494</v>
      </c>
      <c r="C54" s="29" t="s">
        <v>139</v>
      </c>
      <c r="D54" s="29" t="s">
        <v>542</v>
      </c>
      <c r="E54" s="29" t="s">
        <v>607</v>
      </c>
      <c r="F54" s="30">
        <v>645669984.65999997</v>
      </c>
      <c r="G54" s="31">
        <v>5.8927158902003771E-2</v>
      </c>
      <c r="H54" s="30">
        <v>5405134.1345770666</v>
      </c>
      <c r="I54" s="30">
        <v>32642363.64973709</v>
      </c>
      <c r="J54" s="125">
        <f t="shared" si="7"/>
        <v>38047497.784314156</v>
      </c>
      <c r="K54" s="53" t="s">
        <v>83</v>
      </c>
      <c r="L54" s="109" t="s">
        <v>83</v>
      </c>
      <c r="M54" s="126">
        <f>VLOOKUP(L54,'РейтPD FRED Graph'!$R$4:$V$26,5,0)</f>
        <v>1.3647274556882657E-2</v>
      </c>
      <c r="N54" s="127">
        <f t="shared" si="4"/>
        <v>8811635.5537932329</v>
      </c>
      <c r="O54" s="127">
        <f t="shared" si="5"/>
        <v>46859133.338107392</v>
      </c>
      <c r="Q54" s="130">
        <f t="shared" si="6"/>
        <v>0</v>
      </c>
    </row>
    <row r="55" spans="1:17" x14ac:dyDescent="0.25">
      <c r="A55" s="29" t="s">
        <v>42</v>
      </c>
      <c r="B55" s="29" t="s">
        <v>494</v>
      </c>
      <c r="C55" s="29" t="s">
        <v>161</v>
      </c>
      <c r="D55" s="29" t="s">
        <v>543</v>
      </c>
      <c r="E55" s="29" t="s">
        <v>608</v>
      </c>
      <c r="F55" s="30">
        <v>168819876.21000001</v>
      </c>
      <c r="G55" s="31">
        <v>2.5445769658936176E-2</v>
      </c>
      <c r="H55" s="30">
        <v>431741.9281902248</v>
      </c>
      <c r="I55" s="30">
        <v>3864009.7556995549</v>
      </c>
      <c r="J55" s="125">
        <f t="shared" si="7"/>
        <v>4295751.6838897793</v>
      </c>
      <c r="K55" s="53" t="s">
        <v>79</v>
      </c>
      <c r="L55" s="109" t="s">
        <v>79</v>
      </c>
      <c r="M55" s="126">
        <f>VLOOKUP(L55,'РейтPD FRED Graph'!$R$4:$V$26,5,0)</f>
        <v>4.3231037193945891E-3</v>
      </c>
      <c r="N55" s="127">
        <f t="shared" si="4"/>
        <v>729825.83475118515</v>
      </c>
      <c r="O55" s="127">
        <f t="shared" si="5"/>
        <v>5025577.5186409643</v>
      </c>
      <c r="Q55" s="130">
        <f t="shared" si="6"/>
        <v>-4.6566128730773926E-10</v>
      </c>
    </row>
    <row r="56" spans="1:17" x14ac:dyDescent="0.25">
      <c r="A56" s="29" t="s">
        <v>42</v>
      </c>
      <c r="B56" s="29" t="s">
        <v>494</v>
      </c>
      <c r="C56" s="29" t="s">
        <v>162</v>
      </c>
      <c r="D56" s="29" t="s">
        <v>544</v>
      </c>
      <c r="E56" s="29" t="s">
        <v>609</v>
      </c>
      <c r="F56" s="30">
        <v>1046647445.45</v>
      </c>
      <c r="G56" s="31">
        <v>1.0463168480298844E-2</v>
      </c>
      <c r="H56" s="30">
        <v>901670.76564136567</v>
      </c>
      <c r="I56" s="30">
        <v>10049577.795576379</v>
      </c>
      <c r="J56" s="125">
        <f t="shared" si="7"/>
        <v>10951248.561217744</v>
      </c>
      <c r="K56" s="53" t="s">
        <v>75</v>
      </c>
      <c r="L56" s="109" t="s">
        <v>77</v>
      </c>
      <c r="M56" s="126">
        <f>VLOOKUP(L56,'РейтPD FRED Graph'!$R$4:$V$26,5,0)</f>
        <v>2.9499026019492382E-3</v>
      </c>
      <c r="N56" s="127">
        <f t="shared" si="4"/>
        <v>3087508.0226564785</v>
      </c>
      <c r="O56" s="127">
        <f t="shared" si="5"/>
        <v>14038756.583874222</v>
      </c>
      <c r="Q56" s="130">
        <f t="shared" si="6"/>
        <v>0</v>
      </c>
    </row>
    <row r="57" spans="1:17" x14ac:dyDescent="0.25">
      <c r="A57" s="29" t="s">
        <v>42</v>
      </c>
      <c r="B57" s="29" t="s">
        <v>494</v>
      </c>
      <c r="C57" s="29" t="s">
        <v>231</v>
      </c>
      <c r="D57" s="29" t="s">
        <v>545</v>
      </c>
      <c r="E57" s="29" t="s">
        <v>610</v>
      </c>
      <c r="F57" s="30">
        <v>317016076.52999997</v>
      </c>
      <c r="G57" s="31">
        <v>2.5445769658936176E-2</v>
      </c>
      <c r="H57" s="30">
        <v>810740.62616955431</v>
      </c>
      <c r="I57" s="30">
        <v>7255977.4353925083</v>
      </c>
      <c r="J57" s="125">
        <f t="shared" si="7"/>
        <v>8066718.0615620622</v>
      </c>
      <c r="K57" s="53" t="s">
        <v>79</v>
      </c>
      <c r="L57" s="109" t="s">
        <v>79</v>
      </c>
      <c r="M57" s="126">
        <f>VLOOKUP(L57,'РейтPD FRED Graph'!$R$4:$V$26,5,0)</f>
        <v>4.3231037193945891E-3</v>
      </c>
      <c r="N57" s="127">
        <f t="shared" si="4"/>
        <v>1370493.3795547225</v>
      </c>
      <c r="O57" s="127">
        <f t="shared" si="5"/>
        <v>9437211.4411167838</v>
      </c>
      <c r="Q57" s="130">
        <f t="shared" si="6"/>
        <v>0</v>
      </c>
    </row>
    <row r="58" spans="1:17" x14ac:dyDescent="0.25">
      <c r="A58" s="29" t="s">
        <v>42</v>
      </c>
      <c r="B58" s="29" t="s">
        <v>494</v>
      </c>
      <c r="C58" s="29" t="s">
        <v>231</v>
      </c>
      <c r="D58" s="29" t="s">
        <v>546</v>
      </c>
      <c r="E58" s="29" t="s">
        <v>611</v>
      </c>
      <c r="F58" s="30">
        <v>211520075.33000001</v>
      </c>
      <c r="G58" s="31">
        <v>2.5445769658936176E-2</v>
      </c>
      <c r="H58" s="30">
        <v>540943.91741122701</v>
      </c>
      <c r="I58" s="30">
        <v>4841347.1976767825</v>
      </c>
      <c r="J58" s="125">
        <f t="shared" si="7"/>
        <v>5382291.1150880083</v>
      </c>
      <c r="K58" s="53" t="s">
        <v>79</v>
      </c>
      <c r="L58" s="109" t="s">
        <v>79</v>
      </c>
      <c r="M58" s="126">
        <f>VLOOKUP(L58,'РейтPD FRED Graph'!$R$4:$V$26,5,0)</f>
        <v>4.3231037193945891E-3</v>
      </c>
      <c r="N58" s="127">
        <f t="shared" si="4"/>
        <v>914423.22438574675</v>
      </c>
      <c r="O58" s="127">
        <f t="shared" si="5"/>
        <v>6296714.3394737551</v>
      </c>
      <c r="Q58" s="130">
        <f t="shared" si="6"/>
        <v>-1.1641532182693481E-9</v>
      </c>
    </row>
    <row r="59" spans="1:17" x14ac:dyDescent="0.25">
      <c r="A59" s="29" t="s">
        <v>42</v>
      </c>
      <c r="B59" s="29" t="s">
        <v>494</v>
      </c>
      <c r="C59" s="29" t="s">
        <v>145</v>
      </c>
      <c r="D59" s="29" t="s">
        <v>547</v>
      </c>
      <c r="E59" s="29" t="s">
        <v>612</v>
      </c>
      <c r="F59" s="30">
        <v>963622600</v>
      </c>
      <c r="G59" s="31">
        <v>2.5480795125555275E-2</v>
      </c>
      <c r="H59" s="30">
        <v>2286248.7176207379</v>
      </c>
      <c r="I59" s="30">
        <v>22267621.331334163</v>
      </c>
      <c r="J59" s="125">
        <f t="shared" si="7"/>
        <v>24553870.0489549</v>
      </c>
      <c r="K59" s="53" t="s">
        <v>77</v>
      </c>
      <c r="L59" s="109" t="s">
        <v>79</v>
      </c>
      <c r="M59" s="126">
        <f>VLOOKUP(L59,'РейтPD FRED Graph'!$R$4:$V$26,5,0)</f>
        <v>4.3231037193945891E-3</v>
      </c>
      <c r="N59" s="127">
        <f t="shared" si="4"/>
        <v>4165840.4461526843</v>
      </c>
      <c r="O59" s="127">
        <f t="shared" si="5"/>
        <v>28719710.495107584</v>
      </c>
      <c r="Q59" s="130">
        <f t="shared" si="6"/>
        <v>0</v>
      </c>
    </row>
    <row r="60" spans="1:17" x14ac:dyDescent="0.25">
      <c r="A60" s="29" t="s">
        <v>42</v>
      </c>
      <c r="B60" s="29" t="s">
        <v>494</v>
      </c>
      <c r="C60" s="29" t="s">
        <v>465</v>
      </c>
      <c r="D60" s="29" t="s">
        <v>548</v>
      </c>
      <c r="E60" s="29" t="s">
        <v>613</v>
      </c>
      <c r="F60" s="30">
        <v>318983659.14999998</v>
      </c>
      <c r="G60" s="31">
        <v>1.0463168480298844E-2</v>
      </c>
      <c r="H60" s="30">
        <v>274799.54345964611</v>
      </c>
      <c r="I60" s="30">
        <v>3062780.2246890236</v>
      </c>
      <c r="J60" s="125">
        <f t="shared" si="7"/>
        <v>3337579.76814867</v>
      </c>
      <c r="K60" s="53" t="s">
        <v>75</v>
      </c>
      <c r="L60" s="109" t="s">
        <v>77</v>
      </c>
      <c r="M60" s="126">
        <f>VLOOKUP(L60,'РейтPD FRED Graph'!$R$4:$V$26,5,0)</f>
        <v>2.9499026019492382E-3</v>
      </c>
      <c r="N60" s="127">
        <f t="shared" si="4"/>
        <v>940970.72610587382</v>
      </c>
      <c r="O60" s="127">
        <f t="shared" si="5"/>
        <v>4278550.4942545434</v>
      </c>
      <c r="Q60" s="130">
        <f t="shared" si="6"/>
        <v>0</v>
      </c>
    </row>
    <row r="61" spans="1:17" x14ac:dyDescent="0.25">
      <c r="A61" s="29" t="s">
        <v>42</v>
      </c>
      <c r="B61" s="29" t="s">
        <v>494</v>
      </c>
      <c r="C61" s="29" t="s">
        <v>479</v>
      </c>
      <c r="D61" s="29" t="s">
        <v>549</v>
      </c>
      <c r="E61" s="29" t="s">
        <v>614</v>
      </c>
      <c r="F61" s="30">
        <v>506350270</v>
      </c>
      <c r="G61" s="31">
        <v>5.8927158902003771E-2</v>
      </c>
      <c r="H61" s="30">
        <v>4238839.0252808789</v>
      </c>
      <c r="I61" s="30">
        <v>25598943.795081634</v>
      </c>
      <c r="J61" s="125">
        <f t="shared" si="7"/>
        <v>29837782.820362512</v>
      </c>
      <c r="K61" s="53" t="s">
        <v>83</v>
      </c>
      <c r="L61" s="109" t="s">
        <v>85</v>
      </c>
      <c r="M61" s="126">
        <f>VLOOKUP(L61,'РейтPD FRED Graph'!$R$4:$V$26,5,0)</f>
        <v>2.0239437618496649E-2</v>
      </c>
      <c r="N61" s="127">
        <f t="shared" si="4"/>
        <v>10248244.702773934</v>
      </c>
      <c r="O61" s="127">
        <f t="shared" si="5"/>
        <v>40086027.523136444</v>
      </c>
      <c r="Q61" s="130">
        <f t="shared" si="6"/>
        <v>0</v>
      </c>
    </row>
    <row r="62" spans="1:17" x14ac:dyDescent="0.25">
      <c r="A62" s="29" t="s">
        <v>42</v>
      </c>
      <c r="B62" s="29" t="s">
        <v>494</v>
      </c>
      <c r="C62" s="29" t="s">
        <v>480</v>
      </c>
      <c r="D62" s="29" t="s">
        <v>550</v>
      </c>
      <c r="E62" s="29" t="s">
        <v>615</v>
      </c>
      <c r="F62" s="30">
        <v>4039734545.4499998</v>
      </c>
      <c r="G62" s="31">
        <v>4.919714419657685E-2</v>
      </c>
      <c r="H62" s="30">
        <v>22642486.520736311</v>
      </c>
      <c r="I62" s="30">
        <v>176100916.42766017</v>
      </c>
      <c r="J62" s="125">
        <f t="shared" si="7"/>
        <v>198743402.94839647</v>
      </c>
      <c r="K62" s="53" t="s">
        <v>81</v>
      </c>
      <c r="L62" s="109" t="s">
        <v>81</v>
      </c>
      <c r="M62" s="126">
        <f>VLOOKUP(L62,'РейтPD FRED Graph'!$R$4:$V$26,5,0)</f>
        <v>7.1516069880933021E-3</v>
      </c>
      <c r="N62" s="127">
        <f t="shared" si="4"/>
        <v>28890593.805282138</v>
      </c>
      <c r="O62" s="127">
        <f t="shared" si="5"/>
        <v>227633996.75367862</v>
      </c>
      <c r="Q62" s="130">
        <f t="shared" si="6"/>
        <v>0</v>
      </c>
    </row>
    <row r="63" spans="1:17" x14ac:dyDescent="0.25">
      <c r="A63" s="29" t="s">
        <v>42</v>
      </c>
      <c r="B63" s="29" t="s">
        <v>494</v>
      </c>
      <c r="C63" s="29" t="s">
        <v>480</v>
      </c>
      <c r="D63" s="29" t="s">
        <v>551</v>
      </c>
      <c r="E63" s="29" t="s">
        <v>616</v>
      </c>
      <c r="F63" s="30">
        <v>1016443975.66</v>
      </c>
      <c r="G63" s="31">
        <v>4.919714419657685E-2</v>
      </c>
      <c r="H63" s="30">
        <v>5697111.7183645237</v>
      </c>
      <c r="I63" s="30">
        <v>44309029.119922347</v>
      </c>
      <c r="J63" s="125">
        <f t="shared" si="7"/>
        <v>50006140.838286869</v>
      </c>
      <c r="K63" s="53" t="s">
        <v>81</v>
      </c>
      <c r="L63" s="109" t="s">
        <v>81</v>
      </c>
      <c r="M63" s="126">
        <f>VLOOKUP(L63,'РейтPD FRED Graph'!$R$4:$V$26,5,0)</f>
        <v>7.1516069880933021E-3</v>
      </c>
      <c r="N63" s="127">
        <f t="shared" si="4"/>
        <v>7269207.8393353941</v>
      </c>
      <c r="O63" s="127">
        <f t="shared" si="5"/>
        <v>57275348.677622266</v>
      </c>
      <c r="Q63" s="130">
        <f t="shared" si="6"/>
        <v>0</v>
      </c>
    </row>
    <row r="64" spans="1:17" x14ac:dyDescent="0.25">
      <c r="A64" s="29" t="s">
        <v>42</v>
      </c>
      <c r="B64" s="29" t="s">
        <v>447</v>
      </c>
      <c r="C64" s="29" t="s">
        <v>163</v>
      </c>
      <c r="D64" s="29" t="s">
        <v>552</v>
      </c>
      <c r="E64" s="29" t="s">
        <v>617</v>
      </c>
      <c r="F64" s="30">
        <v>773032871.57999992</v>
      </c>
      <c r="G64" s="31">
        <v>1.0463168480298844E-2</v>
      </c>
      <c r="H64" s="30">
        <v>665955.99522416247</v>
      </c>
      <c r="I64" s="30">
        <v>7422417.1809265977</v>
      </c>
      <c r="J64" s="125">
        <f t="shared" si="7"/>
        <v>8088373.1761507597</v>
      </c>
      <c r="K64" s="53" t="s">
        <v>75</v>
      </c>
      <c r="L64" s="109" t="s">
        <v>77</v>
      </c>
      <c r="M64" s="126">
        <f>VLOOKUP(L64,'РейтPD FRED Graph'!$R$4:$V$26,5,0)</f>
        <v>2.9499026019492382E-3</v>
      </c>
      <c r="N64" s="127">
        <f t="shared" si="4"/>
        <v>2280371.6792661329</v>
      </c>
      <c r="O64" s="127">
        <f t="shared" si="5"/>
        <v>10368744.855416892</v>
      </c>
      <c r="Q64" s="130">
        <f t="shared" si="6"/>
        <v>0</v>
      </c>
    </row>
    <row r="65" spans="1:17" x14ac:dyDescent="0.25">
      <c r="A65" s="29" t="s">
        <v>42</v>
      </c>
      <c r="B65" s="29" t="s">
        <v>495</v>
      </c>
      <c r="C65" s="29" t="s">
        <v>163</v>
      </c>
      <c r="D65" s="29" t="s">
        <v>553</v>
      </c>
      <c r="E65" s="29" t="s">
        <v>618</v>
      </c>
      <c r="F65" s="30">
        <v>985618850.72000003</v>
      </c>
      <c r="G65" s="31">
        <v>1.0463168480298844E-2</v>
      </c>
      <c r="H65" s="30">
        <v>849095.56472205627</v>
      </c>
      <c r="I65" s="30">
        <v>9463600.5277198199</v>
      </c>
      <c r="J65" s="125">
        <f t="shared" si="7"/>
        <v>10312696.092441875</v>
      </c>
      <c r="K65" s="53" t="s">
        <v>75</v>
      </c>
      <c r="L65" s="109" t="s">
        <v>77</v>
      </c>
      <c r="M65" s="126">
        <f>VLOOKUP(L65,'РейтPD FRED Graph'!$R$4:$V$26,5,0)</f>
        <v>2.9499026019492382E-3</v>
      </c>
      <c r="N65" s="127">
        <f t="shared" si="4"/>
        <v>2907479.6122691459</v>
      </c>
      <c r="O65" s="127">
        <f t="shared" si="5"/>
        <v>13220175.704711022</v>
      </c>
      <c r="Q65" s="130">
        <f t="shared" si="6"/>
        <v>0</v>
      </c>
    </row>
    <row r="66" spans="1:17" x14ac:dyDescent="0.25">
      <c r="A66" s="29" t="s">
        <v>492</v>
      </c>
      <c r="B66" s="29" t="s">
        <v>493</v>
      </c>
      <c r="C66" s="29" t="s">
        <v>137</v>
      </c>
      <c r="D66" s="29" t="s">
        <v>499</v>
      </c>
      <c r="E66" s="29" t="s">
        <v>564</v>
      </c>
      <c r="F66" s="30">
        <v>663537574.08000004</v>
      </c>
      <c r="G66" s="31">
        <v>3.3927692878581571E-2</v>
      </c>
      <c r="H66" s="30">
        <v>2262585.0153932204</v>
      </c>
      <c r="I66" s="30">
        <v>20249714.01139209</v>
      </c>
      <c r="J66" s="125">
        <f t="shared" si="7"/>
        <v>22512299.02678531</v>
      </c>
      <c r="K66" s="53" t="s">
        <v>79</v>
      </c>
      <c r="L66" s="109" t="s">
        <v>81</v>
      </c>
      <c r="M66" s="126">
        <f>VLOOKUP(L66,'РейтPD FRED Graph'!$R$4:$V$26,5,0)</f>
        <v>7.1516069880933021E-3</v>
      </c>
      <c r="N66" s="127">
        <f t="shared" ref="N66:N67" si="8">M66*F66</f>
        <v>4745359.9516530056</v>
      </c>
      <c r="O66" s="127">
        <f t="shared" ref="O66:O67" si="9">N66+J66</f>
        <v>27257658.978438318</v>
      </c>
      <c r="Q66" s="130">
        <f t="shared" si="6"/>
        <v>0</v>
      </c>
    </row>
    <row r="67" spans="1:17" x14ac:dyDescent="0.25">
      <c r="A67" s="29" t="s">
        <v>492</v>
      </c>
      <c r="B67" s="29" t="s">
        <v>493</v>
      </c>
      <c r="C67" s="29" t="s">
        <v>560</v>
      </c>
      <c r="D67" s="29" t="s">
        <v>554</v>
      </c>
      <c r="E67" s="29" t="s">
        <v>583</v>
      </c>
      <c r="F67" s="30">
        <v>736821710.57476091</v>
      </c>
      <c r="G67" s="31">
        <v>4.919714419657685E-2</v>
      </c>
      <c r="H67" s="30">
        <v>4129844.5385887269</v>
      </c>
      <c r="I67" s="30">
        <v>32119679.403726202</v>
      </c>
      <c r="J67" s="125">
        <f t="shared" si="7"/>
        <v>36249523.942314923</v>
      </c>
      <c r="K67" s="53" t="s">
        <v>81</v>
      </c>
      <c r="L67" s="109" t="s">
        <v>83</v>
      </c>
      <c r="M67" s="126">
        <f>VLOOKUP(L67,'РейтPD FRED Graph'!$R$4:$V$26,5,0)</f>
        <v>1.3647274556882657E-2</v>
      </c>
      <c r="N67" s="127">
        <f t="shared" si="8"/>
        <v>10055608.183685692</v>
      </c>
      <c r="O67" s="127">
        <f t="shared" si="9"/>
        <v>46305132.126000613</v>
      </c>
      <c r="Q67" s="130">
        <f t="shared" si="6"/>
        <v>-5.5879354476928711E-9</v>
      </c>
    </row>
    <row r="68" spans="1:17" x14ac:dyDescent="0.25">
      <c r="A68" s="29" t="s">
        <v>492</v>
      </c>
      <c r="B68" s="29" t="s">
        <v>493</v>
      </c>
      <c r="C68" s="29" t="s">
        <v>560</v>
      </c>
      <c r="D68" s="29" t="s">
        <v>554</v>
      </c>
      <c r="E68" s="29" t="s">
        <v>619</v>
      </c>
      <c r="F68" s="30">
        <v>81405618.75</v>
      </c>
      <c r="G68" s="31">
        <v>4.919714419657685E-2</v>
      </c>
      <c r="H68" s="30">
        <v>456273.9468451264</v>
      </c>
      <c r="I68" s="30">
        <v>3548650.0172101841</v>
      </c>
      <c r="J68" s="125">
        <f t="shared" si="7"/>
        <v>4004923.96405531</v>
      </c>
      <c r="K68" s="53" t="s">
        <v>81</v>
      </c>
      <c r="L68" s="109" t="s">
        <v>83</v>
      </c>
      <c r="M68" s="126">
        <f>VLOOKUP(L68,'РейтPD FRED Graph'!$R$4:$V$26,5,0)</f>
        <v>1.3647274556882657E-2</v>
      </c>
      <c r="N68" s="127">
        <f t="shared" ref="N68:N71" si="10">M68*F68</f>
        <v>1110964.8295541648</v>
      </c>
      <c r="O68" s="127">
        <f t="shared" ref="O68:O71" si="11">N68+J68</f>
        <v>5115888.7936094748</v>
      </c>
      <c r="Q68" s="130">
        <f t="shared" si="6"/>
        <v>-5.2386894822120667E-10</v>
      </c>
    </row>
    <row r="69" spans="1:17" x14ac:dyDescent="0.25">
      <c r="A69" s="29" t="s">
        <v>492</v>
      </c>
      <c r="B69" s="29" t="s">
        <v>493</v>
      </c>
      <c r="C69" s="29" t="s">
        <v>145</v>
      </c>
      <c r="D69" s="29" t="s">
        <v>505</v>
      </c>
      <c r="E69" s="29" t="s">
        <v>570</v>
      </c>
      <c r="F69" s="30">
        <v>778252658.45249999</v>
      </c>
      <c r="G69" s="31">
        <v>2.5480795125555275E-2</v>
      </c>
      <c r="H69" s="30">
        <v>1846448.124371469</v>
      </c>
      <c r="I69" s="30">
        <v>17984048.421575427</v>
      </c>
      <c r="J69" s="125">
        <f t="shared" si="7"/>
        <v>19830496.545946896</v>
      </c>
      <c r="K69" s="53" t="s">
        <v>77</v>
      </c>
      <c r="L69" s="109" t="s">
        <v>79</v>
      </c>
      <c r="M69" s="126">
        <f>VLOOKUP(L69,'РейтPD FRED Graph'!$R$4:$V$26,5,0)</f>
        <v>4.3231037193945891E-3</v>
      </c>
      <c r="N69" s="127">
        <f t="shared" si="10"/>
        <v>3364466.9623847296</v>
      </c>
      <c r="O69" s="127">
        <f t="shared" si="11"/>
        <v>23194963.508331627</v>
      </c>
      <c r="Q69" s="130">
        <f t="shared" si="6"/>
        <v>0</v>
      </c>
    </row>
    <row r="70" spans="1:17" x14ac:dyDescent="0.25">
      <c r="A70" s="29" t="s">
        <v>492</v>
      </c>
      <c r="B70" s="29" t="s">
        <v>493</v>
      </c>
      <c r="C70" s="29" t="s">
        <v>138</v>
      </c>
      <c r="D70" s="29" t="s">
        <v>555</v>
      </c>
      <c r="E70" s="29" t="s">
        <v>584</v>
      </c>
      <c r="F70" s="30">
        <v>305238581.65200001</v>
      </c>
      <c r="G70" s="31">
        <v>4.919714419657685E-2</v>
      </c>
      <c r="H70" s="30">
        <v>1710845.2035415114</v>
      </c>
      <c r="I70" s="30">
        <v>13306021.31235053</v>
      </c>
      <c r="J70" s="125">
        <f t="shared" si="7"/>
        <v>15016866.515892042</v>
      </c>
      <c r="K70" s="53" t="s">
        <v>81</v>
      </c>
      <c r="L70" s="109" t="s">
        <v>83</v>
      </c>
      <c r="M70" s="126">
        <f>VLOOKUP(L70,'РейтPD FRED Graph'!$R$4:$V$26,5,0)</f>
        <v>1.3647274556882657E-2</v>
      </c>
      <c r="N70" s="127">
        <f t="shared" si="10"/>
        <v>4165674.7291582893</v>
      </c>
      <c r="O70" s="127">
        <f t="shared" si="11"/>
        <v>19182541.24505033</v>
      </c>
      <c r="Q70" s="130">
        <f t="shared" si="6"/>
        <v>0</v>
      </c>
    </row>
    <row r="71" spans="1:17" x14ac:dyDescent="0.25">
      <c r="A71" s="29" t="s">
        <v>492</v>
      </c>
      <c r="B71" s="29" t="s">
        <v>493</v>
      </c>
      <c r="C71" s="29" t="s">
        <v>105</v>
      </c>
      <c r="D71" s="29" t="s">
        <v>556</v>
      </c>
      <c r="E71" s="29" t="s">
        <v>620</v>
      </c>
      <c r="F71" s="30">
        <v>194819190.92250001</v>
      </c>
      <c r="G71" s="31">
        <v>8.7229155996452999E-3</v>
      </c>
      <c r="H71" s="30">
        <v>135798.66328394104</v>
      </c>
      <c r="I71" s="30">
        <v>1563592.6963242104</v>
      </c>
      <c r="J71" s="125">
        <f t="shared" si="7"/>
        <v>1699391.3596081515</v>
      </c>
      <c r="K71" s="53" t="s">
        <v>73</v>
      </c>
      <c r="L71" s="110" t="s">
        <v>75</v>
      </c>
      <c r="M71" s="126">
        <f>VLOOKUP(L71,'РейтPD FRED Graph'!$R$4:$V$26,5,0)</f>
        <v>1.3367227501891068E-3</v>
      </c>
      <c r="N71" s="127">
        <f t="shared" si="10"/>
        <v>260419.24467954089</v>
      </c>
      <c r="O71" s="127">
        <f t="shared" si="11"/>
        <v>1959810.6042876923</v>
      </c>
      <c r="Q71" s="130">
        <f t="shared" si="6"/>
        <v>0</v>
      </c>
    </row>
    <row r="72" spans="1:17" x14ac:dyDescent="0.25">
      <c r="A72" s="29" t="s">
        <v>492</v>
      </c>
      <c r="B72" s="29" t="s">
        <v>493</v>
      </c>
      <c r="C72" s="29" t="s">
        <v>133</v>
      </c>
      <c r="D72" s="29" t="s">
        <v>557</v>
      </c>
      <c r="E72" s="29" t="s">
        <v>621</v>
      </c>
      <c r="F72" s="30">
        <v>116329788.18900003</v>
      </c>
      <c r="G72" s="31">
        <v>2.5445769658936176E-2</v>
      </c>
      <c r="H72" s="30">
        <v>297503.16246058396</v>
      </c>
      <c r="I72" s="30">
        <v>2662597.8322695452</v>
      </c>
      <c r="J72" s="125">
        <f t="shared" si="7"/>
        <v>2960100.9947301289</v>
      </c>
      <c r="K72" s="53" t="s">
        <v>79</v>
      </c>
      <c r="L72" s="109" t="s">
        <v>81</v>
      </c>
      <c r="M72" s="126">
        <f>VLOOKUP(L72,'РейтPD FRED Graph'!$R$4:$V$26,5,0)</f>
        <v>7.1516069880933021E-3</v>
      </c>
      <c r="N72" s="127">
        <f t="shared" ref="N72:N73" si="12">M72*F72</f>
        <v>831944.9261358662</v>
      </c>
      <c r="O72" s="127">
        <f t="shared" ref="O72:O73" si="13">N72+J72</f>
        <v>3792045.9208659949</v>
      </c>
      <c r="Q72" s="130">
        <f t="shared" si="6"/>
        <v>0</v>
      </c>
    </row>
    <row r="73" spans="1:17" x14ac:dyDescent="0.25">
      <c r="A73" s="29" t="s">
        <v>492</v>
      </c>
      <c r="B73" s="29" t="s">
        <v>493</v>
      </c>
      <c r="C73" s="29" t="s">
        <v>133</v>
      </c>
      <c r="D73" s="29" t="s">
        <v>558</v>
      </c>
      <c r="E73" s="29" t="s">
        <v>622</v>
      </c>
      <c r="F73" s="30">
        <v>351307023.92550004</v>
      </c>
      <c r="G73" s="31">
        <v>2.5445769658936176E-2</v>
      </c>
      <c r="H73" s="30">
        <v>898436.69656346098</v>
      </c>
      <c r="I73" s="30">
        <v>8040840.9138111938</v>
      </c>
      <c r="J73" s="125">
        <f t="shared" si="7"/>
        <v>8939277.6103746537</v>
      </c>
      <c r="K73" s="53" t="s">
        <v>79</v>
      </c>
      <c r="L73" s="109" t="s">
        <v>81</v>
      </c>
      <c r="M73" s="126">
        <f>VLOOKUP(L73,'РейтPD FRED Graph'!$R$4:$V$26,5,0)</f>
        <v>7.1516069880933021E-3</v>
      </c>
      <c r="N73" s="127">
        <f t="shared" si="12"/>
        <v>2512409.767271867</v>
      </c>
      <c r="O73" s="127">
        <f t="shared" si="13"/>
        <v>11451687.377646521</v>
      </c>
      <c r="Q73" s="130">
        <f t="shared" ref="Q73:Q100" si="14">J73-I73-H73</f>
        <v>-1.0477378964424133E-9</v>
      </c>
    </row>
    <row r="74" spans="1:17" x14ac:dyDescent="0.25">
      <c r="A74" s="29"/>
      <c r="B74" s="29"/>
      <c r="C74" s="29"/>
      <c r="D74" s="29"/>
      <c r="E74" s="29"/>
      <c r="F74" s="30"/>
      <c r="G74" s="31"/>
      <c r="H74" s="30"/>
      <c r="I74" s="30"/>
      <c r="J74" s="30"/>
      <c r="K74" s="53"/>
      <c r="L74" s="109"/>
      <c r="M74" s="30"/>
      <c r="N74" s="30"/>
      <c r="O74" s="30"/>
      <c r="Q74" s="130">
        <f t="shared" si="14"/>
        <v>0</v>
      </c>
    </row>
    <row r="75" spans="1:17" x14ac:dyDescent="0.25">
      <c r="A75" s="29"/>
      <c r="B75" s="29"/>
      <c r="C75" s="29"/>
      <c r="D75" s="29"/>
      <c r="E75" s="29"/>
      <c r="F75" s="30"/>
      <c r="G75" s="31"/>
      <c r="H75" s="30"/>
      <c r="I75" s="30"/>
      <c r="J75" s="30"/>
      <c r="K75" s="53"/>
      <c r="L75" s="109"/>
      <c r="M75" s="30"/>
      <c r="N75" s="30"/>
      <c r="O75" s="30"/>
      <c r="Q75" s="130">
        <f t="shared" si="14"/>
        <v>0</v>
      </c>
    </row>
    <row r="76" spans="1:17" x14ac:dyDescent="0.25">
      <c r="A76" s="29"/>
      <c r="B76" s="29"/>
      <c r="C76" s="29"/>
      <c r="D76" s="29"/>
      <c r="E76" s="29"/>
      <c r="F76" s="30"/>
      <c r="G76" s="31"/>
      <c r="H76" s="30"/>
      <c r="I76" s="30"/>
      <c r="J76" s="30"/>
      <c r="K76" s="53"/>
      <c r="L76" s="109"/>
      <c r="M76" s="30"/>
      <c r="N76" s="30"/>
      <c r="O76" s="30"/>
      <c r="Q76" s="130">
        <f t="shared" si="14"/>
        <v>0</v>
      </c>
    </row>
    <row r="77" spans="1:17" x14ac:dyDescent="0.25">
      <c r="A77" s="29"/>
      <c r="B77" s="29"/>
      <c r="C77" s="29"/>
      <c r="D77" s="29"/>
      <c r="E77" s="29"/>
      <c r="F77" s="30"/>
      <c r="G77" s="31"/>
      <c r="H77" s="30"/>
      <c r="I77" s="30"/>
      <c r="J77" s="30"/>
      <c r="K77" s="53"/>
      <c r="L77" s="109"/>
      <c r="M77" s="30"/>
      <c r="N77" s="30"/>
      <c r="O77" s="30"/>
      <c r="Q77" s="130">
        <f t="shared" si="14"/>
        <v>0</v>
      </c>
    </row>
    <row r="78" spans="1:17" x14ac:dyDescent="0.25">
      <c r="A78" s="29"/>
      <c r="B78" s="29"/>
      <c r="C78" s="29"/>
      <c r="D78" s="29"/>
      <c r="E78" s="29"/>
      <c r="F78" s="30"/>
      <c r="G78" s="31"/>
      <c r="H78" s="30"/>
      <c r="I78" s="30"/>
      <c r="J78" s="30"/>
      <c r="K78" s="53"/>
      <c r="L78" s="109"/>
      <c r="M78" s="30"/>
      <c r="N78" s="30"/>
      <c r="O78" s="30"/>
      <c r="Q78" s="130">
        <f t="shared" si="14"/>
        <v>0</v>
      </c>
    </row>
    <row r="79" spans="1:17" x14ac:dyDescent="0.25">
      <c r="A79" s="29"/>
      <c r="B79" s="29"/>
      <c r="C79" s="29"/>
      <c r="D79" s="29"/>
      <c r="E79" s="29"/>
      <c r="F79" s="30"/>
      <c r="G79" s="31"/>
      <c r="H79" s="30"/>
      <c r="I79" s="30"/>
      <c r="J79" s="30"/>
      <c r="K79" s="53"/>
      <c r="L79" s="82"/>
      <c r="M79" s="82"/>
      <c r="N79" s="82"/>
      <c r="O79" s="82"/>
      <c r="Q79" s="130">
        <f t="shared" si="14"/>
        <v>0</v>
      </c>
    </row>
    <row r="80" spans="1:17" x14ac:dyDescent="0.25">
      <c r="A80" s="29"/>
      <c r="B80" s="29"/>
      <c r="C80" s="29"/>
      <c r="D80" s="29"/>
      <c r="E80" s="29"/>
      <c r="F80" s="30"/>
      <c r="G80" s="31"/>
      <c r="H80" s="30"/>
      <c r="I80" s="30"/>
      <c r="J80" s="30"/>
      <c r="K80" s="53"/>
      <c r="L80" s="82"/>
      <c r="M80" s="82"/>
      <c r="N80" s="82"/>
      <c r="O80" s="82"/>
      <c r="Q80" s="130">
        <f t="shared" si="14"/>
        <v>0</v>
      </c>
    </row>
    <row r="81" spans="1:17" x14ac:dyDescent="0.25">
      <c r="A81" s="29"/>
      <c r="B81" s="29"/>
      <c r="C81" s="29"/>
      <c r="D81" s="29"/>
      <c r="E81" s="29"/>
      <c r="F81" s="30"/>
      <c r="G81" s="31"/>
      <c r="H81" s="30"/>
      <c r="I81" s="30"/>
      <c r="J81" s="30"/>
      <c r="K81" s="53"/>
      <c r="L81" s="82"/>
      <c r="M81" s="82"/>
      <c r="N81" s="82"/>
      <c r="O81" s="82"/>
      <c r="Q81" s="130">
        <f t="shared" si="14"/>
        <v>0</v>
      </c>
    </row>
    <row r="82" spans="1:17" x14ac:dyDescent="0.25">
      <c r="A82" s="29"/>
      <c r="B82" s="29"/>
      <c r="C82" s="29"/>
      <c r="D82" s="29"/>
      <c r="E82" s="29"/>
      <c r="F82" s="30"/>
      <c r="G82" s="31"/>
      <c r="H82" s="30"/>
      <c r="I82" s="30"/>
      <c r="J82" s="30"/>
      <c r="K82" s="53"/>
      <c r="L82" s="82"/>
      <c r="M82" s="82"/>
      <c r="N82" s="82"/>
      <c r="O82" s="82"/>
      <c r="Q82" s="130">
        <f t="shared" si="14"/>
        <v>0</v>
      </c>
    </row>
    <row r="83" spans="1:17" x14ac:dyDescent="0.25">
      <c r="A83" s="29"/>
      <c r="B83" s="29"/>
      <c r="C83" s="29"/>
      <c r="D83" s="29"/>
      <c r="E83" s="29"/>
      <c r="F83" s="30"/>
      <c r="G83" s="31"/>
      <c r="H83" s="30"/>
      <c r="I83" s="30"/>
      <c r="J83" s="30"/>
      <c r="K83" s="53"/>
      <c r="L83" s="82"/>
      <c r="M83" s="82"/>
      <c r="N83" s="82"/>
      <c r="O83" s="82"/>
      <c r="Q83" s="130">
        <f t="shared" si="14"/>
        <v>0</v>
      </c>
    </row>
    <row r="84" spans="1:17" x14ac:dyDescent="0.25">
      <c r="A84" s="29"/>
      <c r="B84" s="29"/>
      <c r="C84" s="29"/>
      <c r="D84" s="29"/>
      <c r="E84" s="29"/>
      <c r="F84" s="30"/>
      <c r="G84" s="31"/>
      <c r="H84" s="30"/>
      <c r="I84" s="30"/>
      <c r="J84" s="30"/>
      <c r="K84" s="53"/>
      <c r="L84" s="82"/>
      <c r="M84" s="82"/>
      <c r="N84" s="82"/>
      <c r="O84" s="82"/>
      <c r="Q84" s="130">
        <f t="shared" si="14"/>
        <v>0</v>
      </c>
    </row>
    <row r="85" spans="1:17" x14ac:dyDescent="0.25">
      <c r="A85" s="29"/>
      <c r="B85" s="29"/>
      <c r="C85" s="29"/>
      <c r="D85" s="29"/>
      <c r="E85" s="29"/>
      <c r="F85" s="30"/>
      <c r="G85" s="31"/>
      <c r="H85" s="30"/>
      <c r="I85" s="30"/>
      <c r="J85" s="30"/>
      <c r="K85" s="53"/>
      <c r="L85" s="82"/>
      <c r="M85" s="82"/>
      <c r="N85" s="82"/>
      <c r="O85" s="82"/>
      <c r="Q85" s="130">
        <f t="shared" si="14"/>
        <v>0</v>
      </c>
    </row>
    <row r="86" spans="1:17" x14ac:dyDescent="0.25">
      <c r="A86" s="29"/>
      <c r="B86" s="29"/>
      <c r="C86" s="29"/>
      <c r="D86" s="29"/>
      <c r="E86" s="29"/>
      <c r="F86" s="30"/>
      <c r="G86" s="31"/>
      <c r="H86" s="30"/>
      <c r="I86" s="30"/>
      <c r="J86" s="30"/>
      <c r="K86" s="53"/>
      <c r="L86" s="82"/>
      <c r="M86" s="82"/>
      <c r="N86" s="82"/>
      <c r="O86" s="82"/>
      <c r="Q86" s="130">
        <f t="shared" si="14"/>
        <v>0</v>
      </c>
    </row>
    <row r="87" spans="1:17" x14ac:dyDescent="0.25">
      <c r="A87" s="29"/>
      <c r="B87" s="29"/>
      <c r="C87" s="29"/>
      <c r="D87" s="29"/>
      <c r="E87" s="29"/>
      <c r="F87" s="30"/>
      <c r="G87" s="31"/>
      <c r="H87" s="30"/>
      <c r="I87" s="30"/>
      <c r="J87" s="30"/>
      <c r="K87" s="53"/>
      <c r="L87" s="82"/>
      <c r="M87" s="82"/>
      <c r="N87" s="82"/>
      <c r="O87" s="82"/>
      <c r="Q87" s="130">
        <f t="shared" si="14"/>
        <v>0</v>
      </c>
    </row>
    <row r="88" spans="1:17" x14ac:dyDescent="0.25">
      <c r="A88" s="29"/>
      <c r="B88" s="29"/>
      <c r="C88" s="29"/>
      <c r="D88" s="29"/>
      <c r="E88" s="29"/>
      <c r="F88" s="30"/>
      <c r="G88" s="31"/>
      <c r="H88" s="30"/>
      <c r="I88" s="30"/>
      <c r="J88" s="30"/>
      <c r="K88" s="53"/>
      <c r="L88" s="82"/>
      <c r="M88" s="82"/>
      <c r="N88" s="82"/>
      <c r="O88" s="82"/>
      <c r="Q88" s="130">
        <f t="shared" si="14"/>
        <v>0</v>
      </c>
    </row>
    <row r="89" spans="1:17" x14ac:dyDescent="0.25">
      <c r="A89" s="29"/>
      <c r="B89" s="29"/>
      <c r="C89" s="29"/>
      <c r="D89" s="29"/>
      <c r="E89" s="29"/>
      <c r="F89" s="30"/>
      <c r="G89" s="31"/>
      <c r="H89" s="30"/>
      <c r="I89" s="30"/>
      <c r="J89" s="30"/>
      <c r="K89" s="53"/>
      <c r="L89" s="82"/>
      <c r="M89" s="82"/>
      <c r="N89" s="82"/>
      <c r="O89" s="82"/>
      <c r="Q89" s="130">
        <f t="shared" si="14"/>
        <v>0</v>
      </c>
    </row>
    <row r="90" spans="1:17" x14ac:dyDescent="0.25">
      <c r="A90" s="29"/>
      <c r="B90" s="29"/>
      <c r="C90" s="29"/>
      <c r="D90" s="29"/>
      <c r="E90" s="29"/>
      <c r="F90" s="30"/>
      <c r="G90" s="31"/>
      <c r="H90" s="30"/>
      <c r="I90" s="30"/>
      <c r="J90" s="30"/>
      <c r="K90" s="53"/>
      <c r="L90" s="82"/>
      <c r="M90" s="82"/>
      <c r="N90" s="82"/>
      <c r="O90" s="82"/>
      <c r="Q90" s="130">
        <f t="shared" si="14"/>
        <v>0</v>
      </c>
    </row>
    <row r="91" spans="1:17" x14ac:dyDescent="0.25">
      <c r="A91" s="29"/>
      <c r="B91" s="29"/>
      <c r="C91" s="29"/>
      <c r="D91" s="29"/>
      <c r="E91" s="29"/>
      <c r="F91" s="30"/>
      <c r="G91" s="31"/>
      <c r="H91" s="30"/>
      <c r="I91" s="30"/>
      <c r="J91" s="30"/>
      <c r="K91" s="53"/>
      <c r="L91" s="82"/>
      <c r="M91" s="82"/>
      <c r="N91" s="82"/>
      <c r="O91" s="82"/>
      <c r="Q91" s="130">
        <f t="shared" si="14"/>
        <v>0</v>
      </c>
    </row>
    <row r="92" spans="1:17" x14ac:dyDescent="0.2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82"/>
      <c r="M92" s="82"/>
      <c r="N92" s="82"/>
      <c r="O92" s="82"/>
      <c r="Q92" s="130">
        <f t="shared" si="14"/>
        <v>0</v>
      </c>
    </row>
    <row r="93" spans="1:17" x14ac:dyDescent="0.2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82"/>
      <c r="M93" s="82"/>
      <c r="N93" s="82"/>
      <c r="O93" s="82"/>
      <c r="Q93" s="130">
        <f t="shared" si="14"/>
        <v>0</v>
      </c>
    </row>
    <row r="94" spans="1:17" x14ac:dyDescent="0.2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82"/>
      <c r="M94" s="82"/>
      <c r="N94" s="82"/>
      <c r="O94" s="82"/>
      <c r="Q94" s="130">
        <f t="shared" si="14"/>
        <v>0</v>
      </c>
    </row>
    <row r="95" spans="1:17" x14ac:dyDescent="0.2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82"/>
      <c r="M95" s="82"/>
      <c r="N95" s="82"/>
      <c r="O95" s="82"/>
      <c r="Q95" s="130">
        <f t="shared" si="14"/>
        <v>0</v>
      </c>
    </row>
    <row r="96" spans="1:17" x14ac:dyDescent="0.2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82"/>
      <c r="M96" s="82"/>
      <c r="N96" s="82"/>
      <c r="O96" s="82"/>
      <c r="Q96" s="130">
        <f t="shared" si="14"/>
        <v>0</v>
      </c>
    </row>
    <row r="97" spans="1:17" x14ac:dyDescent="0.2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82"/>
      <c r="M97" s="82"/>
      <c r="N97" s="82"/>
      <c r="O97" s="82"/>
      <c r="Q97" s="130">
        <f t="shared" si="14"/>
        <v>0</v>
      </c>
    </row>
    <row r="98" spans="1:17" x14ac:dyDescent="0.2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82"/>
      <c r="M98" s="82"/>
      <c r="N98" s="82"/>
      <c r="O98" s="82"/>
      <c r="Q98" s="130">
        <f t="shared" si="14"/>
        <v>0</v>
      </c>
    </row>
    <row r="99" spans="1:17" x14ac:dyDescent="0.2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82"/>
      <c r="M99" s="82"/>
      <c r="N99" s="82"/>
      <c r="O99" s="82"/>
      <c r="Q99" s="130">
        <f t="shared" si="14"/>
        <v>0</v>
      </c>
    </row>
    <row r="100" spans="1:17" x14ac:dyDescent="0.2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82"/>
      <c r="M100" s="82"/>
      <c r="N100" s="82"/>
      <c r="O100" s="82"/>
      <c r="Q100" s="130">
        <f t="shared" si="14"/>
        <v>0</v>
      </c>
    </row>
  </sheetData>
  <autoFilter ref="A7:O73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P33"/>
  <sheetViews>
    <sheetView zoomScale="90" zoomScaleNormal="90" workbookViewId="0">
      <selection activeCell="E19" sqref="E19"/>
    </sheetView>
  </sheetViews>
  <sheetFormatPr defaultColWidth="12.85546875" defaultRowHeight="12.75" x14ac:dyDescent="0.25"/>
  <cols>
    <col min="1" max="1" width="28.5703125" style="28" customWidth="1"/>
    <col min="2" max="2" width="24.7109375" style="28" customWidth="1"/>
    <col min="3" max="3" width="25.42578125" style="28" customWidth="1"/>
    <col min="4" max="4" width="18.5703125" style="28" customWidth="1"/>
    <col min="5" max="5" width="22.7109375" style="28" customWidth="1"/>
    <col min="6" max="6" width="12.85546875" style="28"/>
    <col min="7" max="7" width="15.5703125" style="28" customWidth="1"/>
    <col min="8" max="8" width="14.5703125" style="28" customWidth="1"/>
    <col min="9" max="9" width="12.85546875" style="28"/>
    <col min="10" max="10" width="14.7109375" style="28" customWidth="1"/>
    <col min="11" max="14" width="14.7109375" style="80" bestFit="1" customWidth="1"/>
    <col min="15" max="15" width="12.85546875" style="28"/>
    <col min="16" max="16" width="12.85546875" style="129"/>
    <col min="17" max="17" width="29.5703125" style="28" customWidth="1"/>
    <col min="18" max="16384" width="12.85546875" style="28"/>
  </cols>
  <sheetData>
    <row r="1" spans="1:3" x14ac:dyDescent="0.2">
      <c r="A1" s="144"/>
      <c r="B1" s="152"/>
      <c r="C1" s="144"/>
    </row>
    <row r="2" spans="1:3" x14ac:dyDescent="0.2">
      <c r="A2" s="157" t="s">
        <v>71</v>
      </c>
      <c r="B2" s="141">
        <f>SUMIF($K$21:$K$33,A2,$E$21:$E$33)</f>
        <v>0</v>
      </c>
      <c r="C2" s="195">
        <f>B2/$B$13</f>
        <v>0</v>
      </c>
    </row>
    <row r="3" spans="1:3" x14ac:dyDescent="0.2">
      <c r="A3" s="140" t="s">
        <v>73</v>
      </c>
      <c r="B3" s="141">
        <f t="shared" ref="B3:B12" si="0">SUMIF($K$21:$K$33,A3,$E$21:$E$33)</f>
        <v>0</v>
      </c>
      <c r="C3" s="195">
        <f t="shared" ref="C3:C12" si="1">B3/$B$13</f>
        <v>0</v>
      </c>
    </row>
    <row r="4" spans="1:3" x14ac:dyDescent="0.2">
      <c r="A4" s="140" t="s">
        <v>75</v>
      </c>
      <c r="B4" s="141">
        <f t="shared" si="0"/>
        <v>6771556968.0500002</v>
      </c>
      <c r="C4" s="195">
        <f t="shared" si="1"/>
        <v>0.11342343322553126</v>
      </c>
    </row>
    <row r="5" spans="1:3" x14ac:dyDescent="0.2">
      <c r="A5" s="140" t="s">
        <v>77</v>
      </c>
      <c r="B5" s="141">
        <f t="shared" si="0"/>
        <v>52344415712.110001</v>
      </c>
      <c r="C5" s="195">
        <f t="shared" si="1"/>
        <v>0.87676783467446118</v>
      </c>
    </row>
    <row r="6" spans="1:3" x14ac:dyDescent="0.2">
      <c r="A6" s="157" t="s">
        <v>79</v>
      </c>
      <c r="B6" s="141">
        <f t="shared" si="0"/>
        <v>0</v>
      </c>
      <c r="C6" s="195">
        <f t="shared" si="1"/>
        <v>0</v>
      </c>
    </row>
    <row r="7" spans="1:3" x14ac:dyDescent="0.2">
      <c r="A7" s="158" t="s">
        <v>81</v>
      </c>
      <c r="B7" s="141">
        <f t="shared" si="0"/>
        <v>0</v>
      </c>
      <c r="C7" s="195">
        <f t="shared" si="1"/>
        <v>0</v>
      </c>
    </row>
    <row r="8" spans="1:3" x14ac:dyDescent="0.2">
      <c r="A8" s="158" t="s">
        <v>83</v>
      </c>
      <c r="B8" s="141">
        <f t="shared" si="0"/>
        <v>585596700</v>
      </c>
      <c r="C8" s="195">
        <f t="shared" si="1"/>
        <v>9.8087321000074959E-3</v>
      </c>
    </row>
    <row r="9" spans="1:3" x14ac:dyDescent="0.2">
      <c r="A9" s="157" t="s">
        <v>85</v>
      </c>
      <c r="B9" s="141">
        <f t="shared" si="0"/>
        <v>0</v>
      </c>
      <c r="C9" s="195">
        <f t="shared" si="1"/>
        <v>0</v>
      </c>
    </row>
    <row r="10" spans="1:3" x14ac:dyDescent="0.2">
      <c r="A10" s="157" t="s">
        <v>87</v>
      </c>
      <c r="B10" s="141">
        <f t="shared" si="0"/>
        <v>0</v>
      </c>
      <c r="C10" s="195">
        <f t="shared" si="1"/>
        <v>0</v>
      </c>
    </row>
    <row r="11" spans="1:3" x14ac:dyDescent="0.2">
      <c r="A11" s="157" t="s">
        <v>89</v>
      </c>
      <c r="B11" s="141">
        <f t="shared" si="0"/>
        <v>0</v>
      </c>
      <c r="C11" s="195">
        <f t="shared" si="1"/>
        <v>0</v>
      </c>
    </row>
    <row r="12" spans="1:3" x14ac:dyDescent="0.2">
      <c r="A12" s="157" t="s">
        <v>116</v>
      </c>
      <c r="B12" s="141">
        <f t="shared" si="0"/>
        <v>0</v>
      </c>
      <c r="C12" s="195">
        <f t="shared" si="1"/>
        <v>0</v>
      </c>
    </row>
    <row r="13" spans="1:3" x14ac:dyDescent="0.2">
      <c r="A13" s="182"/>
      <c r="B13" s="149">
        <f>SUM(B2:B12)</f>
        <v>59701569380.160004</v>
      </c>
      <c r="C13" s="144"/>
    </row>
    <row r="17" spans="1:16" x14ac:dyDescent="0.25">
      <c r="A17" s="230" t="s">
        <v>675</v>
      </c>
      <c r="B17" s="230"/>
      <c r="C17" s="231"/>
      <c r="D17" s="61"/>
      <c r="E17" s="34" t="s">
        <v>107</v>
      </c>
      <c r="I17" s="35" t="s">
        <v>108</v>
      </c>
      <c r="J17" s="35"/>
      <c r="K17" s="35"/>
      <c r="L17" s="35"/>
      <c r="M17" s="35"/>
      <c r="N17" s="123" t="str">
        <f>N20</f>
        <v>Стрессс итог</v>
      </c>
      <c r="O17" s="123" t="s">
        <v>195</v>
      </c>
    </row>
    <row r="18" spans="1:16" x14ac:dyDescent="0.25">
      <c r="A18" s="228"/>
      <c r="B18" s="228"/>
      <c r="C18" s="228"/>
      <c r="D18" s="219"/>
      <c r="E18" s="37">
        <f>SUM(E21:E33)</f>
        <v>59701569380.160004</v>
      </c>
      <c r="F18" s="37"/>
      <c r="G18" s="37"/>
      <c r="H18" s="37"/>
      <c r="I18" s="37">
        <f>SUM(I21:I33)</f>
        <v>664550448.42044318</v>
      </c>
      <c r="J18" s="37"/>
      <c r="K18" s="37"/>
      <c r="L18" s="37"/>
      <c r="M18" s="37"/>
      <c r="N18" s="37">
        <f>SUM(N21:N33)</f>
        <v>836004869.72500753</v>
      </c>
      <c r="O18" s="132">
        <f>N18/E18</f>
        <v>1.4003063544303213E-2</v>
      </c>
    </row>
    <row r="20" spans="1:16" ht="30.75" customHeight="1" x14ac:dyDescent="0.25">
      <c r="A20" s="29" t="s">
        <v>221</v>
      </c>
      <c r="B20" s="29" t="s">
        <v>102</v>
      </c>
      <c r="C20" s="29" t="s">
        <v>43</v>
      </c>
      <c r="D20" s="62" t="s">
        <v>106</v>
      </c>
      <c r="E20" s="33" t="str">
        <f>'портефль до погашения'!F7</f>
        <v>Вложения (руб) на 01.06.2021</v>
      </c>
      <c r="F20" s="33" t="s">
        <v>48</v>
      </c>
      <c r="G20" s="33" t="s">
        <v>56</v>
      </c>
      <c r="H20" s="33" t="s">
        <v>57</v>
      </c>
      <c r="I20" s="32" t="s">
        <v>108</v>
      </c>
      <c r="J20" s="32" t="s">
        <v>103</v>
      </c>
      <c r="K20" s="81" t="s">
        <v>164</v>
      </c>
      <c r="L20" s="81" t="s">
        <v>165</v>
      </c>
      <c r="M20" s="81" t="s">
        <v>166</v>
      </c>
      <c r="N20" s="81" t="s">
        <v>167</v>
      </c>
      <c r="P20" s="128" t="s">
        <v>192</v>
      </c>
    </row>
    <row r="21" spans="1:16" x14ac:dyDescent="0.25">
      <c r="A21" s="29" t="s">
        <v>494</v>
      </c>
      <c r="B21" s="29" t="s">
        <v>677</v>
      </c>
      <c r="C21" s="29" t="s">
        <v>680</v>
      </c>
      <c r="D21" s="29" t="s">
        <v>687</v>
      </c>
      <c r="E21" s="30">
        <v>2018998228.5000002</v>
      </c>
      <c r="F21" s="31">
        <v>1.0463168480298844E-2</v>
      </c>
      <c r="G21" s="30">
        <v>1739336.0930026011</v>
      </c>
      <c r="H21" s="30">
        <v>19385782.533217806</v>
      </c>
      <c r="I21" s="125">
        <f>E21*F21</f>
        <v>21125118.626220405</v>
      </c>
      <c r="J21" s="53" t="s">
        <v>75</v>
      </c>
      <c r="K21" s="109" t="s">
        <v>77</v>
      </c>
      <c r="L21" s="126">
        <f>VLOOKUP(K21,'РейтPD FRED Graph'!$R$4:$V$26,5,0)</f>
        <v>2.9499026019492382E-3</v>
      </c>
      <c r="M21" s="127">
        <f>L21*E21</f>
        <v>5955848.127583053</v>
      </c>
      <c r="N21" s="127">
        <f>M21+I21</f>
        <v>27080966.753803458</v>
      </c>
      <c r="P21" s="130">
        <f>I21-H21-G21</f>
        <v>-2.3283064365386963E-9</v>
      </c>
    </row>
    <row r="22" spans="1:16" x14ac:dyDescent="0.25">
      <c r="A22" s="29" t="s">
        <v>494</v>
      </c>
      <c r="B22" s="29" t="s">
        <v>677</v>
      </c>
      <c r="C22" s="29" t="s">
        <v>681</v>
      </c>
      <c r="D22" s="29" t="s">
        <v>688</v>
      </c>
      <c r="E22" s="30">
        <v>570981541.52999997</v>
      </c>
      <c r="F22" s="31">
        <v>1.0463168480298844E-2</v>
      </c>
      <c r="G22" s="30">
        <v>491891.86478842545</v>
      </c>
      <c r="H22" s="30">
        <v>5482384.203380716</v>
      </c>
      <c r="I22" s="125">
        <f t="shared" ref="I22:I28" si="2">E22*F22</f>
        <v>5974276.0681691412</v>
      </c>
      <c r="J22" s="53" t="s">
        <v>75</v>
      </c>
      <c r="K22" s="109" t="s">
        <v>77</v>
      </c>
      <c r="L22" s="126">
        <f>VLOOKUP(K22,'РейтPD FRED Graph'!$R$4:$V$26,5,0)</f>
        <v>2.9499026019492382E-3</v>
      </c>
      <c r="M22" s="127">
        <f t="shared" ref="M22:M28" si="3">L22*E22</f>
        <v>1684339.9350243339</v>
      </c>
      <c r="N22" s="127">
        <f t="shared" ref="N22:N28" si="4">M22+I22</f>
        <v>7658616.0031934753</v>
      </c>
      <c r="P22" s="130">
        <f t="shared" ref="P22:P33" si="5">I22-H22-G22</f>
        <v>0</v>
      </c>
    </row>
    <row r="23" spans="1:16" x14ac:dyDescent="0.25">
      <c r="A23" s="29" t="s">
        <v>494</v>
      </c>
      <c r="B23" s="29" t="s">
        <v>677</v>
      </c>
      <c r="C23" s="29" t="s">
        <v>680</v>
      </c>
      <c r="D23" s="29" t="s">
        <v>687</v>
      </c>
      <c r="E23" s="30">
        <v>12534787015.170004</v>
      </c>
      <c r="F23" s="31">
        <v>1.0463168480298844E-2</v>
      </c>
      <c r="G23" s="30">
        <v>10798527.292311355</v>
      </c>
      <c r="H23" s="30">
        <v>120355061.11207466</v>
      </c>
      <c r="I23" s="125">
        <f t="shared" si="2"/>
        <v>131153588.40438601</v>
      </c>
      <c r="J23" s="53" t="s">
        <v>75</v>
      </c>
      <c r="K23" s="109" t="s">
        <v>77</v>
      </c>
      <c r="L23" s="126">
        <f>VLOOKUP(K23,'РейтPD FRED Graph'!$R$4:$V$26,5,0)</f>
        <v>2.9499026019492382E-3</v>
      </c>
      <c r="M23" s="127">
        <f t="shared" si="3"/>
        <v>36976400.830929518</v>
      </c>
      <c r="N23" s="127">
        <f t="shared" si="4"/>
        <v>168129989.23531553</v>
      </c>
      <c r="P23" s="130">
        <f t="shared" si="5"/>
        <v>0</v>
      </c>
    </row>
    <row r="24" spans="1:16" x14ac:dyDescent="0.25">
      <c r="A24" s="29" t="s">
        <v>494</v>
      </c>
      <c r="B24" s="29" t="s">
        <v>677</v>
      </c>
      <c r="C24" s="29" t="s">
        <v>682</v>
      </c>
      <c r="D24" s="29" t="s">
        <v>689</v>
      </c>
      <c r="E24" s="30">
        <v>12480472887.16</v>
      </c>
      <c r="F24" s="31">
        <v>1.0463168480298844E-2</v>
      </c>
      <c r="G24" s="30">
        <v>10751736.50177265</v>
      </c>
      <c r="H24" s="30">
        <v>119833554.03038418</v>
      </c>
      <c r="I24" s="125">
        <f t="shared" si="2"/>
        <v>130585290.53215683</v>
      </c>
      <c r="J24" s="53" t="s">
        <v>75</v>
      </c>
      <c r="K24" s="109" t="s">
        <v>77</v>
      </c>
      <c r="L24" s="126">
        <f>VLOOKUP(K24,'РейтPD FRED Graph'!$R$4:$V$26,5,0)</f>
        <v>2.9499026019492382E-3</v>
      </c>
      <c r="M24" s="127">
        <f t="shared" si="3"/>
        <v>36816179.443390206</v>
      </c>
      <c r="N24" s="127">
        <f t="shared" si="4"/>
        <v>167401469.97554702</v>
      </c>
      <c r="P24" s="130">
        <f t="shared" si="5"/>
        <v>0</v>
      </c>
    </row>
    <row r="25" spans="1:16" x14ac:dyDescent="0.25">
      <c r="A25" s="29" t="s">
        <v>494</v>
      </c>
      <c r="B25" s="29" t="s">
        <v>677</v>
      </c>
      <c r="C25" s="29" t="s">
        <v>683</v>
      </c>
      <c r="D25" s="29" t="s">
        <v>690</v>
      </c>
      <c r="E25" s="30">
        <v>17233101039.75</v>
      </c>
      <c r="F25" s="31">
        <v>1.0463168480298844E-2</v>
      </c>
      <c r="G25" s="30">
        <v>14846052.96314049</v>
      </c>
      <c r="H25" s="30">
        <v>165466786.65377694</v>
      </c>
      <c r="I25" s="125">
        <f t="shared" si="2"/>
        <v>180312839.61691743</v>
      </c>
      <c r="J25" s="53" t="s">
        <v>75</v>
      </c>
      <c r="K25" s="109" t="s">
        <v>77</v>
      </c>
      <c r="L25" s="126">
        <f>VLOOKUP(K25,'РейтPD FRED Graph'!$R$4:$V$26,5,0)</f>
        <v>2.9499026019492382E-3</v>
      </c>
      <c r="M25" s="127">
        <f t="shared" si="3"/>
        <v>50835969.596812651</v>
      </c>
      <c r="N25" s="127">
        <f t="shared" si="4"/>
        <v>231148809.2137301</v>
      </c>
      <c r="P25" s="130">
        <f t="shared" si="5"/>
        <v>0</v>
      </c>
    </row>
    <row r="26" spans="1:16" x14ac:dyDescent="0.25">
      <c r="A26" s="29" t="s">
        <v>494</v>
      </c>
      <c r="B26" s="29" t="s">
        <v>148</v>
      </c>
      <c r="C26" s="29" t="s">
        <v>684</v>
      </c>
      <c r="D26" s="29" t="s">
        <v>691</v>
      </c>
      <c r="E26" s="30">
        <v>6771556968.0500002</v>
      </c>
      <c r="F26" s="31">
        <v>1.0463168480298844E-2</v>
      </c>
      <c r="G26" s="30">
        <v>5833592.7560981642</v>
      </c>
      <c r="H26" s="30">
        <v>65018348.674550608</v>
      </c>
      <c r="I26" s="125">
        <f t="shared" si="2"/>
        <v>70851941.430648774</v>
      </c>
      <c r="J26" s="53" t="s">
        <v>75</v>
      </c>
      <c r="K26" s="109" t="s">
        <v>75</v>
      </c>
      <c r="L26" s="126">
        <f>VLOOKUP(K26,'РейтPD FRED Graph'!$R$4:$V$26,5,0)</f>
        <v>1.3367227501891068E-3</v>
      </c>
      <c r="M26" s="127">
        <f t="shared" si="3"/>
        <v>9051694.2533940058</v>
      </c>
      <c r="N26" s="127">
        <f t="shared" si="4"/>
        <v>79903635.684042782</v>
      </c>
      <c r="P26" s="130">
        <f>I26-H26-G26</f>
        <v>0</v>
      </c>
    </row>
    <row r="27" spans="1:16" x14ac:dyDescent="0.25">
      <c r="A27" s="29" t="s">
        <v>494</v>
      </c>
      <c r="B27" s="29" t="s">
        <v>678</v>
      </c>
      <c r="C27" s="29" t="s">
        <v>685</v>
      </c>
      <c r="D27" s="29" t="s">
        <v>692</v>
      </c>
      <c r="E27" s="30">
        <v>585596700</v>
      </c>
      <c r="F27" s="31">
        <v>7.8569545202671703E-2</v>
      </c>
      <c r="G27" s="30">
        <v>6536318.9399456596</v>
      </c>
      <c r="H27" s="30">
        <v>39473747.45123972</v>
      </c>
      <c r="I27" s="125">
        <f t="shared" si="2"/>
        <v>46010066.391185381</v>
      </c>
      <c r="J27" s="53" t="s">
        <v>83</v>
      </c>
      <c r="K27" s="109" t="s">
        <v>83</v>
      </c>
      <c r="L27" s="126">
        <f>VLOOKUP(K27,'РейтPD FRED Graph'!$R$4:$V$26,5,0)</f>
        <v>1.3647274556882657E-2</v>
      </c>
      <c r="M27" s="127">
        <f t="shared" si="3"/>
        <v>7991798.9445044464</v>
      </c>
      <c r="N27" s="127">
        <f t="shared" si="4"/>
        <v>54001865.335689828</v>
      </c>
      <c r="P27" s="130">
        <f t="shared" si="5"/>
        <v>0</v>
      </c>
    </row>
    <row r="28" spans="1:16" x14ac:dyDescent="0.25">
      <c r="A28" s="29" t="s">
        <v>676</v>
      </c>
      <c r="B28" s="29" t="s">
        <v>679</v>
      </c>
      <c r="C28" s="29" t="s">
        <v>686</v>
      </c>
      <c r="D28" s="29" t="s">
        <v>693</v>
      </c>
      <c r="E28" s="30">
        <v>7506075000</v>
      </c>
      <c r="F28" s="31">
        <v>1.0463168480298844E-2</v>
      </c>
      <c r="G28" s="30">
        <v>6466368.8060707469</v>
      </c>
      <c r="H28" s="30">
        <v>72070958.544688404</v>
      </c>
      <c r="I28" s="125">
        <f t="shared" si="2"/>
        <v>78537327.350759149</v>
      </c>
      <c r="J28" s="53" t="s">
        <v>75</v>
      </c>
      <c r="K28" s="109" t="s">
        <v>77</v>
      </c>
      <c r="L28" s="126">
        <f>VLOOKUP(K28,'РейтPD FRED Graph'!$R$4:$V$26,5,0)</f>
        <v>2.9499026019492382E-3</v>
      </c>
      <c r="M28" s="127">
        <f t="shared" si="3"/>
        <v>22142190.172926128</v>
      </c>
      <c r="N28" s="127">
        <f t="shared" si="4"/>
        <v>100679517.52368528</v>
      </c>
      <c r="P28" s="130">
        <f t="shared" si="5"/>
        <v>0</v>
      </c>
    </row>
    <row r="29" spans="1:16" x14ac:dyDescent="0.25">
      <c r="A29" s="29"/>
      <c r="B29" s="29"/>
      <c r="C29" s="29"/>
      <c r="D29" s="29"/>
      <c r="E29" s="30"/>
      <c r="F29" s="31"/>
      <c r="G29" s="30"/>
      <c r="H29" s="30"/>
      <c r="I29" s="125"/>
      <c r="J29" s="53"/>
      <c r="K29" s="109"/>
      <c r="L29" s="126"/>
      <c r="M29" s="127"/>
      <c r="N29" s="127"/>
      <c r="P29" s="130">
        <f t="shared" si="5"/>
        <v>0</v>
      </c>
    </row>
    <row r="30" spans="1:16" x14ac:dyDescent="0.25">
      <c r="A30" s="29"/>
      <c r="B30" s="29"/>
      <c r="C30" s="29"/>
      <c r="D30" s="29"/>
      <c r="E30" s="30"/>
      <c r="F30" s="31"/>
      <c r="G30" s="30"/>
      <c r="H30" s="30"/>
      <c r="I30" s="125"/>
      <c r="J30" s="53"/>
      <c r="K30" s="109"/>
      <c r="L30" s="126"/>
      <c r="M30" s="127"/>
      <c r="N30" s="127"/>
      <c r="P30" s="130">
        <f t="shared" si="5"/>
        <v>0</v>
      </c>
    </row>
    <row r="31" spans="1:16" x14ac:dyDescent="0.25">
      <c r="A31" s="29"/>
      <c r="B31" s="29"/>
      <c r="C31" s="29"/>
      <c r="D31" s="29"/>
      <c r="E31" s="30"/>
      <c r="F31" s="31"/>
      <c r="G31" s="30"/>
      <c r="H31" s="30"/>
      <c r="I31" s="125"/>
      <c r="J31" s="53"/>
      <c r="K31" s="109"/>
      <c r="L31" s="126"/>
      <c r="M31" s="127"/>
      <c r="N31" s="127"/>
      <c r="P31" s="130">
        <f t="shared" si="5"/>
        <v>0</v>
      </c>
    </row>
    <row r="32" spans="1:16" x14ac:dyDescent="0.25">
      <c r="A32" s="29"/>
      <c r="B32" s="29"/>
      <c r="C32" s="29"/>
      <c r="D32" s="29"/>
      <c r="E32" s="30"/>
      <c r="F32" s="31"/>
      <c r="G32" s="30"/>
      <c r="H32" s="30"/>
      <c r="I32" s="125"/>
      <c r="J32" s="53"/>
      <c r="K32" s="109"/>
      <c r="L32" s="126"/>
      <c r="M32" s="127"/>
      <c r="N32" s="127"/>
      <c r="P32" s="130">
        <f t="shared" si="5"/>
        <v>0</v>
      </c>
    </row>
    <row r="33" spans="1:16" x14ac:dyDescent="0.25">
      <c r="A33" s="29"/>
      <c r="B33" s="29"/>
      <c r="C33" s="29"/>
      <c r="D33" s="29"/>
      <c r="E33" s="30"/>
      <c r="F33" s="31"/>
      <c r="G33" s="30"/>
      <c r="H33" s="30"/>
      <c r="I33" s="125"/>
      <c r="J33" s="53"/>
      <c r="K33" s="109"/>
      <c r="L33" s="126"/>
      <c r="M33" s="127"/>
      <c r="N33" s="127"/>
      <c r="P33" s="130">
        <f t="shared" si="5"/>
        <v>0</v>
      </c>
    </row>
  </sheetData>
  <mergeCells count="2">
    <mergeCell ref="A17:C17"/>
    <mergeCell ref="A18:C18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5"/>
  <sheetViews>
    <sheetView zoomScale="80" zoomScaleNormal="80" workbookViewId="0">
      <selection activeCell="I49" sqref="I49"/>
    </sheetView>
  </sheetViews>
  <sheetFormatPr defaultColWidth="9.140625" defaultRowHeight="12.75" x14ac:dyDescent="0.2"/>
  <cols>
    <col min="1" max="1" width="19.42578125" style="39" customWidth="1"/>
    <col min="2" max="2" width="14.42578125" style="39" customWidth="1"/>
    <col min="3" max="5" width="10.5703125" style="39" customWidth="1"/>
    <col min="6" max="6" width="14.5703125" style="39" customWidth="1"/>
    <col min="7" max="7" width="10.7109375" style="39" bestFit="1" customWidth="1"/>
    <col min="8" max="8" width="10.7109375" style="39" customWidth="1"/>
    <col min="9" max="9" width="16" style="40" customWidth="1"/>
    <col min="10" max="10" width="17.42578125" style="40" customWidth="1"/>
    <col min="11" max="11" width="11.85546875" style="39" customWidth="1"/>
    <col min="12" max="12" width="9.140625" style="39"/>
    <col min="13" max="13" width="11.85546875" style="39" customWidth="1"/>
    <col min="14" max="14" width="13.5703125" style="39" customWidth="1"/>
    <col min="15" max="15" width="12.5703125" style="39" customWidth="1"/>
    <col min="16" max="16" width="11.28515625" style="39" customWidth="1"/>
    <col min="17" max="17" width="9.42578125" style="39" customWidth="1"/>
    <col min="18" max="18" width="10" style="39" customWidth="1"/>
    <col min="19" max="19" width="14.5703125" style="39" customWidth="1"/>
    <col min="20" max="21" width="9.140625" style="39"/>
    <col min="22" max="22" width="14.85546875" style="39" customWidth="1"/>
    <col min="23" max="23" width="9.140625" style="39"/>
    <col min="24" max="24" width="10.28515625" style="39" bestFit="1" customWidth="1"/>
    <col min="25" max="29" width="9.140625" style="39"/>
    <col min="30" max="30" width="13.7109375" style="39" customWidth="1"/>
    <col min="31" max="31" width="9.140625" style="39"/>
    <col min="32" max="32" width="22.5703125" style="39" customWidth="1"/>
    <col min="33" max="16384" width="9.140625" style="39"/>
  </cols>
  <sheetData>
    <row r="1" spans="1:32" x14ac:dyDescent="0.2">
      <c r="H1" s="235" t="s">
        <v>109</v>
      </c>
      <c r="I1" s="236"/>
      <c r="J1" s="236"/>
      <c r="K1" s="237"/>
      <c r="M1" s="235" t="s">
        <v>109</v>
      </c>
      <c r="N1" s="236"/>
      <c r="O1" s="236"/>
      <c r="P1" s="237"/>
    </row>
    <row r="2" spans="1:32" ht="14.45" customHeight="1" x14ac:dyDescent="0.2">
      <c r="A2" s="233" t="s">
        <v>185</v>
      </c>
      <c r="B2" s="233"/>
      <c r="C2" s="233"/>
      <c r="D2" s="233"/>
      <c r="E2" s="233"/>
      <c r="F2" s="233"/>
      <c r="H2" s="235" t="s">
        <v>110</v>
      </c>
      <c r="I2" s="237"/>
      <c r="J2" s="87" t="s">
        <v>50</v>
      </c>
      <c r="K2" s="88">
        <v>0.75</v>
      </c>
      <c r="M2" s="235" t="s">
        <v>22</v>
      </c>
      <c r="N2" s="237"/>
      <c r="O2" s="87" t="s">
        <v>50</v>
      </c>
      <c r="P2" s="88">
        <v>1</v>
      </c>
      <c r="R2" s="234" t="s">
        <v>168</v>
      </c>
      <c r="S2" s="234"/>
      <c r="T2" s="234"/>
      <c r="U2" s="234"/>
      <c r="V2" s="234"/>
      <c r="W2" s="234"/>
      <c r="X2" s="234"/>
    </row>
    <row r="3" spans="1:32" ht="38.25" x14ac:dyDescent="0.2">
      <c r="A3" s="41" t="s">
        <v>51</v>
      </c>
      <c r="B3" s="41" t="s">
        <v>111</v>
      </c>
      <c r="C3" s="41" t="s">
        <v>52</v>
      </c>
      <c r="D3" s="41" t="s">
        <v>53</v>
      </c>
      <c r="E3" s="41" t="s">
        <v>54</v>
      </c>
      <c r="F3" s="41" t="s">
        <v>112</v>
      </c>
      <c r="G3" s="42"/>
      <c r="H3" s="41" t="s">
        <v>55</v>
      </c>
      <c r="I3" s="43" t="s">
        <v>56</v>
      </c>
      <c r="J3" s="43" t="s">
        <v>57</v>
      </c>
      <c r="K3" s="41" t="s">
        <v>45</v>
      </c>
      <c r="L3" s="42"/>
      <c r="M3" s="41" t="s">
        <v>55</v>
      </c>
      <c r="N3" s="43" t="s">
        <v>56</v>
      </c>
      <c r="O3" s="43" t="s">
        <v>57</v>
      </c>
      <c r="P3" s="41" t="s">
        <v>45</v>
      </c>
      <c r="R3" s="41" t="str">
        <f>B3</f>
        <v>Универсальная шкала</v>
      </c>
      <c r="S3" s="41" t="s">
        <v>55</v>
      </c>
      <c r="T3" s="43" t="s">
        <v>50</v>
      </c>
      <c r="U3" s="43"/>
      <c r="V3" s="41" t="s">
        <v>184</v>
      </c>
    </row>
    <row r="4" spans="1:32" x14ac:dyDescent="0.2">
      <c r="A4" s="44" t="s">
        <v>58</v>
      </c>
      <c r="B4" s="45" t="s">
        <v>59</v>
      </c>
      <c r="C4" s="46">
        <v>0</v>
      </c>
      <c r="D4" s="46">
        <v>1.1723329425556859E-3</v>
      </c>
      <c r="E4" s="46">
        <v>0</v>
      </c>
      <c r="F4" s="47">
        <v>1.0000000000000001E-5</v>
      </c>
      <c r="H4" s="46">
        <v>0.23994001499750031</v>
      </c>
      <c r="I4" s="48">
        <v>7.500000000000001E-6</v>
      </c>
      <c r="J4" s="48">
        <v>1.1895639320110399E-4</v>
      </c>
      <c r="K4" s="49">
        <v>1.26456393201104E-4</v>
      </c>
      <c r="M4" s="46">
        <v>0.23994001499750031</v>
      </c>
      <c r="N4" s="48">
        <v>1.0000000000000001E-5</v>
      </c>
      <c r="O4" s="48">
        <v>1.5860852426813866E-4</v>
      </c>
      <c r="P4" s="49">
        <v>1.6860852426813866E-4</v>
      </c>
      <c r="R4" s="45" t="str">
        <f>B4</f>
        <v>AAA</v>
      </c>
      <c r="S4" s="46">
        <f>0.06*((1-EXP(-50*F4)/(1-EXP(-50))))+0.12*(1-(1-EXP(-50*F4)/(1-EXP(-50))))</f>
        <v>0.11997000749875016</v>
      </c>
      <c r="T4" s="48">
        <f>1-0.90736*(1-F4^0.30224)^4.5948</f>
        <v>0.21419364827164478</v>
      </c>
      <c r="U4" s="48">
        <f>(_xlfn.NORM.S.INV(F4)+S4^0.5*_xlfn.NORM.S.INV($X$6))/((1-S4)^0.5)</f>
        <v>-3.9696877074540788</v>
      </c>
      <c r="V4" s="121">
        <f>(_xlfn.NORM.S.DIST(U4,TRUE)-F4)*T4</f>
        <v>5.5654892477399891E-6</v>
      </c>
      <c r="X4" s="209">
        <f>_xlfn.NORM.DIST(-0.04,E31,E32,TRUE)</f>
        <v>5.9176263941502924E-2</v>
      </c>
      <c r="Y4" s="119" t="s">
        <v>183</v>
      </c>
      <c r="Z4" s="118" t="s">
        <v>193</v>
      </c>
      <c r="AF4" s="120"/>
    </row>
    <row r="5" spans="1:32" x14ac:dyDescent="0.2">
      <c r="A5" s="44" t="s">
        <v>60</v>
      </c>
      <c r="B5" s="45" t="s">
        <v>61</v>
      </c>
      <c r="C5" s="46">
        <v>0</v>
      </c>
      <c r="D5" s="46">
        <v>0</v>
      </c>
      <c r="E5" s="46">
        <v>0</v>
      </c>
      <c r="F5" s="47">
        <v>5.0000000000000002E-5</v>
      </c>
      <c r="H5" s="46">
        <v>0.2397003746876952</v>
      </c>
      <c r="I5" s="48">
        <v>3.7500000000000003E-5</v>
      </c>
      <c r="J5" s="48">
        <v>5.628953701183625E-4</v>
      </c>
      <c r="K5" s="49">
        <v>6.0039537011836249E-4</v>
      </c>
      <c r="M5" s="46">
        <v>0.2397003746876952</v>
      </c>
      <c r="N5" s="48">
        <v>5.0000000000000002E-5</v>
      </c>
      <c r="O5" s="48">
        <v>7.5052716015781655E-4</v>
      </c>
      <c r="P5" s="49">
        <v>8.0052716015781658E-4</v>
      </c>
      <c r="R5" s="45" t="str">
        <f t="shared" ref="R5:R26" si="0">B5</f>
        <v>AA+</v>
      </c>
      <c r="S5" s="46">
        <f>0.06*((1-EXP(-50*F5)/(1-EXP(-50))))+0.12*(1-(1-EXP(-50*F5)/(1-EXP(-50))))</f>
        <v>0.1198501873438476</v>
      </c>
      <c r="T5" s="48">
        <f t="shared" ref="T5:T24" si="1">1-0.90736*(1-F5^0.30224)^4.5948</f>
        <v>0.28359120437045782</v>
      </c>
      <c r="U5" s="48">
        <f t="shared" ref="U5:U24" si="2">(_xlfn.NORM.S.INV(F5)+S5^0.5*_xlfn.NORM.S.INV($X$6))/((1-S5)^0.5)</f>
        <v>-3.5707354765683732</v>
      </c>
      <c r="V5" s="121">
        <f t="shared" ref="V5:V24" si="3">(_xlfn.NORM.S.DIST(U5,TRUE)-F5)*T5</f>
        <v>3.6296875489130776E-5</v>
      </c>
      <c r="Z5" s="39" t="s">
        <v>194</v>
      </c>
      <c r="AF5" s="120"/>
    </row>
    <row r="6" spans="1:32" x14ac:dyDescent="0.2">
      <c r="A6" s="44" t="s">
        <v>62</v>
      </c>
      <c r="B6" s="45" t="s">
        <v>63</v>
      </c>
      <c r="C6" s="46">
        <v>2.0000000000000001E-4</v>
      </c>
      <c r="D6" s="46">
        <v>0</v>
      </c>
      <c r="E6" s="46">
        <v>0</v>
      </c>
      <c r="F6" s="50">
        <v>6.666666666666667E-5</v>
      </c>
      <c r="H6" s="46">
        <v>0.23960066592654278</v>
      </c>
      <c r="I6" s="48">
        <v>5.0000000000000002E-5</v>
      </c>
      <c r="J6" s="48">
        <v>7.3918043068642845E-4</v>
      </c>
      <c r="K6" s="49">
        <v>7.8918043068642847E-4</v>
      </c>
      <c r="M6" s="46">
        <v>0.23960066592654278</v>
      </c>
      <c r="N6" s="48">
        <v>6.666666666666667E-5</v>
      </c>
      <c r="O6" s="48">
        <v>9.855739075819046E-4</v>
      </c>
      <c r="P6" s="49">
        <v>1.0522405742485713E-3</v>
      </c>
      <c r="R6" s="45" t="str">
        <f t="shared" si="0"/>
        <v>AA</v>
      </c>
      <c r="S6" s="46">
        <f t="shared" ref="S6:S24" si="4">0.06*((1-EXP(-50*F6)/(1-EXP(-50))))+0.12*(1-(1-EXP(-50*F6)/(1-EXP(-50))))</f>
        <v>0.11980033296327139</v>
      </c>
      <c r="T6" s="48">
        <f t="shared" si="1"/>
        <v>0.29923555646084898</v>
      </c>
      <c r="U6" s="48">
        <f t="shared" si="2"/>
        <v>-3.4957447848214867</v>
      </c>
      <c r="V6" s="121">
        <f t="shared" si="3"/>
        <v>5.0781364397777653E-5</v>
      </c>
      <c r="X6" s="39">
        <f>1-X4</f>
        <v>0.94082373605849712</v>
      </c>
      <c r="AF6" s="120"/>
    </row>
    <row r="7" spans="1:32" x14ac:dyDescent="0.2">
      <c r="A7" s="44" t="s">
        <v>64</v>
      </c>
      <c r="B7" s="45" t="s">
        <v>65</v>
      </c>
      <c r="C7" s="46">
        <v>2.9999999999999997E-4</v>
      </c>
      <c r="D7" s="46">
        <v>8.1059173196433392E-4</v>
      </c>
      <c r="E7" s="46">
        <v>4.3323699898556445E-4</v>
      </c>
      <c r="F7" s="50">
        <v>5.1460957698329943E-4</v>
      </c>
      <c r="H7" s="46">
        <v>0.23695172746982804</v>
      </c>
      <c r="I7" s="48">
        <v>3.859571827374746E-4</v>
      </c>
      <c r="J7" s="48">
        <v>4.8054626362045603E-3</v>
      </c>
      <c r="K7" s="49">
        <v>5.1914198189420349E-3</v>
      </c>
      <c r="M7" s="46">
        <v>0.23695172746982804</v>
      </c>
      <c r="N7" s="48">
        <v>5.1460957698329943E-4</v>
      </c>
      <c r="O7" s="48">
        <v>6.4072835149394129E-3</v>
      </c>
      <c r="P7" s="49">
        <v>6.9218930919227126E-3</v>
      </c>
      <c r="R7" s="45" t="str">
        <f t="shared" si="0"/>
        <v>AA-</v>
      </c>
      <c r="S7" s="46">
        <f t="shared" si="4"/>
        <v>0.11847586373491402</v>
      </c>
      <c r="T7" s="48">
        <f t="shared" si="1"/>
        <v>0.4448551584383259</v>
      </c>
      <c r="U7" s="48">
        <f t="shared" si="2"/>
        <v>-2.9235043322732315</v>
      </c>
      <c r="V7" s="121">
        <f t="shared" si="3"/>
        <v>5.4092940028114308E-4</v>
      </c>
      <c r="AF7" s="120"/>
    </row>
    <row r="8" spans="1:32" x14ac:dyDescent="0.2">
      <c r="A8" s="44" t="s">
        <v>66</v>
      </c>
      <c r="B8" s="45" t="s">
        <v>67</v>
      </c>
      <c r="C8" s="46">
        <v>5.0000000000000001E-4</v>
      </c>
      <c r="D8" s="46">
        <v>0</v>
      </c>
      <c r="E8" s="46">
        <v>6.2597187978419289E-4</v>
      </c>
      <c r="F8" s="50">
        <v>5.2999999999999998E-4</v>
      </c>
      <c r="H8" s="46">
        <v>0.2368617652602642</v>
      </c>
      <c r="I8" s="48">
        <v>3.9749999999999996E-4</v>
      </c>
      <c r="J8" s="48">
        <v>4.9318340484964234E-3</v>
      </c>
      <c r="K8" s="49">
        <v>5.3293340484964237E-3</v>
      </c>
      <c r="M8" s="46">
        <v>0.2368617652602642</v>
      </c>
      <c r="N8" s="48">
        <v>5.2999999999999998E-4</v>
      </c>
      <c r="O8" s="48">
        <v>6.5757787313285654E-3</v>
      </c>
      <c r="P8" s="49">
        <v>7.1057787313285655E-3</v>
      </c>
      <c r="R8" s="45" t="str">
        <f t="shared" si="0"/>
        <v>A+</v>
      </c>
      <c r="S8" s="46">
        <f t="shared" si="4"/>
        <v>0.1184308826301321</v>
      </c>
      <c r="T8" s="48">
        <f t="shared" si="1"/>
        <v>0.44742582196396341</v>
      </c>
      <c r="U8" s="48">
        <f t="shared" si="2"/>
        <v>-2.9146796599858922</v>
      </c>
      <c r="V8" s="121">
        <f t="shared" si="3"/>
        <v>5.5940264637337612E-4</v>
      </c>
      <c r="AF8" s="120"/>
    </row>
    <row r="9" spans="1:32" x14ac:dyDescent="0.2">
      <c r="A9" s="44" t="s">
        <v>68</v>
      </c>
      <c r="B9" s="45" t="s">
        <v>69</v>
      </c>
      <c r="C9" s="46">
        <v>5.0000000000000001E-4</v>
      </c>
      <c r="D9" s="46">
        <v>7.0621468926553672E-4</v>
      </c>
      <c r="E9" s="46">
        <v>4.3750455518509757E-4</v>
      </c>
      <c r="F9" s="50">
        <v>5.4790641481687814E-4</v>
      </c>
      <c r="H9" s="46">
        <v>0.23675718332219026</v>
      </c>
      <c r="I9" s="48">
        <v>4.1092981111265857E-4</v>
      </c>
      <c r="J9" s="48">
        <v>5.0780870835640205E-3</v>
      </c>
      <c r="K9" s="49">
        <v>5.4890168946766793E-3</v>
      </c>
      <c r="M9" s="46">
        <v>0.23675718332219026</v>
      </c>
      <c r="N9" s="48">
        <v>5.4790641481687814E-4</v>
      </c>
      <c r="O9" s="48">
        <v>6.7707827780853613E-3</v>
      </c>
      <c r="P9" s="49">
        <v>7.3186891929022391E-3</v>
      </c>
      <c r="R9" s="45" t="str">
        <f t="shared" si="0"/>
        <v>A</v>
      </c>
      <c r="S9" s="46">
        <f t="shared" si="4"/>
        <v>0.11837859166109513</v>
      </c>
      <c r="T9" s="48">
        <f t="shared" si="1"/>
        <v>0.4503406505876516</v>
      </c>
      <c r="U9" s="48">
        <f t="shared" si="2"/>
        <v>-2.9047076238775014</v>
      </c>
      <c r="V9" s="121">
        <f t="shared" si="3"/>
        <v>5.8097326812807815E-4</v>
      </c>
      <c r="AF9" s="120"/>
    </row>
    <row r="10" spans="1:32" x14ac:dyDescent="0.2">
      <c r="A10" s="44" t="s">
        <v>70</v>
      </c>
      <c r="B10" s="45" t="s">
        <v>71</v>
      </c>
      <c r="C10" s="46">
        <v>5.9999999999999995E-4</v>
      </c>
      <c r="D10" s="46">
        <v>5.9180352123095132E-4</v>
      </c>
      <c r="E10" s="46">
        <v>5.3977628452939186E-4</v>
      </c>
      <c r="F10" s="50">
        <v>5.77193268586781E-4</v>
      </c>
      <c r="H10" s="46">
        <v>0.23658633591456821</v>
      </c>
      <c r="I10" s="48">
        <v>4.3289495144008575E-4</v>
      </c>
      <c r="J10" s="48">
        <v>5.3155422619068568E-3</v>
      </c>
      <c r="K10" s="49">
        <v>5.7484372133469429E-3</v>
      </c>
      <c r="M10" s="46">
        <v>0.23658633591456821</v>
      </c>
      <c r="N10" s="48">
        <v>5.77193268586781E-4</v>
      </c>
      <c r="O10" s="48">
        <v>7.0873896825424769E-3</v>
      </c>
      <c r="P10" s="49">
        <v>7.6645829511292583E-3</v>
      </c>
      <c r="R10" s="45" t="str">
        <f t="shared" si="0"/>
        <v>A-</v>
      </c>
      <c r="S10" s="46">
        <f t="shared" si="4"/>
        <v>0.1182931679572841</v>
      </c>
      <c r="T10" s="48">
        <f t="shared" si="1"/>
        <v>0.45494321569513807</v>
      </c>
      <c r="U10" s="48">
        <f t="shared" si="2"/>
        <v>-2.8890333922565832</v>
      </c>
      <c r="V10" s="121">
        <f t="shared" si="3"/>
        <v>6.1642390567728691E-4</v>
      </c>
      <c r="AF10" s="120"/>
    </row>
    <row r="11" spans="1:32" x14ac:dyDescent="0.2">
      <c r="A11" s="44" t="s">
        <v>72</v>
      </c>
      <c r="B11" s="45" t="s">
        <v>73</v>
      </c>
      <c r="C11" s="46">
        <v>8.9999999999999998E-4</v>
      </c>
      <c r="D11" s="46">
        <v>8.3010514665190918E-4</v>
      </c>
      <c r="E11" s="46">
        <v>1.0580937497897125E-3</v>
      </c>
      <c r="F11" s="50">
        <v>9.2939963214720733E-4</v>
      </c>
      <c r="G11" s="51"/>
      <c r="H11" s="46">
        <v>0.23455118585926016</v>
      </c>
      <c r="I11" s="48">
        <v>6.9704972411040547E-4</v>
      </c>
      <c r="J11" s="48">
        <v>8.0258658755348947E-3</v>
      </c>
      <c r="K11" s="49">
        <v>8.7229155996452999E-3</v>
      </c>
      <c r="M11" s="46">
        <v>0.23455118585926016</v>
      </c>
      <c r="N11" s="48">
        <v>9.2939963214720733E-4</v>
      </c>
      <c r="O11" s="48">
        <v>1.0701154500713194E-2</v>
      </c>
      <c r="P11" s="49">
        <v>1.1630554132860401E-2</v>
      </c>
      <c r="R11" s="45" t="str">
        <f t="shared" si="0"/>
        <v>BBB+</v>
      </c>
      <c r="S11" s="46">
        <f t="shared" si="4"/>
        <v>0.11727559292963008</v>
      </c>
      <c r="T11" s="48">
        <f t="shared" si="1"/>
        <v>0.49897449389572135</v>
      </c>
      <c r="U11" s="48">
        <f t="shared" si="2"/>
        <v>-2.7429451977276322</v>
      </c>
      <c r="V11" s="121">
        <f t="shared" si="3"/>
        <v>1.0554022591909467E-3</v>
      </c>
      <c r="AF11" s="120"/>
    </row>
    <row r="12" spans="1:32" x14ac:dyDescent="0.2">
      <c r="A12" s="44" t="s">
        <v>74</v>
      </c>
      <c r="B12" s="45" t="s">
        <v>75</v>
      </c>
      <c r="C12" s="46">
        <v>1.5E-3</v>
      </c>
      <c r="D12" s="46">
        <v>5.1948051948051948E-4</v>
      </c>
      <c r="E12" s="46">
        <v>1.4264582999801156E-3</v>
      </c>
      <c r="F12" s="50">
        <v>1.1486462731535451E-3</v>
      </c>
      <c r="G12" s="51"/>
      <c r="H12" s="46">
        <v>0.23330229560479887</v>
      </c>
      <c r="I12" s="48">
        <v>8.6148470486515879E-4</v>
      </c>
      <c r="J12" s="48">
        <v>9.6016837754336858E-3</v>
      </c>
      <c r="K12" s="49">
        <v>1.0463168480298844E-2</v>
      </c>
      <c r="M12" s="46">
        <v>0.23330229560479887</v>
      </c>
      <c r="N12" s="48">
        <v>1.1486462731535451E-3</v>
      </c>
      <c r="O12" s="48">
        <v>1.2802245033911582E-2</v>
      </c>
      <c r="P12" s="49">
        <v>1.3950891307065127E-2</v>
      </c>
      <c r="R12" s="45" t="str">
        <f t="shared" si="0"/>
        <v>BBB</v>
      </c>
      <c r="S12" s="46">
        <f t="shared" si="4"/>
        <v>0.11665114780239944</v>
      </c>
      <c r="T12" s="48">
        <f t="shared" si="1"/>
        <v>0.51963117380453938</v>
      </c>
      <c r="U12" s="48">
        <f t="shared" si="2"/>
        <v>-2.6763817137660477</v>
      </c>
      <c r="V12" s="121">
        <f t="shared" si="3"/>
        <v>1.3367227501891068E-3</v>
      </c>
      <c r="AF12" s="120"/>
    </row>
    <row r="13" spans="1:32" x14ac:dyDescent="0.2">
      <c r="A13" s="44" t="s">
        <v>76</v>
      </c>
      <c r="B13" s="45" t="s">
        <v>77</v>
      </c>
      <c r="C13" s="46">
        <v>2.3999999999999998E-3</v>
      </c>
      <c r="D13" s="46">
        <v>2.4528591139046452E-3</v>
      </c>
      <c r="E13" s="46">
        <v>2.2648093102919375E-3</v>
      </c>
      <c r="F13" s="50">
        <v>2.372556141398861E-3</v>
      </c>
      <c r="G13" s="51"/>
      <c r="H13" s="46">
        <v>0.22657659576590455</v>
      </c>
      <c r="I13" s="48">
        <v>1.7794171060491457E-3</v>
      </c>
      <c r="J13" s="48">
        <v>1.7331179238117309E-2</v>
      </c>
      <c r="K13" s="49">
        <v>1.9110596344166456E-2</v>
      </c>
      <c r="M13" s="46">
        <v>0.22657659576590455</v>
      </c>
      <c r="N13" s="48">
        <v>2.372556141398861E-3</v>
      </c>
      <c r="O13" s="48">
        <v>2.3108238984156412E-2</v>
      </c>
      <c r="P13" s="49">
        <v>2.5480795125555275E-2</v>
      </c>
      <c r="R13" s="45" t="str">
        <f t="shared" si="0"/>
        <v>BBB-</v>
      </c>
      <c r="S13" s="46">
        <f t="shared" si="4"/>
        <v>0.11328829788295228</v>
      </c>
      <c r="T13" s="48">
        <f t="shared" si="1"/>
        <v>0.59486021440851933</v>
      </c>
      <c r="U13" s="48">
        <f t="shared" si="2"/>
        <v>-2.4405951816254596</v>
      </c>
      <c r="V13" s="121">
        <f t="shared" si="3"/>
        <v>2.9499026019492382E-3</v>
      </c>
      <c r="AF13" s="120"/>
    </row>
    <row r="14" spans="1:32" x14ac:dyDescent="0.2">
      <c r="A14" s="44" t="s">
        <v>78</v>
      </c>
      <c r="B14" s="45" t="s">
        <v>79</v>
      </c>
      <c r="C14" s="46">
        <v>3.2000000000000002E-3</v>
      </c>
      <c r="D14" s="46">
        <v>2.7950310559006208E-3</v>
      </c>
      <c r="E14" s="46">
        <v>4.2346157814935337E-3</v>
      </c>
      <c r="F14" s="50">
        <v>3.4098822791313846E-3</v>
      </c>
      <c r="G14" s="51"/>
      <c r="H14" s="46">
        <v>0.22118976636104029</v>
      </c>
      <c r="I14" s="48">
        <v>2.5574117093485386E-3</v>
      </c>
      <c r="J14" s="48">
        <v>2.2888357949587639E-2</v>
      </c>
      <c r="K14" s="49">
        <v>2.5445769658936176E-2</v>
      </c>
      <c r="M14" s="46">
        <v>0.22118976636104029</v>
      </c>
      <c r="N14" s="48">
        <v>3.4098822791313846E-3</v>
      </c>
      <c r="O14" s="48">
        <v>3.0517810599450187E-2</v>
      </c>
      <c r="P14" s="49">
        <v>3.3927692878581571E-2</v>
      </c>
      <c r="R14" s="45" t="str">
        <f t="shared" si="0"/>
        <v>BB+</v>
      </c>
      <c r="S14" s="46">
        <f t="shared" si="4"/>
        <v>0.11059488318052015</v>
      </c>
      <c r="T14" s="48">
        <f t="shared" si="1"/>
        <v>0.63461060334031372</v>
      </c>
      <c r="U14" s="48">
        <f t="shared" si="2"/>
        <v>-2.3180943469749491</v>
      </c>
      <c r="V14" s="121">
        <f t="shared" si="3"/>
        <v>4.3231037193945891E-3</v>
      </c>
      <c r="AF14" s="120"/>
    </row>
    <row r="15" spans="1:32" x14ac:dyDescent="0.2">
      <c r="A15" s="44" t="s">
        <v>80</v>
      </c>
      <c r="B15" s="45" t="s">
        <v>81</v>
      </c>
      <c r="C15" s="46">
        <v>4.7999999999999996E-3</v>
      </c>
      <c r="D15" s="46">
        <v>5.2210233205708338E-3</v>
      </c>
      <c r="E15" s="46">
        <v>6.7938091388333177E-3</v>
      </c>
      <c r="F15" s="50">
        <v>5.6049441531347173E-3</v>
      </c>
      <c r="G15" s="51"/>
      <c r="H15" s="46">
        <v>0.21067163148236215</v>
      </c>
      <c r="I15" s="48">
        <v>4.203708114851038E-3</v>
      </c>
      <c r="J15" s="48">
        <v>3.2694150032581602E-2</v>
      </c>
      <c r="K15" s="49">
        <v>3.6897858147432641E-2</v>
      </c>
      <c r="M15" s="46">
        <v>0.21067163148236215</v>
      </c>
      <c r="N15" s="48">
        <v>5.6049441531347173E-3</v>
      </c>
      <c r="O15" s="48">
        <v>4.3592200043442136E-2</v>
      </c>
      <c r="P15" s="49">
        <v>4.919714419657685E-2</v>
      </c>
      <c r="R15" s="45" t="str">
        <f t="shared" si="0"/>
        <v>BB</v>
      </c>
      <c r="S15" s="46">
        <f t="shared" si="4"/>
        <v>0.10533581574118107</v>
      </c>
      <c r="T15" s="48">
        <f t="shared" si="1"/>
        <v>0.69049286501005969</v>
      </c>
      <c r="U15" s="48">
        <f t="shared" si="2"/>
        <v>-2.1453560828047169</v>
      </c>
      <c r="V15" s="121">
        <f t="shared" si="3"/>
        <v>7.1516069880933021E-3</v>
      </c>
      <c r="AF15" s="120"/>
    </row>
    <row r="16" spans="1:32" x14ac:dyDescent="0.2">
      <c r="A16" s="44" t="s">
        <v>82</v>
      </c>
      <c r="B16" s="45" t="s">
        <v>83</v>
      </c>
      <c r="C16" s="46">
        <v>9.5999999999999992E-3</v>
      </c>
      <c r="D16" s="46">
        <v>1.0948905109489048E-2</v>
      </c>
      <c r="E16" s="46">
        <v>1.2936524060171539E-2</v>
      </c>
      <c r="F16" s="50">
        <v>1.1161809723220196E-2</v>
      </c>
      <c r="G16" s="51"/>
      <c r="H16" s="46">
        <v>0.18867610050094885</v>
      </c>
      <c r="I16" s="48">
        <v>8.3713572924151471E-3</v>
      </c>
      <c r="J16" s="48">
        <v>5.0555801609588627E-2</v>
      </c>
      <c r="K16" s="49">
        <v>5.8927158902003771E-2</v>
      </c>
      <c r="M16" s="46">
        <v>0.18867610050094885</v>
      </c>
      <c r="N16" s="48">
        <v>1.1161809723220196E-2</v>
      </c>
      <c r="O16" s="48">
        <v>6.7407735479451503E-2</v>
      </c>
      <c r="P16" s="49">
        <v>7.8569545202671703E-2</v>
      </c>
      <c r="R16" s="45" t="str">
        <f t="shared" si="0"/>
        <v>BB-</v>
      </c>
      <c r="S16" s="46">
        <f t="shared" si="4"/>
        <v>9.4338050250474426E-2</v>
      </c>
      <c r="T16" s="48">
        <f t="shared" si="1"/>
        <v>0.76827308288818041</v>
      </c>
      <c r="U16" s="48">
        <f t="shared" si="2"/>
        <v>-1.8968270778024996</v>
      </c>
      <c r="V16" s="121">
        <f t="shared" si="3"/>
        <v>1.3647274556882657E-2</v>
      </c>
      <c r="AF16" s="120"/>
    </row>
    <row r="17" spans="1:32" x14ac:dyDescent="0.2">
      <c r="A17" s="44" t="s">
        <v>84</v>
      </c>
      <c r="B17" s="45" t="s">
        <v>85</v>
      </c>
      <c r="C17" s="46">
        <v>1.9800000000000002E-2</v>
      </c>
      <c r="D17" s="46">
        <v>1.4095851792186869E-2</v>
      </c>
      <c r="E17" s="46">
        <v>1.9341351803721873E-2</v>
      </c>
      <c r="F17" s="50">
        <v>1.7745734531969582E-2</v>
      </c>
      <c r="G17" s="51"/>
      <c r="H17" s="46">
        <v>0.16941257844540847</v>
      </c>
      <c r="I17" s="48">
        <v>1.3309300898977187E-2</v>
      </c>
      <c r="J17" s="48">
        <v>6.503289224274178E-2</v>
      </c>
      <c r="K17" s="49">
        <v>7.8342193141718974E-2</v>
      </c>
      <c r="M17" s="46">
        <v>0.16941257844540847</v>
      </c>
      <c r="N17" s="48">
        <v>1.7745734531969582E-2</v>
      </c>
      <c r="O17" s="48">
        <v>8.6710522990322392E-2</v>
      </c>
      <c r="P17" s="49">
        <v>0.10445625752229197</v>
      </c>
      <c r="R17" s="45" t="str">
        <f t="shared" si="0"/>
        <v>B+</v>
      </c>
      <c r="S17" s="46">
        <f t="shared" si="4"/>
        <v>8.4706289222704234E-2</v>
      </c>
      <c r="T17" s="48">
        <f t="shared" si="1"/>
        <v>0.81872255593563936</v>
      </c>
      <c r="U17" s="48">
        <f t="shared" si="2"/>
        <v>-1.7227542574832397</v>
      </c>
      <c r="V17" s="121">
        <f t="shared" si="3"/>
        <v>2.0239437618496649E-2</v>
      </c>
      <c r="AF17" s="120"/>
    </row>
    <row r="18" spans="1:32" x14ac:dyDescent="0.2">
      <c r="A18" s="44" t="s">
        <v>86</v>
      </c>
      <c r="B18" s="45" t="s">
        <v>87</v>
      </c>
      <c r="C18" s="46">
        <v>3.1300000000000001E-2</v>
      </c>
      <c r="D18" s="46">
        <v>2.1015067406819989E-2</v>
      </c>
      <c r="E18" s="46">
        <v>2.9758011021272401E-2</v>
      </c>
      <c r="F18" s="50">
        <v>2.7357692809364131E-2</v>
      </c>
      <c r="G18" s="51"/>
      <c r="H18" s="46">
        <v>0.15055740672779094</v>
      </c>
      <c r="I18" s="48">
        <v>2.0518269607023097E-2</v>
      </c>
      <c r="J18" s="48">
        <v>8.040939285227644E-2</v>
      </c>
      <c r="K18" s="49">
        <v>0.10092766245929954</v>
      </c>
      <c r="M18" s="46">
        <v>0.15055740672779094</v>
      </c>
      <c r="N18" s="48">
        <v>2.7357692809364131E-2</v>
      </c>
      <c r="O18" s="48">
        <v>0.10721252380303524</v>
      </c>
      <c r="P18" s="49">
        <v>0.13457021661239937</v>
      </c>
      <c r="R18" s="45" t="str">
        <f t="shared" si="0"/>
        <v>B</v>
      </c>
      <c r="S18" s="46">
        <f t="shared" si="4"/>
        <v>7.5278703363895472E-2</v>
      </c>
      <c r="T18" s="48">
        <f t="shared" si="1"/>
        <v>0.86269500270015786</v>
      </c>
      <c r="U18" s="48">
        <f t="shared" si="2"/>
        <v>-1.5522062425272265</v>
      </c>
      <c r="V18" s="121">
        <f t="shared" si="3"/>
        <v>2.8424720798995207E-2</v>
      </c>
      <c r="AF18" s="120"/>
    </row>
    <row r="19" spans="1:32" x14ac:dyDescent="0.2">
      <c r="A19" s="44" t="s">
        <v>88</v>
      </c>
      <c r="B19" s="45" t="s">
        <v>89</v>
      </c>
      <c r="C19" s="46">
        <v>6.5199999999999994E-2</v>
      </c>
      <c r="D19" s="46">
        <v>3.2000000000000001E-2</v>
      </c>
      <c r="E19" s="46">
        <v>4.6433445927740236E-2</v>
      </c>
      <c r="F19" s="50">
        <v>4.787781530924675E-2</v>
      </c>
      <c r="G19" s="51"/>
      <c r="H19" s="46">
        <v>0.13095286403006209</v>
      </c>
      <c r="I19" s="48">
        <v>3.5908361481935061E-2</v>
      </c>
      <c r="J19" s="48">
        <v>0.10538433903618909</v>
      </c>
      <c r="K19" s="49">
        <v>0.14129270051812415</v>
      </c>
      <c r="M19" s="46">
        <v>0.13095286403006209</v>
      </c>
      <c r="N19" s="48">
        <v>4.787781530924675E-2</v>
      </c>
      <c r="O19" s="48">
        <v>0.14051245204825211</v>
      </c>
      <c r="P19" s="49">
        <v>0.18839026735749886</v>
      </c>
      <c r="R19" s="45" t="str">
        <f t="shared" si="0"/>
        <v>B-</v>
      </c>
      <c r="S19" s="46">
        <f t="shared" si="4"/>
        <v>6.5476432015031047E-2</v>
      </c>
      <c r="T19" s="48">
        <f t="shared" si="1"/>
        <v>0.91261967052796855</v>
      </c>
      <c r="U19" s="48">
        <f t="shared" si="2"/>
        <v>-1.3097734522662958</v>
      </c>
      <c r="V19" s="121">
        <f t="shared" si="3"/>
        <v>4.3128970979898276E-2</v>
      </c>
      <c r="AF19" s="120"/>
    </row>
    <row r="20" spans="1:32" x14ac:dyDescent="0.2">
      <c r="A20" s="44" t="s">
        <v>90</v>
      </c>
      <c r="B20" s="44" t="s">
        <v>91</v>
      </c>
      <c r="C20" s="46">
        <v>0.17409999999999998</v>
      </c>
      <c r="D20" s="46">
        <v>0.13373255813953489</v>
      </c>
      <c r="E20" s="46">
        <v>6.2266718460657122E-2</v>
      </c>
      <c r="F20" s="50">
        <v>0.12336642553339733</v>
      </c>
      <c r="H20" s="46">
        <v>0.12025136994665954</v>
      </c>
      <c r="I20" s="48">
        <v>9.2524819150047996E-2</v>
      </c>
      <c r="J20" s="48">
        <v>0.17288459683164764</v>
      </c>
      <c r="K20" s="49">
        <v>0.26540941598169565</v>
      </c>
      <c r="M20" s="46">
        <v>0.12025136994665954</v>
      </c>
      <c r="N20" s="48">
        <v>0.12336642553339733</v>
      </c>
      <c r="O20" s="48">
        <v>0.23051279577553024</v>
      </c>
      <c r="P20" s="49">
        <v>0.35387922130892757</v>
      </c>
      <c r="R20" s="45" t="str">
        <f t="shared" si="0"/>
        <v>CCC+</v>
      </c>
      <c r="S20" s="46">
        <f t="shared" si="4"/>
        <v>6.012568497332977E-2</v>
      </c>
      <c r="T20" s="48">
        <f t="shared" si="1"/>
        <v>0.97209427002268345</v>
      </c>
      <c r="U20" s="48">
        <f t="shared" si="2"/>
        <v>-0.79979467090392309</v>
      </c>
      <c r="V20" s="121">
        <f t="shared" si="3"/>
        <v>8.6077450624101076E-2</v>
      </c>
      <c r="AF20" s="120"/>
    </row>
    <row r="21" spans="1:32" x14ac:dyDescent="0.2">
      <c r="A21" s="44" t="s">
        <v>92</v>
      </c>
      <c r="B21" s="44" t="s">
        <v>93</v>
      </c>
      <c r="C21" s="52">
        <v>0.28299999999999997</v>
      </c>
      <c r="D21" s="52">
        <v>0.2354651162790698</v>
      </c>
      <c r="E21" s="46">
        <v>7.8099990993574009E-2</v>
      </c>
      <c r="F21" s="50">
        <v>0.19885503575754793</v>
      </c>
      <c r="H21" s="46">
        <v>0.12000576897968515</v>
      </c>
      <c r="I21" s="48">
        <v>0.14914127681816094</v>
      </c>
      <c r="J21" s="48">
        <v>0.21315910841616251</v>
      </c>
      <c r="K21" s="49">
        <v>0.36230038523432345</v>
      </c>
      <c r="M21" s="46">
        <v>0.12000576897968515</v>
      </c>
      <c r="N21" s="48">
        <v>0.19885503575754793</v>
      </c>
      <c r="O21" s="48">
        <v>0.28421214455488336</v>
      </c>
      <c r="P21" s="49">
        <v>0.48306718031243129</v>
      </c>
      <c r="R21" s="45" t="str">
        <f t="shared" si="0"/>
        <v>CCC</v>
      </c>
      <c r="S21" s="46">
        <f t="shared" si="4"/>
        <v>6.0002884489842576E-2</v>
      </c>
      <c r="T21" s="48">
        <f t="shared" si="1"/>
        <v>0.98853071991874253</v>
      </c>
      <c r="U21" s="48">
        <f t="shared" si="2"/>
        <v>-0.47771958645327606</v>
      </c>
      <c r="V21" s="121">
        <f t="shared" si="3"/>
        <v>0.11622142342823263</v>
      </c>
      <c r="AF21" s="120"/>
    </row>
    <row r="22" spans="1:32" x14ac:dyDescent="0.2">
      <c r="A22" s="44" t="s">
        <v>113</v>
      </c>
      <c r="B22" s="44" t="s">
        <v>94</v>
      </c>
      <c r="C22" s="52">
        <v>0.28299999999999997</v>
      </c>
      <c r="D22" s="52">
        <v>0.2354651162790698</v>
      </c>
      <c r="E22" s="46">
        <v>0.21164126775008979</v>
      </c>
      <c r="F22" s="50">
        <v>0.2433687946763865</v>
      </c>
      <c r="H22" s="46">
        <v>0.12000062300999806</v>
      </c>
      <c r="I22" s="48">
        <v>0.18252659600728988</v>
      </c>
      <c r="J22" s="48">
        <v>0.22759407634678663</v>
      </c>
      <c r="K22" s="49">
        <v>0.41012067235407651</v>
      </c>
      <c r="M22" s="46">
        <v>0.12000062300999806</v>
      </c>
      <c r="N22" s="48">
        <v>0.2433687946763865</v>
      </c>
      <c r="O22" s="48">
        <v>0.30345876846238218</v>
      </c>
      <c r="P22" s="49">
        <v>0.54682756313876868</v>
      </c>
      <c r="R22" s="45" t="str">
        <f t="shared" si="0"/>
        <v>CCC-</v>
      </c>
      <c r="S22" s="46">
        <f t="shared" si="4"/>
        <v>6.0000311504999029E-2</v>
      </c>
      <c r="T22" s="48">
        <f t="shared" si="1"/>
        <v>0.99293336387402265</v>
      </c>
      <c r="U22" s="48">
        <f t="shared" si="2"/>
        <v>-0.32279659599630756</v>
      </c>
      <c r="V22" s="121">
        <f t="shared" si="3"/>
        <v>0.12913679351396351</v>
      </c>
      <c r="AF22" s="120"/>
    </row>
    <row r="23" spans="1:32" x14ac:dyDescent="0.2">
      <c r="A23" s="45" t="s">
        <v>114</v>
      </c>
      <c r="B23" s="45" t="s">
        <v>95</v>
      </c>
      <c r="C23" s="46">
        <v>0.28299999999999997</v>
      </c>
      <c r="D23" s="46">
        <v>0.2354651162790698</v>
      </c>
      <c r="E23" s="46">
        <v>0.34518254450660557</v>
      </c>
      <c r="F23" s="50">
        <v>0.28788255359522513</v>
      </c>
      <c r="H23" s="46">
        <v>0.12000006728078082</v>
      </c>
      <c r="I23" s="48">
        <v>0.21591191519641884</v>
      </c>
      <c r="J23" s="48">
        <v>0.23675025318474208</v>
      </c>
      <c r="K23" s="49">
        <v>0.45266216838116091</v>
      </c>
      <c r="M23" s="46">
        <v>0.12000006728078082</v>
      </c>
      <c r="N23" s="48">
        <v>0.28788255359522513</v>
      </c>
      <c r="O23" s="48">
        <v>0.31566700424632271</v>
      </c>
      <c r="P23" s="49">
        <v>0.60354955784154785</v>
      </c>
      <c r="R23" s="45" t="str">
        <f t="shared" si="0"/>
        <v>СС</v>
      </c>
      <c r="S23" s="46">
        <f t="shared" si="4"/>
        <v>6.0000033640390409E-2</v>
      </c>
      <c r="T23" s="48">
        <f t="shared" si="1"/>
        <v>0.99559475612004034</v>
      </c>
      <c r="U23" s="48">
        <f t="shared" si="2"/>
        <v>-0.18260067741080876</v>
      </c>
      <c r="V23" s="121">
        <f t="shared" si="3"/>
        <v>0.13905782862698146</v>
      </c>
      <c r="AF23" s="120"/>
    </row>
    <row r="24" spans="1:32" x14ac:dyDescent="0.2">
      <c r="A24" s="45" t="s">
        <v>98</v>
      </c>
      <c r="B24" s="45" t="s">
        <v>115</v>
      </c>
      <c r="C24" s="46">
        <v>0.64149999999999996</v>
      </c>
      <c r="D24" s="46">
        <v>0.61773255813953487</v>
      </c>
      <c r="E24" s="46">
        <v>0.67259127225330273</v>
      </c>
      <c r="F24" s="50">
        <v>0.64394127679761259</v>
      </c>
      <c r="H24" s="46">
        <v>0.12000000000000124</v>
      </c>
      <c r="I24" s="48">
        <v>0.48295595759820942</v>
      </c>
      <c r="J24" s="48">
        <v>0.18813920853945865</v>
      </c>
      <c r="K24" s="49">
        <v>0.67109516613766806</v>
      </c>
      <c r="M24" s="46">
        <v>0.12000000000000124</v>
      </c>
      <c r="N24" s="48">
        <v>0.64394127679761259</v>
      </c>
      <c r="O24" s="48">
        <v>0.25085227805261157</v>
      </c>
      <c r="P24" s="49">
        <v>0.89479355485022416</v>
      </c>
      <c r="R24" s="45" t="str">
        <f t="shared" si="0"/>
        <v>С</v>
      </c>
      <c r="S24" s="46">
        <f t="shared" si="4"/>
        <v>6.0000000000000622E-2</v>
      </c>
      <c r="T24" s="48">
        <f t="shared" si="1"/>
        <v>0.99993672275788015</v>
      </c>
      <c r="U24" s="48">
        <f t="shared" si="2"/>
        <v>0.77517185291733814</v>
      </c>
      <c r="V24" s="121">
        <f t="shared" si="3"/>
        <v>0.13693099904282638</v>
      </c>
      <c r="AF24" s="120"/>
    </row>
    <row r="25" spans="1:32" x14ac:dyDescent="0.2">
      <c r="A25" s="45" t="s">
        <v>98</v>
      </c>
      <c r="B25" s="45" t="s">
        <v>132</v>
      </c>
      <c r="C25" s="46">
        <v>1</v>
      </c>
      <c r="D25" s="46">
        <v>1</v>
      </c>
      <c r="E25" s="46">
        <v>1</v>
      </c>
      <c r="F25" s="50">
        <v>1</v>
      </c>
      <c r="H25" s="46"/>
      <c r="I25" s="48"/>
      <c r="J25" s="48"/>
      <c r="K25" s="49">
        <f>F25</f>
        <v>1</v>
      </c>
      <c r="M25" s="88"/>
      <c r="N25" s="88"/>
      <c r="O25" s="88"/>
      <c r="P25" s="122">
        <f>F25</f>
        <v>1</v>
      </c>
      <c r="R25" s="45" t="str">
        <f t="shared" si="0"/>
        <v>RD</v>
      </c>
      <c r="S25" s="46"/>
      <c r="T25" s="48"/>
      <c r="U25" s="48"/>
      <c r="V25" s="121">
        <f>F25</f>
        <v>1</v>
      </c>
      <c r="AF25" s="120"/>
    </row>
    <row r="26" spans="1:32" x14ac:dyDescent="0.2">
      <c r="A26" s="45" t="s">
        <v>115</v>
      </c>
      <c r="B26" s="45" t="s">
        <v>116</v>
      </c>
      <c r="C26" s="46">
        <v>1</v>
      </c>
      <c r="D26" s="46">
        <v>1</v>
      </c>
      <c r="E26" s="46">
        <v>1</v>
      </c>
      <c r="F26" s="50">
        <v>1</v>
      </c>
      <c r="H26" s="46"/>
      <c r="I26" s="48"/>
      <c r="J26" s="48"/>
      <c r="K26" s="49">
        <f>F26</f>
        <v>1</v>
      </c>
      <c r="M26" s="88"/>
      <c r="N26" s="88"/>
      <c r="O26" s="88"/>
      <c r="P26" s="122">
        <f>F26</f>
        <v>1</v>
      </c>
      <c r="R26" s="45" t="str">
        <f t="shared" si="0"/>
        <v>D</v>
      </c>
      <c r="S26" s="46"/>
      <c r="T26" s="48"/>
      <c r="U26" s="48"/>
      <c r="V26" s="121">
        <f>F26</f>
        <v>1</v>
      </c>
    </row>
    <row r="30" spans="1:32" ht="15" customHeight="1" x14ac:dyDescent="0.2">
      <c r="A30" s="232" t="s">
        <v>169</v>
      </c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</row>
    <row r="31" spans="1:32" ht="15" x14ac:dyDescent="0.25">
      <c r="A31" s="111"/>
      <c r="B31" s="111"/>
      <c r="C31" s="111"/>
      <c r="D31" s="115" t="s">
        <v>170</v>
      </c>
      <c r="E31" s="117">
        <f>AVERAGE(C45:C230)</f>
        <v>2.5883678797359835E-2</v>
      </c>
      <c r="F31" s="116"/>
      <c r="G31" s="116">
        <v>0.999</v>
      </c>
      <c r="H31" s="117">
        <f>_xlfn.NORM.INV(1-G31,$E$31,$E$32)</f>
        <v>-0.10448224958041735</v>
      </c>
      <c r="I31" s="116">
        <f>COUNTIF(C48:C230,"&lt;=" &amp;H31)</f>
        <v>0</v>
      </c>
      <c r="J31" s="111"/>
    </row>
    <row r="32" spans="1:32" ht="15" x14ac:dyDescent="0.25">
      <c r="A32" s="111" t="s">
        <v>171</v>
      </c>
      <c r="B32" s="111"/>
      <c r="C32" s="111"/>
      <c r="D32" s="115" t="s">
        <v>172</v>
      </c>
      <c r="E32" s="117">
        <f>_xlfn.STDEV.S(C45:C230)</f>
        <v>4.218644925741636E-2</v>
      </c>
      <c r="F32" s="116"/>
      <c r="G32" s="116">
        <v>0.995</v>
      </c>
      <c r="H32" s="117">
        <f t="shared" ref="H32:H35" si="5">_xlfn.NORM.INV(1-G32,$E$31,$E$32)</f>
        <v>-8.2781413412571947E-2</v>
      </c>
      <c r="I32" s="116">
        <f>COUNTIF(C48:C230,"&lt;=" &amp;H32)</f>
        <v>1</v>
      </c>
      <c r="J32" s="111"/>
    </row>
    <row r="33" spans="1:10" ht="15" x14ac:dyDescent="0.25">
      <c r="A33" s="111" t="s">
        <v>173</v>
      </c>
      <c r="B33" s="111"/>
      <c r="C33" s="111"/>
      <c r="D33" s="116"/>
      <c r="E33" s="116"/>
      <c r="F33" s="116"/>
      <c r="G33" s="116">
        <v>0.99</v>
      </c>
      <c r="H33" s="117">
        <f t="shared" si="5"/>
        <v>-7.2256677745962519E-2</v>
      </c>
      <c r="I33" s="116">
        <f>COUNTIF(C48:C230,"&lt;=" &amp;H33)</f>
        <v>3</v>
      </c>
      <c r="J33" s="111"/>
    </row>
    <row r="34" spans="1:10" ht="15" x14ac:dyDescent="0.25">
      <c r="A34" s="111" t="s">
        <v>174</v>
      </c>
      <c r="B34" s="111"/>
      <c r="C34" s="111"/>
      <c r="D34" s="116"/>
      <c r="E34" s="116"/>
      <c r="F34" s="116"/>
      <c r="G34" s="116">
        <v>0.95</v>
      </c>
      <c r="H34" s="117">
        <f t="shared" si="5"/>
        <v>-4.3506855271905676E-2</v>
      </c>
      <c r="I34" s="116">
        <f>COUNTIF(C48:C230,"&lt;=" &amp;H34)</f>
        <v>4</v>
      </c>
      <c r="J34" s="111"/>
    </row>
    <row r="35" spans="1:10" ht="15" x14ac:dyDescent="0.25">
      <c r="A35" s="111" t="s">
        <v>175</v>
      </c>
      <c r="B35" s="111"/>
      <c r="C35" s="111"/>
      <c r="D35" s="116"/>
      <c r="E35" s="116"/>
      <c r="F35" s="116"/>
      <c r="G35" s="116">
        <v>0.9</v>
      </c>
      <c r="H35" s="117">
        <f t="shared" si="5"/>
        <v>-2.8180431293249954E-2</v>
      </c>
      <c r="I35" s="116">
        <f>COUNTIF(C48:C230,"&lt;=" &amp;H35)</f>
        <v>7</v>
      </c>
      <c r="J35" s="111"/>
    </row>
    <row r="36" spans="1:10" ht="15" x14ac:dyDescent="0.25">
      <c r="A36" s="111" t="s">
        <v>176</v>
      </c>
      <c r="B36" s="111"/>
      <c r="C36" s="111"/>
      <c r="D36" s="111"/>
      <c r="E36" s="111"/>
      <c r="F36" s="111"/>
      <c r="G36" s="111"/>
      <c r="H36" s="111"/>
      <c r="I36" s="111"/>
      <c r="J36" s="111"/>
    </row>
    <row r="37" spans="1:10" ht="15" x14ac:dyDescent="0.25">
      <c r="A37" s="111" t="s">
        <v>177</v>
      </c>
      <c r="B37" s="111" t="s">
        <v>178</v>
      </c>
      <c r="C37" s="111"/>
      <c r="D37" s="111"/>
      <c r="E37" s="111"/>
      <c r="F37" s="111"/>
      <c r="G37" s="111"/>
      <c r="H37" s="111"/>
      <c r="I37" s="111"/>
      <c r="J37" s="111"/>
    </row>
    <row r="38" spans="1:10" ht="15" x14ac:dyDescent="0.25">
      <c r="A38" s="131" t="s">
        <v>181</v>
      </c>
      <c r="B38" s="114"/>
      <c r="C38" s="111"/>
      <c r="D38" s="111"/>
      <c r="E38" s="111"/>
      <c r="F38" s="111"/>
      <c r="G38" s="111"/>
      <c r="H38" s="111"/>
      <c r="I38" s="111"/>
      <c r="J38" s="111"/>
    </row>
    <row r="39" spans="1:10" ht="15" x14ac:dyDescent="0.25">
      <c r="A39" s="113"/>
      <c r="B39" s="114"/>
      <c r="C39" s="111"/>
      <c r="D39" s="111"/>
      <c r="E39" s="111"/>
      <c r="F39" s="111"/>
      <c r="G39" s="111"/>
      <c r="H39" s="111"/>
      <c r="I39" s="111"/>
      <c r="J39" s="111"/>
    </row>
    <row r="40" spans="1:10" ht="15" x14ac:dyDescent="0.25">
      <c r="A40" s="113"/>
      <c r="B40" s="114" t="s">
        <v>182</v>
      </c>
      <c r="C40" s="111"/>
      <c r="D40" s="111"/>
      <c r="E40" s="111"/>
      <c r="F40" s="111"/>
      <c r="G40" s="111"/>
      <c r="H40" s="111"/>
      <c r="I40" s="111"/>
      <c r="J40" s="111"/>
    </row>
    <row r="41" spans="1:10" ht="15" x14ac:dyDescent="0.25">
      <c r="A41" s="111"/>
      <c r="B41" s="111"/>
      <c r="C41" s="111"/>
      <c r="D41" s="111"/>
      <c r="E41" s="111"/>
      <c r="F41" s="111"/>
      <c r="G41" s="111"/>
      <c r="H41" s="111"/>
      <c r="I41" s="111"/>
      <c r="J41" s="111"/>
    </row>
    <row r="42" spans="1:10" ht="15" x14ac:dyDescent="0.25">
      <c r="A42" s="111" t="s">
        <v>179</v>
      </c>
      <c r="B42" s="111"/>
      <c r="C42" s="111"/>
      <c r="D42" s="111"/>
      <c r="E42" s="111"/>
      <c r="F42" s="111"/>
      <c r="G42" s="111"/>
      <c r="H42" s="111"/>
      <c r="I42" s="111"/>
      <c r="J42" s="111"/>
    </row>
    <row r="43" spans="1:10" ht="15" x14ac:dyDescent="0.25">
      <c r="A43" s="111" t="s">
        <v>180</v>
      </c>
      <c r="B43" s="111" t="s">
        <v>177</v>
      </c>
      <c r="C43" s="111"/>
      <c r="D43" s="111"/>
      <c r="E43" s="111"/>
      <c r="F43" s="111"/>
      <c r="G43" s="111"/>
      <c r="H43" s="111"/>
      <c r="I43" s="111"/>
      <c r="J43" s="111"/>
    </row>
    <row r="44" spans="1:10" ht="15" x14ac:dyDescent="0.25">
      <c r="A44" s="112">
        <v>37622</v>
      </c>
      <c r="B44" s="208">
        <v>65.512628317237699</v>
      </c>
      <c r="C44" s="208"/>
      <c r="D44" s="208"/>
      <c r="E44" s="208"/>
      <c r="F44" s="111"/>
      <c r="G44" s="111"/>
      <c r="H44" s="111"/>
      <c r="I44" s="111"/>
      <c r="J44" s="111"/>
    </row>
    <row r="45" spans="1:10" ht="15" x14ac:dyDescent="0.25">
      <c r="A45" s="112">
        <v>37712</v>
      </c>
      <c r="B45" s="208">
        <v>66.243380112972901</v>
      </c>
      <c r="C45" s="208"/>
      <c r="D45" s="208"/>
      <c r="E45" s="208"/>
      <c r="F45" s="111"/>
      <c r="G45" s="111"/>
      <c r="H45" s="111"/>
      <c r="I45" s="111"/>
      <c r="J45" s="111"/>
    </row>
    <row r="46" spans="1:10" ht="15" x14ac:dyDescent="0.25">
      <c r="A46" s="112">
        <v>37803</v>
      </c>
      <c r="B46" s="208">
        <v>67.361679117407604</v>
      </c>
      <c r="C46" s="208"/>
      <c r="D46" s="208"/>
      <c r="E46" s="208"/>
      <c r="F46" s="111"/>
      <c r="G46" s="111"/>
      <c r="H46" s="111"/>
      <c r="I46" s="111"/>
      <c r="J46" s="111"/>
    </row>
    <row r="47" spans="1:10" ht="15" x14ac:dyDescent="0.25">
      <c r="A47" s="112">
        <v>37895</v>
      </c>
      <c r="B47" s="208">
        <v>68.590234064309399</v>
      </c>
      <c r="C47" s="208"/>
      <c r="D47" s="208"/>
      <c r="E47" s="208"/>
      <c r="F47" s="111"/>
      <c r="G47" s="111"/>
      <c r="H47" s="111"/>
      <c r="I47" s="111"/>
      <c r="J47" s="111"/>
    </row>
    <row r="48" spans="1:10" ht="15" x14ac:dyDescent="0.25">
      <c r="A48" s="112">
        <v>37987</v>
      </c>
      <c r="B48" s="208">
        <v>69.878816109722706</v>
      </c>
      <c r="C48" s="208">
        <f>LN(B48/B44)</f>
        <v>6.4519620566704391E-2</v>
      </c>
      <c r="D48" s="208">
        <f>(C48-$E$31)/$E$32</f>
        <v>0.91583772631806337</v>
      </c>
      <c r="E48" s="208">
        <f>_xlfn.NORM.DIST(C48,$E$31,$E$32,TRUE)</f>
        <v>0.82012399351554865</v>
      </c>
      <c r="F48" s="111"/>
      <c r="G48" s="111"/>
      <c r="H48" s="111"/>
      <c r="I48" s="111"/>
      <c r="J48" s="111"/>
    </row>
    <row r="49" spans="1:10" ht="15" x14ac:dyDescent="0.25">
      <c r="A49" s="112">
        <v>38078</v>
      </c>
      <c r="B49" s="208">
        <v>71.225509502001998</v>
      </c>
      <c r="C49" s="208">
        <f t="shared" ref="C49:C112" si="6">LN(B49/B45)</f>
        <v>7.2515496722984824E-2</v>
      </c>
      <c r="D49" s="208">
        <f t="shared" ref="D49:D112" si="7">(C49-$E$31)/$E$32</f>
        <v>1.1053743262696405</v>
      </c>
      <c r="E49" s="208">
        <f t="shared" ref="E49:E112" si="8">_xlfn.NORM.DIST(C49,$E$31,$E$32,TRUE)</f>
        <v>0.86550128816071248</v>
      </c>
      <c r="F49" s="111"/>
      <c r="G49" s="111"/>
      <c r="H49" s="111"/>
      <c r="I49" s="111"/>
      <c r="J49" s="111"/>
    </row>
    <row r="50" spans="1:10" ht="15" x14ac:dyDescent="0.25">
      <c r="A50" s="112">
        <v>38169</v>
      </c>
      <c r="B50" s="208">
        <v>72.304244910508203</v>
      </c>
      <c r="C50" s="208">
        <f t="shared" si="6"/>
        <v>7.0806542758027793E-2</v>
      </c>
      <c r="D50" s="208">
        <f t="shared" si="7"/>
        <v>1.0648647788903574</v>
      </c>
      <c r="E50" s="208">
        <f t="shared" si="8"/>
        <v>0.85653143719636771</v>
      </c>
      <c r="F50" s="111"/>
      <c r="G50" s="111"/>
      <c r="H50" s="111"/>
      <c r="I50" s="111"/>
      <c r="J50" s="111"/>
    </row>
    <row r="51" spans="1:10" ht="15" x14ac:dyDescent="0.25">
      <c r="A51" s="112">
        <v>38261</v>
      </c>
      <c r="B51" s="208">
        <v>73.112729852532496</v>
      </c>
      <c r="C51" s="208">
        <f t="shared" si="6"/>
        <v>6.3852330565072793E-2</v>
      </c>
      <c r="D51" s="208">
        <f t="shared" si="7"/>
        <v>0.90002008787307652</v>
      </c>
      <c r="E51" s="208">
        <f t="shared" si="8"/>
        <v>0.81594521969165079</v>
      </c>
      <c r="F51" s="111"/>
      <c r="G51" s="111"/>
      <c r="H51" s="111"/>
      <c r="I51" s="111"/>
      <c r="J51" s="111"/>
    </row>
    <row r="52" spans="1:10" ht="15" x14ac:dyDescent="0.25">
      <c r="A52" s="112">
        <v>38353</v>
      </c>
      <c r="B52" s="208">
        <v>74.390800365642704</v>
      </c>
      <c r="C52" s="208">
        <f t="shared" si="6"/>
        <v>6.2569739833128801E-2</v>
      </c>
      <c r="D52" s="208">
        <f t="shared" si="7"/>
        <v>0.86961717996021126</v>
      </c>
      <c r="E52" s="208">
        <f t="shared" si="8"/>
        <v>0.8077451770337587</v>
      </c>
      <c r="F52" s="111"/>
      <c r="G52" s="111"/>
      <c r="H52" s="111"/>
      <c r="I52" s="111"/>
      <c r="J52" s="111"/>
    </row>
    <row r="53" spans="1:10" ht="15" x14ac:dyDescent="0.25">
      <c r="A53" s="112">
        <v>38443</v>
      </c>
      <c r="B53" s="208">
        <v>75.523247927736307</v>
      </c>
      <c r="C53" s="208">
        <f t="shared" si="6"/>
        <v>5.8589494656495295E-2</v>
      </c>
      <c r="D53" s="208">
        <f t="shared" si="7"/>
        <v>0.77526827772512252</v>
      </c>
      <c r="E53" s="208">
        <f t="shared" si="8"/>
        <v>0.78090942498696281</v>
      </c>
      <c r="F53" s="111"/>
      <c r="G53" s="111"/>
      <c r="H53" s="111"/>
      <c r="I53" s="111"/>
      <c r="J53" s="111"/>
    </row>
    <row r="54" spans="1:10" ht="15" x14ac:dyDescent="0.25">
      <c r="A54" s="112">
        <v>38534</v>
      </c>
      <c r="B54" s="208">
        <v>76.854122337821906</v>
      </c>
      <c r="C54" s="208">
        <f t="shared" si="6"/>
        <v>6.1026270000555112E-2</v>
      </c>
      <c r="D54" s="208">
        <f t="shared" si="7"/>
        <v>0.8330303171229142</v>
      </c>
      <c r="E54" s="208">
        <f t="shared" si="8"/>
        <v>0.79758618438325735</v>
      </c>
      <c r="F54" s="111"/>
      <c r="G54" s="111"/>
      <c r="H54" s="111"/>
      <c r="I54" s="111"/>
      <c r="J54" s="111"/>
    </row>
    <row r="55" spans="1:10" ht="15" x14ac:dyDescent="0.25">
      <c r="A55" s="112">
        <v>38626</v>
      </c>
      <c r="B55" s="208">
        <v>78.439500279154899</v>
      </c>
      <c r="C55" s="208">
        <f t="shared" si="6"/>
        <v>7.0325135983755449E-2</v>
      </c>
      <c r="D55" s="208">
        <f t="shared" si="7"/>
        <v>1.0534533711339269</v>
      </c>
      <c r="E55" s="208">
        <f t="shared" si="8"/>
        <v>0.8539333728383256</v>
      </c>
      <c r="F55" s="111"/>
      <c r="G55" s="111"/>
      <c r="H55" s="111"/>
      <c r="I55" s="111"/>
      <c r="J55" s="111"/>
    </row>
    <row r="56" spans="1:10" ht="15" x14ac:dyDescent="0.25">
      <c r="A56" s="112">
        <v>38718</v>
      </c>
      <c r="B56" s="208">
        <v>79.953857354179803</v>
      </c>
      <c r="C56" s="208">
        <f t="shared" si="6"/>
        <v>7.2117402003578746E-2</v>
      </c>
      <c r="D56" s="208">
        <f t="shared" si="7"/>
        <v>1.0959377719633761</v>
      </c>
      <c r="E56" s="208">
        <f t="shared" si="8"/>
        <v>0.86344699611419518</v>
      </c>
      <c r="F56" s="111"/>
      <c r="G56" s="111"/>
      <c r="H56" s="111"/>
      <c r="I56" s="111"/>
      <c r="J56" s="111"/>
    </row>
    <row r="57" spans="1:10" ht="15" x14ac:dyDescent="0.25">
      <c r="A57" s="112">
        <v>38808</v>
      </c>
      <c r="B57" s="208">
        <v>81.4930522232263</v>
      </c>
      <c r="C57" s="208">
        <f t="shared" si="6"/>
        <v>7.607723938801951E-2</v>
      </c>
      <c r="D57" s="208">
        <f t="shared" si="7"/>
        <v>1.1898029218905088</v>
      </c>
      <c r="E57" s="208">
        <f t="shared" si="8"/>
        <v>0.88293806954687115</v>
      </c>
      <c r="F57" s="111"/>
      <c r="G57" s="111"/>
      <c r="H57" s="111"/>
      <c r="I57" s="111"/>
      <c r="J57" s="111"/>
    </row>
    <row r="58" spans="1:10" ht="15" x14ac:dyDescent="0.25">
      <c r="A58" s="112">
        <v>38899</v>
      </c>
      <c r="B58" s="208">
        <v>83.364237963255505</v>
      </c>
      <c r="C58" s="208">
        <f t="shared" si="6"/>
        <v>8.1310306106349692E-2</v>
      </c>
      <c r="D58" s="208">
        <f t="shared" si="7"/>
        <v>1.3138490743978857</v>
      </c>
      <c r="E58" s="208">
        <f t="shared" si="8"/>
        <v>0.90555150041346877</v>
      </c>
      <c r="F58" s="111"/>
      <c r="G58" s="111"/>
      <c r="H58" s="111"/>
      <c r="I58" s="111"/>
      <c r="J58" s="111"/>
    </row>
    <row r="59" spans="1:10" ht="15" x14ac:dyDescent="0.25">
      <c r="A59" s="112">
        <v>38991</v>
      </c>
      <c r="B59" s="208">
        <v>84.947525344130895</v>
      </c>
      <c r="C59" s="208">
        <f t="shared" si="6"/>
        <v>7.9706086391588216E-2</v>
      </c>
      <c r="D59" s="208">
        <f t="shared" si="7"/>
        <v>1.2758221784870036</v>
      </c>
      <c r="E59" s="208">
        <f t="shared" si="8"/>
        <v>0.89899080717185254</v>
      </c>
      <c r="F59" s="111"/>
      <c r="G59" s="111"/>
      <c r="H59" s="111"/>
      <c r="I59" s="111"/>
      <c r="J59" s="111"/>
    </row>
    <row r="60" spans="1:10" ht="15" x14ac:dyDescent="0.25">
      <c r="A60" s="112">
        <v>39083</v>
      </c>
      <c r="B60" s="208">
        <v>86.488176930452994</v>
      </c>
      <c r="C60" s="208">
        <f t="shared" si="6"/>
        <v>7.8558036513156529E-2</v>
      </c>
      <c r="D60" s="208">
        <f t="shared" si="7"/>
        <v>1.2486084665335175</v>
      </c>
      <c r="E60" s="208">
        <f t="shared" si="8"/>
        <v>0.89409584292501121</v>
      </c>
      <c r="F60" s="111"/>
      <c r="G60" s="111"/>
      <c r="H60" s="111"/>
      <c r="I60" s="111"/>
      <c r="J60" s="111"/>
    </row>
    <row r="61" spans="1:10" ht="15" x14ac:dyDescent="0.25">
      <c r="A61" s="112">
        <v>39173</v>
      </c>
      <c r="B61" s="208">
        <v>88.670963974094704</v>
      </c>
      <c r="C61" s="208">
        <f t="shared" si="6"/>
        <v>8.4414716994242689E-2</v>
      </c>
      <c r="D61" s="208">
        <f t="shared" si="7"/>
        <v>1.3874369430746325</v>
      </c>
      <c r="E61" s="208">
        <f t="shared" si="8"/>
        <v>0.91734571673685572</v>
      </c>
      <c r="F61" s="111"/>
      <c r="G61" s="111"/>
      <c r="H61" s="111"/>
      <c r="I61" s="111"/>
      <c r="J61" s="111"/>
    </row>
    <row r="62" spans="1:10" ht="15" x14ac:dyDescent="0.25">
      <c r="A62" s="112">
        <v>39264</v>
      </c>
      <c r="B62" s="208">
        <v>90.626256604610802</v>
      </c>
      <c r="C62" s="208">
        <f t="shared" si="6"/>
        <v>8.3524563057342308E-2</v>
      </c>
      <c r="D62" s="208">
        <f t="shared" si="7"/>
        <v>1.3663364723649793</v>
      </c>
      <c r="E62" s="208">
        <f t="shared" si="8"/>
        <v>0.9140833108330626</v>
      </c>
      <c r="F62" s="111"/>
      <c r="G62" s="111"/>
      <c r="H62" s="111"/>
      <c r="I62" s="111"/>
      <c r="J62" s="111"/>
    </row>
    <row r="63" spans="1:10" ht="15" x14ac:dyDescent="0.25">
      <c r="A63" s="112">
        <v>39356</v>
      </c>
      <c r="B63" s="208">
        <v>93.520707134506793</v>
      </c>
      <c r="C63" s="208">
        <f t="shared" si="6"/>
        <v>9.6149161494286678E-2</v>
      </c>
      <c r="D63" s="208">
        <f t="shared" si="7"/>
        <v>1.6655936665391244</v>
      </c>
      <c r="E63" s="208">
        <f t="shared" si="8"/>
        <v>0.95210281326571122</v>
      </c>
      <c r="F63" s="111"/>
      <c r="G63" s="111"/>
      <c r="H63" s="111"/>
      <c r="I63" s="111"/>
      <c r="J63" s="111"/>
    </row>
    <row r="64" spans="1:10" ht="15" x14ac:dyDescent="0.25">
      <c r="A64" s="112">
        <v>39448</v>
      </c>
      <c r="B64" s="208">
        <v>96.001972183673104</v>
      </c>
      <c r="C64" s="208">
        <f t="shared" si="6"/>
        <v>0.10436101312580764</v>
      </c>
      <c r="D64" s="208">
        <f t="shared" si="7"/>
        <v>1.860249812673</v>
      </c>
      <c r="E64" s="208">
        <f t="shared" si="8"/>
        <v>0.96857490476085228</v>
      </c>
      <c r="F64" s="111"/>
      <c r="G64" s="111"/>
      <c r="H64" s="111"/>
      <c r="I64" s="111"/>
      <c r="J64" s="111"/>
    </row>
    <row r="65" spans="1:10" ht="15" x14ac:dyDescent="0.25">
      <c r="A65" s="112">
        <v>39539</v>
      </c>
      <c r="B65" s="208">
        <v>96.598722741289706</v>
      </c>
      <c r="C65" s="208">
        <f t="shared" si="6"/>
        <v>8.5633034178795558E-2</v>
      </c>
      <c r="D65" s="208">
        <f t="shared" si="7"/>
        <v>1.4163162919176424</v>
      </c>
      <c r="E65" s="208">
        <f t="shared" si="8"/>
        <v>0.92165854004383452</v>
      </c>
      <c r="F65" s="111"/>
      <c r="G65" s="111"/>
      <c r="H65" s="111"/>
      <c r="I65" s="111"/>
      <c r="J65" s="111"/>
    </row>
    <row r="66" spans="1:10" ht="15" x14ac:dyDescent="0.25">
      <c r="A66" s="112">
        <v>39630</v>
      </c>
      <c r="B66" s="208">
        <v>95.158755916311193</v>
      </c>
      <c r="C66" s="208">
        <f t="shared" si="6"/>
        <v>4.8802632689593575E-2</v>
      </c>
      <c r="D66" s="208">
        <f t="shared" si="7"/>
        <v>0.54327762339952324</v>
      </c>
      <c r="E66" s="208">
        <f t="shared" si="8"/>
        <v>0.70653066573800039</v>
      </c>
      <c r="F66" s="111"/>
      <c r="G66" s="111"/>
      <c r="H66" s="111"/>
      <c r="I66" s="111"/>
      <c r="J66" s="111"/>
    </row>
    <row r="67" spans="1:10" ht="15" x14ac:dyDescent="0.25">
      <c r="A67" s="112">
        <v>39722</v>
      </c>
      <c r="B67" s="208">
        <v>92.063991928419199</v>
      </c>
      <c r="C67" s="208">
        <f t="shared" si="6"/>
        <v>-1.5698978758183581E-2</v>
      </c>
      <c r="D67" s="208">
        <f t="shared" si="7"/>
        <v>-0.98568754392699209</v>
      </c>
      <c r="E67" s="208">
        <f t="shared" si="8"/>
        <v>0.16214323186432572</v>
      </c>
      <c r="F67" s="111"/>
      <c r="G67" s="111"/>
      <c r="H67" s="111"/>
      <c r="I67" s="111"/>
      <c r="J67" s="111"/>
    </row>
    <row r="68" spans="1:10" ht="15" x14ac:dyDescent="0.25">
      <c r="A68" s="112">
        <v>39814</v>
      </c>
      <c r="B68" s="208">
        <v>88.816911727374205</v>
      </c>
      <c r="C68" s="208">
        <f t="shared" si="6"/>
        <v>-7.7791655591083586E-2</v>
      </c>
      <c r="D68" s="208">
        <f t="shared" si="7"/>
        <v>-2.4575506166880672</v>
      </c>
      <c r="E68" s="208">
        <f t="shared" si="8"/>
        <v>6.9944048064393268E-3</v>
      </c>
      <c r="F68" s="111"/>
      <c r="G68" s="111"/>
      <c r="H68" s="111"/>
      <c r="I68" s="111"/>
      <c r="J68" s="111"/>
    </row>
    <row r="69" spans="1:10" ht="15" x14ac:dyDescent="0.25">
      <c r="A69" s="112">
        <v>39904</v>
      </c>
      <c r="B69" s="208">
        <v>87.521196634943294</v>
      </c>
      <c r="C69" s="208">
        <f t="shared" si="6"/>
        <v>-9.8684507708266173E-2</v>
      </c>
      <c r="D69" s="208">
        <f t="shared" si="7"/>
        <v>-2.9528009277464133</v>
      </c>
      <c r="E69" s="208">
        <f t="shared" si="8"/>
        <v>1.5745248457822267E-3</v>
      </c>
      <c r="F69" s="111"/>
      <c r="G69" s="111"/>
      <c r="H69" s="111"/>
      <c r="I69" s="111"/>
      <c r="J69" s="111"/>
    </row>
    <row r="70" spans="1:10" ht="15" x14ac:dyDescent="0.25">
      <c r="A70" s="112">
        <v>39995</v>
      </c>
      <c r="B70" s="208">
        <v>87.8804056472582</v>
      </c>
      <c r="C70" s="208">
        <f t="shared" si="6"/>
        <v>-7.9569748322083175E-2</v>
      </c>
      <c r="D70" s="208">
        <f t="shared" si="7"/>
        <v>-2.4996990497109528</v>
      </c>
      <c r="E70" s="208">
        <f t="shared" si="8"/>
        <v>6.2149424577405826E-3</v>
      </c>
      <c r="F70" s="111"/>
      <c r="G70" s="111"/>
      <c r="H70" s="111"/>
      <c r="I70" s="111"/>
      <c r="J70" s="111"/>
    </row>
    <row r="71" spans="1:10" ht="15" x14ac:dyDescent="0.25">
      <c r="A71" s="112">
        <v>40087</v>
      </c>
      <c r="B71" s="208">
        <v>88.831015425949403</v>
      </c>
      <c r="C71" s="208">
        <f t="shared" si="6"/>
        <v>-3.5748037864230614E-2</v>
      </c>
      <c r="D71" s="208">
        <f t="shared" si="7"/>
        <v>-1.4609363372945074</v>
      </c>
      <c r="E71" s="208">
        <f t="shared" si="8"/>
        <v>7.2016456662110581E-2</v>
      </c>
      <c r="F71" s="111"/>
      <c r="G71" s="111"/>
      <c r="H71" s="111"/>
      <c r="I71" s="111"/>
      <c r="J71" s="111"/>
    </row>
    <row r="72" spans="1:10" ht="15" x14ac:dyDescent="0.25">
      <c r="A72" s="112">
        <v>40179</v>
      </c>
      <c r="B72" s="208">
        <v>90.730632954025694</v>
      </c>
      <c r="C72" s="208">
        <f t="shared" si="6"/>
        <v>2.131796014900977E-2</v>
      </c>
      <c r="D72" s="208">
        <f t="shared" si="7"/>
        <v>-0.10822713759317901</v>
      </c>
      <c r="E72" s="208">
        <f t="shared" si="8"/>
        <v>0.45690775934906536</v>
      </c>
      <c r="F72" s="111"/>
      <c r="G72" s="111"/>
      <c r="H72" s="111"/>
      <c r="I72" s="111"/>
      <c r="J72" s="111"/>
    </row>
    <row r="73" spans="1:10" ht="15" x14ac:dyDescent="0.25">
      <c r="A73" s="112">
        <v>40269</v>
      </c>
      <c r="B73" s="208">
        <v>91.592663846418304</v>
      </c>
      <c r="C73" s="208">
        <f t="shared" si="6"/>
        <v>4.5470168176953006E-2</v>
      </c>
      <c r="D73" s="208">
        <f t="shared" si="7"/>
        <v>0.46428390453244595</v>
      </c>
      <c r="E73" s="208">
        <f t="shared" si="8"/>
        <v>0.67877782294487554</v>
      </c>
      <c r="F73" s="111"/>
      <c r="G73" s="111"/>
      <c r="H73" s="111"/>
      <c r="I73" s="111"/>
      <c r="J73" s="111"/>
    </row>
    <row r="74" spans="1:10" ht="15" x14ac:dyDescent="0.25">
      <c r="A74" s="112">
        <v>40360</v>
      </c>
      <c r="B74" s="208">
        <v>92.072162913634301</v>
      </c>
      <c r="C74" s="208">
        <f t="shared" si="6"/>
        <v>4.6595785652107417E-2</v>
      </c>
      <c r="D74" s="208">
        <f t="shared" si="7"/>
        <v>0.49096587220140131</v>
      </c>
      <c r="E74" s="208">
        <f t="shared" si="8"/>
        <v>0.68827470720710338</v>
      </c>
      <c r="F74" s="111"/>
      <c r="G74" s="111"/>
      <c r="H74" s="111"/>
      <c r="I74" s="111"/>
      <c r="J74" s="111"/>
    </row>
    <row r="75" spans="1:10" ht="15" x14ac:dyDescent="0.25">
      <c r="A75" s="112">
        <v>40452</v>
      </c>
      <c r="B75" s="208">
        <v>93.229491614269193</v>
      </c>
      <c r="C75" s="208">
        <f t="shared" si="6"/>
        <v>4.8328243435161927E-2</v>
      </c>
      <c r="D75" s="208">
        <f t="shared" si="7"/>
        <v>0.53203256099721041</v>
      </c>
      <c r="E75" s="208">
        <f t="shared" si="8"/>
        <v>0.70264827801567187</v>
      </c>
      <c r="F75" s="111"/>
      <c r="G75" s="111"/>
      <c r="H75" s="111"/>
      <c r="I75" s="111"/>
      <c r="J75" s="111"/>
    </row>
    <row r="76" spans="1:10" ht="15" x14ac:dyDescent="0.25">
      <c r="A76" s="112">
        <v>40544</v>
      </c>
      <c r="B76" s="208">
        <v>94.165657394337899</v>
      </c>
      <c r="C76" s="208">
        <f t="shared" si="6"/>
        <v>3.716050453003953E-2</v>
      </c>
      <c r="D76" s="208">
        <f t="shared" si="7"/>
        <v>0.26730919361973166</v>
      </c>
      <c r="E76" s="208">
        <f t="shared" si="8"/>
        <v>0.6053844456213322</v>
      </c>
      <c r="F76" s="111"/>
      <c r="G76" s="111"/>
      <c r="H76" s="111"/>
      <c r="I76" s="111"/>
      <c r="J76" s="111"/>
    </row>
    <row r="77" spans="1:10" ht="15" x14ac:dyDescent="0.25">
      <c r="A77" s="112">
        <v>40634</v>
      </c>
      <c r="B77" s="208">
        <v>95.171650018798502</v>
      </c>
      <c r="C77" s="208">
        <f t="shared" si="6"/>
        <v>3.8330924067833706E-2</v>
      </c>
      <c r="D77" s="208">
        <f t="shared" si="7"/>
        <v>0.29505316255753977</v>
      </c>
      <c r="E77" s="208">
        <f t="shared" si="8"/>
        <v>0.61602336572123984</v>
      </c>
      <c r="F77" s="111"/>
      <c r="G77" s="111"/>
      <c r="H77" s="111"/>
      <c r="I77" s="111"/>
      <c r="J77" s="111"/>
    </row>
    <row r="78" spans="1:10" ht="15" x14ac:dyDescent="0.25">
      <c r="A78" s="112">
        <v>40725</v>
      </c>
      <c r="B78" s="208">
        <v>96.361658784881897</v>
      </c>
      <c r="C78" s="208">
        <f t="shared" si="6"/>
        <v>4.5535742973246522E-2</v>
      </c>
      <c r="D78" s="208">
        <f t="shared" si="7"/>
        <v>0.46583830878897359</v>
      </c>
      <c r="E78" s="208">
        <f t="shared" si="8"/>
        <v>0.67933437911923367</v>
      </c>
      <c r="F78" s="111"/>
      <c r="G78" s="111"/>
      <c r="H78" s="111"/>
      <c r="I78" s="111"/>
      <c r="J78" s="111"/>
    </row>
    <row r="79" spans="1:10" ht="15" x14ac:dyDescent="0.25">
      <c r="A79" s="112">
        <v>40817</v>
      </c>
      <c r="B79" s="208">
        <v>97.563096564995405</v>
      </c>
      <c r="C79" s="208">
        <f t="shared" si="6"/>
        <v>4.5435207686135466E-2</v>
      </c>
      <c r="D79" s="208">
        <f t="shared" si="7"/>
        <v>0.46345519077641928</v>
      </c>
      <c r="E79" s="208">
        <f t="shared" si="8"/>
        <v>0.67848093678270882</v>
      </c>
      <c r="F79" s="111"/>
      <c r="G79" s="111"/>
      <c r="H79" s="111"/>
      <c r="I79" s="111"/>
      <c r="J79" s="111"/>
    </row>
    <row r="80" spans="1:10" ht="15" x14ac:dyDescent="0.25">
      <c r="A80" s="112">
        <v>40909</v>
      </c>
      <c r="B80" s="208">
        <v>99.001211374891099</v>
      </c>
      <c r="C80" s="208">
        <f t="shared" si="6"/>
        <v>5.007654224502673E-2</v>
      </c>
      <c r="D80" s="208">
        <f t="shared" si="7"/>
        <v>0.57347475015128935</v>
      </c>
      <c r="E80" s="208">
        <f t="shared" si="8"/>
        <v>0.71683835466807833</v>
      </c>
      <c r="F80" s="111"/>
      <c r="G80" s="111"/>
      <c r="H80" s="111"/>
      <c r="I80" s="111"/>
      <c r="J80" s="111"/>
    </row>
    <row r="81" spans="1:10" ht="15" x14ac:dyDescent="0.25">
      <c r="A81" s="112">
        <v>41000</v>
      </c>
      <c r="B81" s="208">
        <v>99.412537823451203</v>
      </c>
      <c r="C81" s="208">
        <f t="shared" si="6"/>
        <v>4.3596137225231667E-2</v>
      </c>
      <c r="D81" s="208">
        <f t="shared" si="7"/>
        <v>0.4198613237106697</v>
      </c>
      <c r="E81" s="208">
        <f t="shared" si="8"/>
        <v>0.66270661840468847</v>
      </c>
      <c r="F81" s="111"/>
      <c r="G81" s="111"/>
      <c r="H81" s="111"/>
      <c r="I81" s="111"/>
      <c r="J81" s="111"/>
    </row>
    <row r="82" spans="1:10" ht="15" x14ac:dyDescent="0.25">
      <c r="A82" s="112">
        <v>41091</v>
      </c>
      <c r="B82" s="208">
        <v>99.924729016531003</v>
      </c>
      <c r="C82" s="208">
        <f t="shared" si="6"/>
        <v>3.630880067163475E-2</v>
      </c>
      <c r="D82" s="208">
        <f t="shared" si="7"/>
        <v>0.24712015487869446</v>
      </c>
      <c r="E82" s="208">
        <f t="shared" si="8"/>
        <v>0.59759238198260867</v>
      </c>
      <c r="F82" s="111"/>
      <c r="G82" s="111"/>
      <c r="H82" s="111"/>
      <c r="I82" s="111"/>
      <c r="J82" s="111"/>
    </row>
    <row r="83" spans="1:10" ht="15" x14ac:dyDescent="0.25">
      <c r="A83" s="112">
        <v>41183</v>
      </c>
      <c r="B83" s="208">
        <v>99.991549900426804</v>
      </c>
      <c r="C83" s="208">
        <f t="shared" si="6"/>
        <v>2.4586368469332209E-2</v>
      </c>
      <c r="D83" s="208">
        <f t="shared" si="7"/>
        <v>-3.0751825547383767E-2</v>
      </c>
      <c r="E83" s="208">
        <f t="shared" si="8"/>
        <v>0.48773372993711289</v>
      </c>
      <c r="F83" s="111"/>
      <c r="G83" s="111"/>
      <c r="H83" s="111"/>
      <c r="I83" s="111"/>
      <c r="J83" s="111"/>
    </row>
    <row r="84" spans="1:10" ht="15" x14ac:dyDescent="0.25">
      <c r="A84" s="112">
        <v>41275</v>
      </c>
      <c r="B84" s="208">
        <v>100.732108291909</v>
      </c>
      <c r="C84" s="208">
        <f t="shared" si="6"/>
        <v>1.7332513694964424E-2</v>
      </c>
      <c r="D84" s="208">
        <f t="shared" si="7"/>
        <v>-0.20269933243770497</v>
      </c>
      <c r="E84" s="208">
        <f t="shared" si="8"/>
        <v>0.41968502249177464</v>
      </c>
      <c r="F84" s="111"/>
      <c r="G84" s="111"/>
      <c r="H84" s="111"/>
      <c r="I84" s="111"/>
      <c r="J84" s="111"/>
    </row>
    <row r="85" spans="1:10" ht="15" x14ac:dyDescent="0.25">
      <c r="A85" s="112">
        <v>41365</v>
      </c>
      <c r="B85" s="208">
        <v>101.075161742562</v>
      </c>
      <c r="C85" s="208">
        <f t="shared" si="6"/>
        <v>1.6586174995821424E-2</v>
      </c>
      <c r="D85" s="208">
        <f t="shared" si="7"/>
        <v>-0.22039076445628838</v>
      </c>
      <c r="E85" s="208">
        <f t="shared" si="8"/>
        <v>0.41278341874805335</v>
      </c>
      <c r="F85" s="111"/>
      <c r="G85" s="111"/>
      <c r="H85" s="111"/>
      <c r="I85" s="111"/>
      <c r="J85" s="111"/>
    </row>
    <row r="86" spans="1:10" ht="15" x14ac:dyDescent="0.25">
      <c r="A86" s="112">
        <v>41456</v>
      </c>
      <c r="B86" s="208">
        <v>101.116114765489</v>
      </c>
      <c r="C86" s="208">
        <f t="shared" si="6"/>
        <v>1.1852314916781225E-2</v>
      </c>
      <c r="D86" s="208">
        <f t="shared" si="7"/>
        <v>-0.33260357597201434</v>
      </c>
      <c r="E86" s="208">
        <f t="shared" si="8"/>
        <v>0.36971677184412144</v>
      </c>
      <c r="F86" s="111"/>
      <c r="G86" s="111"/>
      <c r="H86" s="111"/>
      <c r="I86" s="111"/>
      <c r="J86" s="111"/>
    </row>
    <row r="87" spans="1:10" ht="15" x14ac:dyDescent="0.25">
      <c r="A87" s="112">
        <v>41548</v>
      </c>
      <c r="B87" s="208">
        <v>101.70010361321</v>
      </c>
      <c r="C87" s="208">
        <f t="shared" si="6"/>
        <v>1.6942640444337173E-2</v>
      </c>
      <c r="D87" s="208">
        <f t="shared" si="7"/>
        <v>-0.21194100263014742</v>
      </c>
      <c r="E87" s="208">
        <f t="shared" si="8"/>
        <v>0.41607653083575163</v>
      </c>
      <c r="F87" s="111"/>
      <c r="G87" s="111"/>
      <c r="H87" s="111"/>
      <c r="I87" s="111"/>
      <c r="J87" s="111"/>
    </row>
    <row r="88" spans="1:10" ht="15" x14ac:dyDescent="0.25">
      <c r="A88" s="112">
        <v>41640</v>
      </c>
      <c r="B88" s="208">
        <v>101.69317610112201</v>
      </c>
      <c r="C88" s="208">
        <f t="shared" si="6"/>
        <v>9.4956026212322745E-3</v>
      </c>
      <c r="D88" s="208">
        <f t="shared" si="7"/>
        <v>-0.38846777732180299</v>
      </c>
      <c r="E88" s="208">
        <f t="shared" si="8"/>
        <v>0.34883494768067186</v>
      </c>
      <c r="F88" s="111"/>
      <c r="G88" s="111"/>
      <c r="H88" s="111"/>
      <c r="I88" s="111"/>
      <c r="J88" s="111"/>
    </row>
    <row r="89" spans="1:10" ht="15" x14ac:dyDescent="0.25">
      <c r="A89" s="112">
        <v>41730</v>
      </c>
      <c r="B89" s="208">
        <v>102.18341828267801</v>
      </c>
      <c r="C89" s="208">
        <f t="shared" si="6"/>
        <v>1.0905001133936472E-2</v>
      </c>
      <c r="D89" s="208">
        <f t="shared" si="7"/>
        <v>-0.35505898048032847</v>
      </c>
      <c r="E89" s="208">
        <f t="shared" si="8"/>
        <v>0.36127270296475633</v>
      </c>
      <c r="F89" s="111"/>
      <c r="G89" s="111"/>
      <c r="H89" s="111"/>
      <c r="I89" s="111"/>
      <c r="J89" s="111"/>
    </row>
    <row r="90" spans="1:10" ht="15" x14ac:dyDescent="0.25">
      <c r="A90" s="112">
        <v>41821</v>
      </c>
      <c r="B90" s="208">
        <v>101.858499054238</v>
      </c>
      <c r="C90" s="208">
        <f t="shared" si="6"/>
        <v>7.3150783264316066E-3</v>
      </c>
      <c r="D90" s="208">
        <f t="shared" si="7"/>
        <v>-0.44015556648593446</v>
      </c>
      <c r="E90" s="208">
        <f t="shared" si="8"/>
        <v>0.32991221953776595</v>
      </c>
      <c r="F90" s="111"/>
      <c r="G90" s="111"/>
      <c r="H90" s="111"/>
      <c r="I90" s="111"/>
      <c r="J90" s="111"/>
    </row>
    <row r="91" spans="1:10" ht="15" x14ac:dyDescent="0.25">
      <c r="A91" s="112">
        <v>41913</v>
      </c>
      <c r="B91" s="208">
        <v>101.61785065343</v>
      </c>
      <c r="C91" s="208">
        <f t="shared" si="6"/>
        <v>-8.0910674675983016E-4</v>
      </c>
      <c r="D91" s="208">
        <f t="shared" si="7"/>
        <v>-0.6327336387389153</v>
      </c>
      <c r="E91" s="208">
        <f t="shared" si="8"/>
        <v>0.26345379945419556</v>
      </c>
      <c r="F91" s="111"/>
      <c r="G91" s="111"/>
      <c r="H91" s="111"/>
      <c r="I91" s="111"/>
      <c r="J91" s="111"/>
    </row>
    <row r="92" spans="1:10" ht="15" x14ac:dyDescent="0.25">
      <c r="A92" s="112">
        <v>42005</v>
      </c>
      <c r="B92" s="208">
        <v>100.582635574455</v>
      </c>
      <c r="C92" s="208">
        <f t="shared" si="6"/>
        <v>-1.0980568322704795E-2</v>
      </c>
      <c r="D92" s="208">
        <f t="shared" si="7"/>
        <v>-0.873840955305901</v>
      </c>
      <c r="E92" s="208">
        <f t="shared" si="8"/>
        <v>0.19110243663338944</v>
      </c>
      <c r="F92" s="111"/>
      <c r="G92" s="111"/>
      <c r="H92" s="111"/>
      <c r="I92" s="111"/>
      <c r="J92" s="111"/>
    </row>
    <row r="93" spans="1:10" ht="15" x14ac:dyDescent="0.25">
      <c r="A93" s="112">
        <v>42095</v>
      </c>
      <c r="B93" s="208">
        <v>99.907959091498697</v>
      </c>
      <c r="C93" s="208">
        <f t="shared" si="6"/>
        <v>-2.2520063816163366E-2</v>
      </c>
      <c r="D93" s="208">
        <f t="shared" si="7"/>
        <v>-1.1473765501848641</v>
      </c>
      <c r="E93" s="208">
        <f t="shared" si="8"/>
        <v>0.12561301428093224</v>
      </c>
      <c r="F93" s="111"/>
      <c r="G93" s="111"/>
      <c r="H93" s="111"/>
      <c r="I93" s="111"/>
      <c r="J93" s="111"/>
    </row>
    <row r="94" spans="1:10" ht="15" x14ac:dyDescent="0.25">
      <c r="A94" s="112">
        <v>42186</v>
      </c>
      <c r="B94" s="208">
        <v>100.101297158148</v>
      </c>
      <c r="C94" s="208">
        <f t="shared" si="6"/>
        <v>-1.7401941108261765E-2</v>
      </c>
      <c r="D94" s="208">
        <f t="shared" si="7"/>
        <v>-1.0260550643050863</v>
      </c>
      <c r="E94" s="208">
        <f t="shared" si="8"/>
        <v>0.15243281479475473</v>
      </c>
      <c r="F94" s="111"/>
      <c r="G94" s="111"/>
      <c r="H94" s="111"/>
      <c r="I94" s="111"/>
      <c r="J94" s="111"/>
    </row>
    <row r="95" spans="1:10" ht="15" x14ac:dyDescent="0.25">
      <c r="A95" s="112">
        <v>42278</v>
      </c>
      <c r="B95" s="208">
        <v>99.843570818054005</v>
      </c>
      <c r="C95" s="208">
        <f t="shared" si="6"/>
        <v>-1.7614545732787507E-2</v>
      </c>
      <c r="D95" s="208">
        <f t="shared" si="7"/>
        <v>-1.0310947068506926</v>
      </c>
      <c r="E95" s="208">
        <f t="shared" si="8"/>
        <v>0.15124820487755819</v>
      </c>
      <c r="F95" s="111"/>
      <c r="G95" s="111"/>
      <c r="H95" s="111"/>
      <c r="I95" s="111"/>
      <c r="J95" s="111"/>
    </row>
    <row r="96" spans="1:10" ht="15" x14ac:dyDescent="0.25">
      <c r="A96" s="112">
        <v>42370</v>
      </c>
      <c r="B96" s="208">
        <v>100.033343689923</v>
      </c>
      <c r="C96" s="208">
        <f t="shared" si="6"/>
        <v>-5.476066853639658E-3</v>
      </c>
      <c r="D96" s="208">
        <f t="shared" si="7"/>
        <v>-0.74336063363963867</v>
      </c>
      <c r="E96" s="208">
        <f t="shared" si="8"/>
        <v>0.22863168557838046</v>
      </c>
      <c r="F96" s="111"/>
      <c r="G96" s="111"/>
      <c r="H96" s="111"/>
      <c r="I96" s="111"/>
      <c r="J96" s="111"/>
    </row>
    <row r="97" spans="1:10" ht="15" x14ac:dyDescent="0.25">
      <c r="A97" s="112">
        <v>42461</v>
      </c>
      <c r="B97" s="208">
        <v>100.087096998851</v>
      </c>
      <c r="C97" s="208">
        <f t="shared" si="6"/>
        <v>1.7914238357852005E-3</v>
      </c>
      <c r="D97" s="208">
        <f t="shared" si="7"/>
        <v>-0.57108989700855717</v>
      </c>
      <c r="E97" s="208">
        <f t="shared" si="8"/>
        <v>0.28396935332987994</v>
      </c>
      <c r="F97" s="111"/>
      <c r="G97" s="111"/>
      <c r="H97" s="111"/>
      <c r="I97" s="111"/>
      <c r="J97" s="111"/>
    </row>
    <row r="98" spans="1:10" ht="15" x14ac:dyDescent="0.25">
      <c r="A98" s="112">
        <v>42552</v>
      </c>
      <c r="B98" s="208">
        <v>100.188040900225</v>
      </c>
      <c r="C98" s="208">
        <f t="shared" si="6"/>
        <v>8.661843744793066E-4</v>
      </c>
      <c r="D98" s="208">
        <f t="shared" si="7"/>
        <v>-0.59302204530717795</v>
      </c>
      <c r="E98" s="208">
        <f t="shared" si="8"/>
        <v>0.27658319939961795</v>
      </c>
      <c r="F98" s="111"/>
      <c r="G98" s="111"/>
      <c r="H98" s="111"/>
      <c r="I98" s="111"/>
      <c r="J98" s="111"/>
    </row>
    <row r="99" spans="1:10" ht="15" x14ac:dyDescent="0.25">
      <c r="A99" s="112">
        <v>42644</v>
      </c>
      <c r="B99" s="208">
        <v>101.015012690837</v>
      </c>
      <c r="C99" s="208">
        <f t="shared" si="6"/>
        <v>1.1664476911952052E-2</v>
      </c>
      <c r="D99" s="208">
        <f t="shared" si="7"/>
        <v>-0.33705614328060696</v>
      </c>
      <c r="E99" s="208">
        <f t="shared" si="8"/>
        <v>0.36803728874160124</v>
      </c>
      <c r="F99" s="111"/>
      <c r="G99" s="111"/>
      <c r="H99" s="111"/>
      <c r="I99" s="111"/>
      <c r="J99" s="111"/>
    </row>
    <row r="100" spans="1:10" ht="15" x14ac:dyDescent="0.25">
      <c r="A100" s="112">
        <v>42736</v>
      </c>
      <c r="B100" s="208">
        <v>101.219087301172</v>
      </c>
      <c r="C100" s="208">
        <f t="shared" si="6"/>
        <v>1.1783781454575711E-2</v>
      </c>
      <c r="D100" s="208">
        <f t="shared" si="7"/>
        <v>-0.33422811331544733</v>
      </c>
      <c r="E100" s="208">
        <f t="shared" si="8"/>
        <v>0.36910371562154642</v>
      </c>
      <c r="F100" s="111"/>
      <c r="G100" s="111"/>
      <c r="H100" s="111"/>
      <c r="I100" s="111"/>
      <c r="J100" s="111"/>
    </row>
    <row r="101" spans="1:10" ht="15" x14ac:dyDescent="0.25">
      <c r="A101" s="112">
        <v>42826</v>
      </c>
      <c r="B101" s="208">
        <v>101.918127945721</v>
      </c>
      <c r="C101" s="208">
        <f t="shared" si="6"/>
        <v>1.8129046873324953E-2</v>
      </c>
      <c r="D101" s="208">
        <f t="shared" si="7"/>
        <v>-0.18381807572182957</v>
      </c>
      <c r="E101" s="208">
        <f t="shared" si="8"/>
        <v>0.42707808769344091</v>
      </c>
      <c r="F101" s="111"/>
      <c r="G101" s="111"/>
      <c r="H101" s="111"/>
      <c r="I101" s="111"/>
      <c r="J101" s="111"/>
    </row>
    <row r="102" spans="1:10" ht="15" x14ac:dyDescent="0.25">
      <c r="A102" s="112">
        <v>42917</v>
      </c>
      <c r="B102" s="208">
        <v>102.61050466910299</v>
      </c>
      <c r="C102" s="208">
        <f t="shared" si="6"/>
        <v>2.3891482950278528E-2</v>
      </c>
      <c r="D102" s="208">
        <f t="shared" si="7"/>
        <v>-4.7223596253033295E-2</v>
      </c>
      <c r="E102" s="208">
        <f t="shared" si="8"/>
        <v>0.48116751070415864</v>
      </c>
      <c r="F102" s="111"/>
      <c r="G102" s="111"/>
      <c r="H102" s="111"/>
      <c r="I102" s="111"/>
      <c r="J102" s="111"/>
    </row>
    <row r="103" spans="1:10" ht="15" x14ac:dyDescent="0.25">
      <c r="A103" s="112">
        <v>43009</v>
      </c>
      <c r="B103" s="208">
        <v>102.63217492304599</v>
      </c>
      <c r="C103" s="208">
        <f t="shared" si="6"/>
        <v>1.588233301830019E-2</v>
      </c>
      <c r="D103" s="208">
        <f t="shared" si="7"/>
        <v>-0.23707484168749784</v>
      </c>
      <c r="E103" s="208">
        <f t="shared" si="8"/>
        <v>0.40629936474071221</v>
      </c>
      <c r="F103" s="111"/>
      <c r="G103" s="111"/>
      <c r="H103" s="111"/>
      <c r="I103" s="111"/>
      <c r="J103" s="111"/>
    </row>
    <row r="104" spans="1:10" ht="15" x14ac:dyDescent="0.25">
      <c r="A104" s="112">
        <v>43101</v>
      </c>
      <c r="B104" s="208">
        <v>104.024481132112</v>
      </c>
      <c r="C104" s="208">
        <f t="shared" si="6"/>
        <v>2.7338918177107534E-2</v>
      </c>
      <c r="D104" s="208">
        <f t="shared" si="7"/>
        <v>3.4495422235420029E-2</v>
      </c>
      <c r="E104" s="208">
        <f t="shared" si="8"/>
        <v>0.5137589536477617</v>
      </c>
      <c r="F104" s="111"/>
      <c r="G104" s="111"/>
      <c r="H104" s="111"/>
      <c r="I104" s="111"/>
      <c r="J104" s="111"/>
    </row>
    <row r="105" spans="1:10" ht="15" x14ac:dyDescent="0.25">
      <c r="A105" s="112">
        <v>43191</v>
      </c>
      <c r="B105" s="208">
        <v>104.605317467981</v>
      </c>
      <c r="C105" s="208">
        <f t="shared" si="6"/>
        <v>2.6024562777015297E-2</v>
      </c>
      <c r="D105" s="208">
        <f t="shared" si="7"/>
        <v>3.3395552869549682E-3</v>
      </c>
      <c r="E105" s="208">
        <f t="shared" si="8"/>
        <v>0.50133228732528612</v>
      </c>
      <c r="F105" s="111"/>
      <c r="G105" s="111"/>
      <c r="H105" s="111"/>
      <c r="I105" s="111"/>
      <c r="J105" s="111"/>
    </row>
    <row r="106" spans="1:10" ht="15" x14ac:dyDescent="0.25">
      <c r="A106" s="112">
        <v>43282</v>
      </c>
      <c r="B106" s="208">
        <v>104.85749931743899</v>
      </c>
      <c r="C106" s="208">
        <f t="shared" si="6"/>
        <v>2.1661966853709438E-2</v>
      </c>
      <c r="D106" s="208">
        <f t="shared" si="7"/>
        <v>-0.10007270149450233</v>
      </c>
      <c r="E106" s="208">
        <f t="shared" si="8"/>
        <v>0.4601433037844529</v>
      </c>
      <c r="F106" s="111"/>
      <c r="G106" s="111"/>
      <c r="H106" s="111"/>
      <c r="I106" s="111"/>
      <c r="J106" s="111"/>
    </row>
    <row r="107" spans="1:10" ht="15" x14ac:dyDescent="0.25">
      <c r="A107" s="112">
        <v>43374</v>
      </c>
      <c r="B107" s="208">
        <v>105.55343608642799</v>
      </c>
      <c r="C107" s="208">
        <f t="shared" si="6"/>
        <v>2.8065848558577994E-2</v>
      </c>
      <c r="D107" s="208">
        <f t="shared" si="7"/>
        <v>5.1726793784014298E-2</v>
      </c>
      <c r="E107" s="208">
        <f t="shared" si="8"/>
        <v>0.52062680626928792</v>
      </c>
      <c r="F107" s="111"/>
      <c r="G107" s="111"/>
      <c r="H107" s="111"/>
      <c r="I107" s="111"/>
      <c r="J107" s="111"/>
    </row>
    <row r="108" spans="1:10" ht="15" x14ac:dyDescent="0.25">
      <c r="A108" s="112">
        <v>43466</v>
      </c>
      <c r="B108" s="208">
        <v>105.514999231012</v>
      </c>
      <c r="C108" s="208">
        <f t="shared" si="6"/>
        <v>1.4226848675050885E-2</v>
      </c>
      <c r="D108" s="208">
        <f t="shared" si="7"/>
        <v>-0.27631692942870001</v>
      </c>
      <c r="E108" s="208">
        <f t="shared" si="8"/>
        <v>0.3911523270507905</v>
      </c>
      <c r="F108" s="111"/>
      <c r="G108" s="111"/>
      <c r="H108" s="111"/>
      <c r="I108" s="111"/>
      <c r="J108" s="111"/>
    </row>
    <row r="109" spans="1:10" ht="15" x14ac:dyDescent="0.25">
      <c r="A109" s="112">
        <v>43556</v>
      </c>
      <c r="B109" s="208">
        <v>107.90342934399401</v>
      </c>
      <c r="C109" s="208">
        <f t="shared" si="6"/>
        <v>3.1042267819834424E-2</v>
      </c>
      <c r="D109" s="208">
        <f t="shared" si="7"/>
        <v>0.12228071130133598</v>
      </c>
      <c r="E109" s="208">
        <f t="shared" si="8"/>
        <v>0.54866164624805247</v>
      </c>
      <c r="F109" s="111"/>
      <c r="G109" s="111"/>
      <c r="H109" s="111"/>
      <c r="I109" s="111"/>
      <c r="J109" s="111"/>
    </row>
    <row r="110" spans="1:10" ht="15" x14ac:dyDescent="0.25">
      <c r="A110" s="112">
        <v>43647</v>
      </c>
      <c r="B110" s="208">
        <v>106.848387649589</v>
      </c>
      <c r="C110" s="208">
        <f t="shared" si="6"/>
        <v>1.8808612763342194E-2</v>
      </c>
      <c r="D110" s="208">
        <f t="shared" si="7"/>
        <v>-0.16770944600827828</v>
      </c>
      <c r="E110" s="208">
        <f t="shared" si="8"/>
        <v>0.43340593230508162</v>
      </c>
      <c r="F110" s="111"/>
      <c r="G110" s="111"/>
      <c r="H110" s="111"/>
      <c r="I110" s="111"/>
      <c r="J110" s="111"/>
    </row>
    <row r="111" spans="1:10" ht="15" x14ac:dyDescent="0.25">
      <c r="A111" s="112">
        <v>43739</v>
      </c>
      <c r="B111" s="208">
        <v>106.335728536982</v>
      </c>
      <c r="C111" s="208">
        <f t="shared" si="6"/>
        <v>7.384011413635181E-3</v>
      </c>
      <c r="D111" s="208">
        <f t="shared" si="7"/>
        <v>-0.43852155631401996</v>
      </c>
      <c r="E111" s="208">
        <f t="shared" si="8"/>
        <v>0.33050412367523135</v>
      </c>
      <c r="F111" s="111"/>
      <c r="G111" s="111"/>
      <c r="H111" s="111"/>
      <c r="I111" s="111"/>
      <c r="J111" s="111"/>
    </row>
    <row r="112" spans="1:10" ht="15" x14ac:dyDescent="0.25">
      <c r="A112" s="112">
        <v>43831</v>
      </c>
      <c r="B112" s="208">
        <v>105.731022500702</v>
      </c>
      <c r="C112" s="208">
        <f t="shared" si="6"/>
        <v>2.0452299477225953E-3</v>
      </c>
      <c r="D112" s="208">
        <f t="shared" si="7"/>
        <v>-0.56507360228821468</v>
      </c>
      <c r="E112" s="208">
        <f t="shared" si="8"/>
        <v>0.28601185135951751</v>
      </c>
      <c r="F112" s="111"/>
      <c r="G112" s="111"/>
      <c r="H112" s="111"/>
      <c r="I112" s="111"/>
      <c r="J112" s="111"/>
    </row>
    <row r="113" spans="1:10" ht="15" x14ac:dyDescent="0.25">
      <c r="A113" s="112">
        <v>43922</v>
      </c>
      <c r="B113" s="208">
        <v>102.944801152791</v>
      </c>
      <c r="C113" s="208">
        <f t="shared" ref="C113:C114" si="9">LN(B113/B109)</f>
        <v>-4.7043720932522744E-2</v>
      </c>
      <c r="D113" s="208">
        <f t="shared" ref="D113:D114" si="10">(C113-$E$31)/$E$32</f>
        <v>-1.7286925307434347</v>
      </c>
      <c r="E113" s="208">
        <f t="shared" ref="E113:E114" si="11">_xlfn.NORM.DIST(C113,$E$31,$E$32,TRUE)</f>
        <v>4.1932069434580416E-2</v>
      </c>
      <c r="F113" s="111"/>
      <c r="G113" s="111"/>
      <c r="H113" s="111"/>
      <c r="I113" s="111"/>
      <c r="J113" s="111"/>
    </row>
    <row r="114" spans="1:10" ht="15" x14ac:dyDescent="0.25">
      <c r="A114" s="112">
        <v>44013</v>
      </c>
      <c r="B114" s="208">
        <v>103.605313146185</v>
      </c>
      <c r="C114" s="208">
        <f t="shared" si="9"/>
        <v>-3.0822278096701409E-2</v>
      </c>
      <c r="D114" s="208">
        <f t="shared" si="10"/>
        <v>-1.3441746791261975</v>
      </c>
      <c r="E114" s="208">
        <f t="shared" si="11"/>
        <v>8.9445953807453779E-2</v>
      </c>
      <c r="F114" s="111"/>
      <c r="G114" s="111"/>
      <c r="H114" s="111"/>
      <c r="I114" s="111"/>
      <c r="J114" s="111"/>
    </row>
    <row r="115" spans="1:10" ht="15" x14ac:dyDescent="0.25">
      <c r="A115" s="112">
        <v>44105</v>
      </c>
      <c r="B115" s="208">
        <v>103.359705060529</v>
      </c>
      <c r="C115" s="208">
        <f t="shared" ref="C115" si="12">LN(B115/B111)</f>
        <v>-2.8386152775537691E-2</v>
      </c>
      <c r="D115" s="208">
        <f t="shared" ref="D115" si="13">(C115-$E$31)/$E$32</f>
        <v>-1.2864280480623032</v>
      </c>
      <c r="E115" s="208">
        <f t="shared" ref="E115" si="14">_xlfn.NORM.DIST(C115,$E$31,$E$32,TRUE)</f>
        <v>9.9146857457423437E-2</v>
      </c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156"/>
  <sheetViews>
    <sheetView topLeftCell="D1" zoomScale="90" zoomScaleNormal="90" workbookViewId="0">
      <selection activeCell="J5" sqref="J5"/>
    </sheetView>
  </sheetViews>
  <sheetFormatPr defaultColWidth="8.7109375" defaultRowHeight="12.75" x14ac:dyDescent="0.2"/>
  <cols>
    <col min="1" max="1" width="26.85546875" style="163" customWidth="1"/>
    <col min="2" max="2" width="32.28515625" style="144" customWidth="1"/>
    <col min="3" max="3" width="27.42578125" style="144" customWidth="1"/>
    <col min="4" max="4" width="13.85546875" style="144" customWidth="1"/>
    <col min="5" max="5" width="17" style="143" customWidth="1"/>
    <col min="6" max="6" width="33.42578125" style="144" customWidth="1"/>
    <col min="7" max="7" width="15.140625" style="144" customWidth="1"/>
    <col min="8" max="9" width="16.5703125" style="144" customWidth="1"/>
    <col min="10" max="10" width="27.85546875" style="144" bestFit="1" customWidth="1"/>
    <col min="11" max="11" width="15.28515625" style="144" customWidth="1"/>
    <col min="12" max="12" width="16.5703125" style="144" customWidth="1"/>
    <col min="13" max="13" width="16.140625" style="144" customWidth="1"/>
    <col min="14" max="14" width="17.28515625" style="144" customWidth="1"/>
    <col min="15" max="15" width="13.42578125" style="144" customWidth="1"/>
    <col min="16" max="16" width="7.5703125" style="144" customWidth="1"/>
    <col min="17" max="17" width="18.7109375" style="144" customWidth="1"/>
    <col min="18" max="18" width="12.5703125" style="144" customWidth="1"/>
    <col min="19" max="19" width="8.7109375" style="144" customWidth="1"/>
    <col min="20" max="20" width="12.42578125" style="144" customWidth="1"/>
    <col min="21" max="21" width="8.7109375" style="144"/>
    <col min="22" max="22" width="14.5703125" style="144" customWidth="1"/>
    <col min="23" max="16384" width="8.7109375" style="144"/>
  </cols>
  <sheetData>
    <row r="1" spans="1:18" ht="23.25" customHeight="1" x14ac:dyDescent="0.2">
      <c r="A1" s="171" t="str">
        <f>F25</f>
        <v>Отрасль</v>
      </c>
      <c r="B1" s="172" t="str">
        <f>D25</f>
        <v>Вложения (руб)</v>
      </c>
      <c r="C1" s="147" t="s">
        <v>287</v>
      </c>
      <c r="D1" s="143"/>
      <c r="E1" s="240" t="s">
        <v>286</v>
      </c>
      <c r="F1" s="240"/>
      <c r="G1" s="240"/>
      <c r="K1" s="239"/>
      <c r="L1" s="239"/>
      <c r="M1" s="239"/>
      <c r="N1" s="239"/>
    </row>
    <row r="2" spans="1:18" x14ac:dyDescent="0.2">
      <c r="A2" s="160" t="s">
        <v>204</v>
      </c>
      <c r="B2" s="141">
        <f>SUMIF(F26:$F$466,"Банк",D26:$D$466)</f>
        <v>27680745210.780006</v>
      </c>
      <c r="C2" s="142">
        <f t="shared" ref="C2:C18" si="0">B2/$B$19</f>
        <v>0.35049712356267582</v>
      </c>
      <c r="D2" s="143"/>
      <c r="E2" s="144"/>
      <c r="I2" s="238" t="s">
        <v>331</v>
      </c>
      <c r="J2" s="238"/>
    </row>
    <row r="3" spans="1:18" x14ac:dyDescent="0.2">
      <c r="A3" s="160" t="s">
        <v>339</v>
      </c>
      <c r="B3" s="141">
        <f>SUMIF(F26:$F$466,"Страны",D26:$D$466)</f>
        <v>1114292566.1700001</v>
      </c>
      <c r="C3" s="142">
        <f t="shared" si="0"/>
        <v>1.4109314481091323E-2</v>
      </c>
      <c r="D3" s="143"/>
      <c r="E3" s="144"/>
      <c r="J3" s="152" t="str">
        <f>D25</f>
        <v>Вложения (руб)</v>
      </c>
    </row>
    <row r="4" spans="1:18" ht="25.5" x14ac:dyDescent="0.2">
      <c r="A4" s="160" t="s">
        <v>266</v>
      </c>
      <c r="B4" s="141">
        <f>SUMIF($F$26:$F$466,"Электроэнергетика и теплоэнергетика",$D$26:$D$466)</f>
        <v>1365631104.5999999</v>
      </c>
      <c r="C4" s="142">
        <f t="shared" si="0"/>
        <v>1.7291795085907367E-2</v>
      </c>
      <c r="D4" s="143"/>
      <c r="E4" s="144"/>
      <c r="I4" s="157" t="s">
        <v>71</v>
      </c>
      <c r="J4" s="141">
        <f>SUMIF($H$26:$H$246,I4,$D$26:$D$246)</f>
        <v>1540282457.5</v>
      </c>
      <c r="K4" s="195">
        <f>J4/$J$15</f>
        <v>1.9587228912624256E-2</v>
      </c>
    </row>
    <row r="5" spans="1:18" x14ac:dyDescent="0.2">
      <c r="A5" s="160" t="s">
        <v>223</v>
      </c>
      <c r="B5" s="141">
        <f>SUMIF($F$26:$F$466,"Топливная промышленность",$D$26:$D$466)</f>
        <v>17253566431.68</v>
      </c>
      <c r="C5" s="142">
        <f t="shared" si="0"/>
        <v>0.21846685699582635</v>
      </c>
      <c r="D5" s="143"/>
      <c r="E5" s="144"/>
      <c r="I5" s="140" t="s">
        <v>73</v>
      </c>
      <c r="J5" s="141">
        <f t="shared" ref="J5:J14" si="1">SUMIF($H$26:$H$246,I5,$D$26:$D$246)</f>
        <v>0</v>
      </c>
      <c r="K5" s="195">
        <f t="shared" ref="K5:K14" si="2">J5/$J$15</f>
        <v>0</v>
      </c>
    </row>
    <row r="6" spans="1:18" x14ac:dyDescent="0.2">
      <c r="A6" s="160" t="s">
        <v>211</v>
      </c>
      <c r="B6" s="141">
        <f>SUMIF($F$26:$F$466,"Транспорт",$D$26:$D$466)</f>
        <v>2364403236.2200003</v>
      </c>
      <c r="C6" s="142">
        <f t="shared" si="0"/>
        <v>2.9938375102511912E-2</v>
      </c>
      <c r="D6" s="143"/>
      <c r="E6" s="144"/>
      <c r="I6" s="140" t="s">
        <v>75</v>
      </c>
      <c r="J6" s="141">
        <f t="shared" si="1"/>
        <v>14829718445.249998</v>
      </c>
      <c r="K6" s="195">
        <f t="shared" si="2"/>
        <v>0.18858430054987363</v>
      </c>
      <c r="L6" s="238" t="s">
        <v>335</v>
      </c>
      <c r="M6" s="238"/>
      <c r="N6" s="238"/>
      <c r="O6" s="155"/>
      <c r="P6" s="238" t="s">
        <v>336</v>
      </c>
      <c r="Q6" s="238"/>
      <c r="R6" s="238"/>
    </row>
    <row r="7" spans="1:18" x14ac:dyDescent="0.2">
      <c r="A7" s="160" t="s">
        <v>262</v>
      </c>
      <c r="B7" s="141">
        <f>SUMIF($F$26:$F$466,"Связь и телекоммуникации",$D$26:$D$466)</f>
        <v>526569907.93000001</v>
      </c>
      <c r="C7" s="142">
        <f t="shared" si="0"/>
        <v>6.6674952816029101E-3</v>
      </c>
      <c r="D7" s="143"/>
      <c r="E7" s="238" t="s">
        <v>334</v>
      </c>
      <c r="F7" s="238"/>
      <c r="G7" s="238"/>
      <c r="I7" s="140" t="s">
        <v>77</v>
      </c>
      <c r="J7" s="141">
        <f t="shared" si="1"/>
        <v>29604301656.880005</v>
      </c>
      <c r="K7" s="195">
        <f t="shared" si="2"/>
        <v>0.37646746577433521</v>
      </c>
      <c r="M7" s="143" t="str">
        <f>D25</f>
        <v>Вложения (руб)</v>
      </c>
      <c r="N7" s="144" t="s">
        <v>195</v>
      </c>
      <c r="P7" s="151"/>
      <c r="Q7" s="152" t="str">
        <f>D25</f>
        <v>Вложения (руб)</v>
      </c>
      <c r="R7" s="151" t="str">
        <f>N7</f>
        <v>Доля</v>
      </c>
    </row>
    <row r="8" spans="1:18" ht="25.5" x14ac:dyDescent="0.2">
      <c r="A8" s="160" t="s">
        <v>267</v>
      </c>
      <c r="B8" s="141">
        <f>SUMIF($F$26:$F$466,"Горнодобывающая промышленность",$D$26:$D$466)</f>
        <v>1565003135.22</v>
      </c>
      <c r="C8" s="142">
        <f t="shared" si="0"/>
        <v>1.9816269146090758E-2</v>
      </c>
      <c r="D8" s="143"/>
      <c r="E8" s="144"/>
      <c r="F8" s="152" t="str">
        <f>D25</f>
        <v>Вложения (руб)</v>
      </c>
      <c r="G8" s="151" t="s">
        <v>288</v>
      </c>
      <c r="H8" s="151"/>
      <c r="I8" s="157" t="s">
        <v>79</v>
      </c>
      <c r="J8" s="141">
        <f t="shared" si="1"/>
        <v>13241883802.58</v>
      </c>
      <c r="K8" s="195">
        <f t="shared" si="2"/>
        <v>0.16839236726521362</v>
      </c>
      <c r="L8" s="140">
        <v>1</v>
      </c>
      <c r="M8" s="141">
        <f>SUMIF($J$26:$J$285,L8,$D$26:$D$285)</f>
        <v>51748636559</v>
      </c>
      <c r="N8" s="142">
        <f>M8/$M$12</f>
        <v>0.65806916469236576</v>
      </c>
      <c r="P8" s="140">
        <v>1</v>
      </c>
      <c r="Q8" s="141">
        <f>SUMIF($I$26:$I$285,P8,$D$26:$D$285)</f>
        <v>289179631.60000002</v>
      </c>
      <c r="R8" s="142">
        <f>Q8/$Q$11</f>
        <v>0.85406609204573147</v>
      </c>
    </row>
    <row r="9" spans="1:18" x14ac:dyDescent="0.2">
      <c r="A9" s="160" t="s">
        <v>247</v>
      </c>
      <c r="B9" s="141">
        <f>SUMIF($F$26:$F$466,"Финансовый лизинг",$D$26:$D$466)</f>
        <v>3288706672.6300001</v>
      </c>
      <c r="C9" s="142">
        <f t="shared" si="0"/>
        <v>4.1642023009889645E-2</v>
      </c>
      <c r="D9" s="143"/>
      <c r="E9" s="140" t="s">
        <v>284</v>
      </c>
      <c r="F9" s="141">
        <f>SUMIF($B$26:$B$246,"акции обыкновенные",D26:$D$246)+SUMIF($B$26:$B$246,"акции привилегированные",$D$26:$D$246)</f>
        <v>338591631.60000002</v>
      </c>
      <c r="G9" s="181">
        <f>F9/$F$11</f>
        <v>4.2872903902881994E-3</v>
      </c>
      <c r="H9" s="154"/>
      <c r="I9" s="158" t="s">
        <v>81</v>
      </c>
      <c r="J9" s="141">
        <f t="shared" si="1"/>
        <v>9665985364.5099983</v>
      </c>
      <c r="K9" s="195">
        <f t="shared" si="2"/>
        <v>0.12291892768033627</v>
      </c>
      <c r="L9" s="140">
        <v>2</v>
      </c>
      <c r="M9" s="141">
        <f>SUMIF($J$26:$J$285,L9,$D$26:$D$285)</f>
        <v>16479358605.629999</v>
      </c>
      <c r="N9" s="142">
        <f t="shared" ref="N9:N11" si="3">M9/$M$12</f>
        <v>0.20956219281079441</v>
      </c>
      <c r="P9" s="140">
        <v>2</v>
      </c>
      <c r="Q9" s="141">
        <f>SUMIF($I$26:$I$285,P9,$D$26:$D$285)</f>
        <v>37822000</v>
      </c>
      <c r="R9" s="142">
        <f>Q9/$Q$11</f>
        <v>0.11170388299697126</v>
      </c>
    </row>
    <row r="10" spans="1:18" x14ac:dyDescent="0.2">
      <c r="A10" s="160" t="s">
        <v>260</v>
      </c>
      <c r="B10" s="141">
        <f>SUMIF($F$26:$F$466,"Цветная и черная металлургия",$D$26:$D$466)</f>
        <v>2588980224.9499998</v>
      </c>
      <c r="C10" s="142">
        <f t="shared" si="0"/>
        <v>3.2781997554467361E-2</v>
      </c>
      <c r="D10" s="143"/>
      <c r="E10" s="140" t="s">
        <v>285</v>
      </c>
      <c r="F10" s="141">
        <f>SUMIF($B$26:$B$246,"корпоративные еврооблигации",D26:$D$246)+SUMIF($B$26:$B$246,"корпоративные рублевые облигации",D26:$D$246)+SUMIF($B$26:$B$246,"облигации РФ",D26:$D$246)+SUMIF($B$26:$B$246,"госеврооблигации",D26:$D$246)</f>
        <v>78637078494.919998</v>
      </c>
      <c r="G10" s="181">
        <f>F10/$F$11</f>
        <v>0.9957127096097117</v>
      </c>
      <c r="H10" s="154"/>
      <c r="I10" s="158" t="s">
        <v>83</v>
      </c>
      <c r="J10" s="141">
        <f t="shared" si="1"/>
        <v>8055069288.0200014</v>
      </c>
      <c r="K10" s="195">
        <f t="shared" si="2"/>
        <v>0.10243347594023809</v>
      </c>
      <c r="L10" s="140">
        <v>3</v>
      </c>
      <c r="M10" s="141">
        <f t="shared" ref="M10:M11" si="4">SUMIF($J$26:$J$285,L10,$D$26:$D$285)</f>
        <v>9826877961.7599983</v>
      </c>
      <c r="N10" s="142">
        <f t="shared" si="3"/>
        <v>0.12496494210927254</v>
      </c>
      <c r="P10" s="140">
        <v>3</v>
      </c>
      <c r="Q10" s="141">
        <f t="shared" ref="Q10" si="5">SUMIF($I$26:$I$285,P10,$D$26:$D$285)</f>
        <v>11590000</v>
      </c>
      <c r="R10" s="142">
        <f>Q10/$Q$11</f>
        <v>3.423002495729726E-2</v>
      </c>
    </row>
    <row r="11" spans="1:18" ht="25.5" x14ac:dyDescent="0.2">
      <c r="A11" s="160" t="s">
        <v>246</v>
      </c>
      <c r="B11" s="141">
        <f>SUMIF($F$26:$F$466,"Химическая и нефтехимическая промышленность",$D$26:$D$466)</f>
        <v>0</v>
      </c>
      <c r="C11" s="142">
        <f t="shared" si="0"/>
        <v>0</v>
      </c>
      <c r="D11" s="143"/>
      <c r="E11" s="144"/>
      <c r="F11" s="149">
        <f>SUM(F9:F10)</f>
        <v>78975670126.520004</v>
      </c>
      <c r="I11" s="157" t="s">
        <v>85</v>
      </c>
      <c r="J11" s="141">
        <f t="shared" si="1"/>
        <v>572374076.86000001</v>
      </c>
      <c r="K11" s="195">
        <f t="shared" si="2"/>
        <v>7.2786793178866091E-3</v>
      </c>
      <c r="L11" s="140">
        <v>4</v>
      </c>
      <c r="M11" s="141">
        <f t="shared" si="4"/>
        <v>582205368.52999997</v>
      </c>
      <c r="N11" s="142">
        <f t="shared" si="3"/>
        <v>7.4037003875673073E-3</v>
      </c>
      <c r="Q11" s="149">
        <f>SUM(Q8:Q10)</f>
        <v>338591631.60000002</v>
      </c>
    </row>
    <row r="12" spans="1:18" x14ac:dyDescent="0.2">
      <c r="A12" s="160" t="s">
        <v>273</v>
      </c>
      <c r="B12" s="141">
        <f>SUMIF($F$26:$F$466,"Инвестиционная деятельность",$D$26:$D$466)</f>
        <v>9037563534.7299995</v>
      </c>
      <c r="C12" s="142">
        <f t="shared" si="0"/>
        <v>0.11443478124657519</v>
      </c>
      <c r="D12" s="143"/>
      <c r="E12" s="145" t="s">
        <v>14</v>
      </c>
      <c r="F12" s="146">
        <f>B19-F11</f>
        <v>0</v>
      </c>
      <c r="I12" s="157" t="s">
        <v>87</v>
      </c>
      <c r="J12" s="141">
        <f t="shared" si="1"/>
        <v>1114292566.1700001</v>
      </c>
      <c r="K12" s="195">
        <f t="shared" si="2"/>
        <v>1.4170065667457165E-2</v>
      </c>
      <c r="M12" s="149">
        <f>SUM(M8:M11)</f>
        <v>78637078494.919998</v>
      </c>
      <c r="P12" s="156" t="s">
        <v>14</v>
      </c>
      <c r="Q12" s="150">
        <f>Q11-F9</f>
        <v>0</v>
      </c>
    </row>
    <row r="13" spans="1:18" x14ac:dyDescent="0.2">
      <c r="A13" s="160" t="s">
        <v>252</v>
      </c>
      <c r="B13" s="141">
        <f>SUMIF($F$26:$F$466,"Строительство жилых зданий",$D$26:$D$466)</f>
        <v>1472629770.6399999</v>
      </c>
      <c r="C13" s="142">
        <f t="shared" si="0"/>
        <v>1.8646625831484919E-2</v>
      </c>
      <c r="D13" s="143"/>
      <c r="E13" s="144"/>
      <c r="I13" s="157" t="s">
        <v>89</v>
      </c>
      <c r="J13" s="141">
        <f t="shared" si="1"/>
        <v>0</v>
      </c>
      <c r="K13" s="195">
        <f t="shared" si="2"/>
        <v>0</v>
      </c>
      <c r="L13" s="145" t="s">
        <v>14</v>
      </c>
      <c r="M13" s="146">
        <f>F10-M12</f>
        <v>0</v>
      </c>
    </row>
    <row r="14" spans="1:18" x14ac:dyDescent="0.2">
      <c r="A14" s="160" t="s">
        <v>218</v>
      </c>
      <c r="B14" s="141">
        <f>SUMIF($F$26:$F$466,"ОФЗ",$D$26:$D$466)</f>
        <v>9996401210.3299999</v>
      </c>
      <c r="C14" s="142">
        <f t="shared" si="0"/>
        <v>0.12657570609170699</v>
      </c>
      <c r="D14" s="143"/>
      <c r="E14" s="144"/>
      <c r="F14" s="143"/>
      <c r="I14" s="157" t="s">
        <v>116</v>
      </c>
      <c r="J14" s="141">
        <f t="shared" si="1"/>
        <v>13170837.149999999</v>
      </c>
      <c r="K14" s="195">
        <f t="shared" si="2"/>
        <v>1.6748889203521011E-4</v>
      </c>
    </row>
    <row r="15" spans="1:18" ht="38.25" x14ac:dyDescent="0.2">
      <c r="A15" s="160" t="s">
        <v>257</v>
      </c>
      <c r="B15" s="141">
        <f>SUMIF($F$26:$F$466,"Лесная и лесоперерабатывающая промышленность",$D$26:$D$466)</f>
        <v>626963670.63999999</v>
      </c>
      <c r="C15" s="142">
        <f t="shared" si="0"/>
        <v>7.9386938994705121E-3</v>
      </c>
      <c r="D15" s="143"/>
      <c r="E15" s="144"/>
      <c r="F15" s="143"/>
      <c r="I15" s="182"/>
      <c r="J15" s="149">
        <f>SUM(J4:J14)</f>
        <v>78637078494.919998</v>
      </c>
    </row>
    <row r="16" spans="1:18" ht="25.5" x14ac:dyDescent="0.2">
      <c r="A16" s="160" t="s">
        <v>261</v>
      </c>
      <c r="B16" s="141">
        <f>SUMIF($F$26:$F$466,"Профессиональные услуги, сервис",$D$26:$D$466)</f>
        <v>44793450</v>
      </c>
      <c r="C16" s="142">
        <f t="shared" si="0"/>
        <v>5.6718037248991156E-4</v>
      </c>
      <c r="D16" s="143"/>
      <c r="E16" s="144"/>
      <c r="F16" s="143"/>
      <c r="I16" s="145" t="s">
        <v>14</v>
      </c>
      <c r="J16" s="146">
        <f>J15-F10</f>
        <v>0</v>
      </c>
    </row>
    <row r="17" spans="1:14" x14ac:dyDescent="0.2">
      <c r="A17" s="160" t="s">
        <v>256</v>
      </c>
      <c r="B17" s="141">
        <f>SUMIF($F$26:$F$466,"Розничная торговля",$D$26:$D$466)</f>
        <v>0</v>
      </c>
      <c r="C17" s="142">
        <f t="shared" si="0"/>
        <v>0</v>
      </c>
      <c r="D17" s="143"/>
      <c r="E17" s="144"/>
      <c r="F17" s="143"/>
      <c r="I17" s="145"/>
    </row>
    <row r="18" spans="1:14" x14ac:dyDescent="0.2">
      <c r="A18" s="160" t="s">
        <v>227</v>
      </c>
      <c r="B18" s="141">
        <f>SUMIF($F$26:$F$466,"Прочее",$D$26:$D$466)</f>
        <v>49420000</v>
      </c>
      <c r="C18" s="142">
        <f t="shared" si="0"/>
        <v>6.2576233820907812E-4</v>
      </c>
      <c r="D18" s="143"/>
      <c r="E18" s="144"/>
      <c r="F18" s="143"/>
      <c r="I18" s="145"/>
    </row>
    <row r="19" spans="1:14" x14ac:dyDescent="0.2">
      <c r="A19" s="161"/>
      <c r="B19" s="175">
        <f>SUM(B2:B18)</f>
        <v>78975670126.520004</v>
      </c>
      <c r="C19" s="179">
        <f>SUM(C2:C18)</f>
        <v>1.0000000000000002</v>
      </c>
      <c r="D19" s="143"/>
      <c r="E19" s="144"/>
    </row>
    <row r="20" spans="1:14" x14ac:dyDescent="0.2">
      <c r="A20" s="162" t="s">
        <v>14</v>
      </c>
      <c r="B20" s="146">
        <f>SUM(D26:D154)-B19</f>
        <v>0</v>
      </c>
      <c r="D20" s="143"/>
      <c r="E20" s="145"/>
      <c r="F20" s="150"/>
      <c r="J20" s="149"/>
    </row>
    <row r="21" spans="1:14" x14ac:dyDescent="0.2">
      <c r="D21" s="143"/>
      <c r="E21" s="144"/>
      <c r="J21" s="146"/>
    </row>
    <row r="22" spans="1:14" x14ac:dyDescent="0.2">
      <c r="D22" s="143"/>
      <c r="E22" s="144"/>
      <c r="I22" s="145"/>
      <c r="J22" s="146"/>
    </row>
    <row r="23" spans="1:14" x14ac:dyDescent="0.2">
      <c r="D23" s="143"/>
      <c r="E23" s="144"/>
      <c r="I23" s="145"/>
      <c r="J23" s="145"/>
    </row>
    <row r="24" spans="1:14" x14ac:dyDescent="0.2">
      <c r="D24" s="143"/>
      <c r="E24" s="144"/>
    </row>
    <row r="25" spans="1:14" x14ac:dyDescent="0.2">
      <c r="A25" s="159" t="s">
        <v>654</v>
      </c>
      <c r="B25" s="140" t="s">
        <v>221</v>
      </c>
      <c r="C25" s="140" t="s">
        <v>43</v>
      </c>
      <c r="D25" s="141" t="s">
        <v>107</v>
      </c>
      <c r="E25" s="140" t="s">
        <v>102</v>
      </c>
      <c r="F25" s="140" t="s">
        <v>206</v>
      </c>
      <c r="G25" s="147" t="s">
        <v>282</v>
      </c>
      <c r="H25" s="153" t="s">
        <v>164</v>
      </c>
      <c r="I25" s="153" t="s">
        <v>332</v>
      </c>
      <c r="J25" s="153" t="s">
        <v>333</v>
      </c>
      <c r="L25" s="153" t="str">
        <f>E25</f>
        <v>Эмитент</v>
      </c>
      <c r="M25" s="153" t="s">
        <v>283</v>
      </c>
      <c r="N25" s="153" t="s">
        <v>289</v>
      </c>
    </row>
    <row r="26" spans="1:14" x14ac:dyDescent="0.2">
      <c r="A26" s="164" t="s">
        <v>626</v>
      </c>
      <c r="B26" s="165" t="s">
        <v>624</v>
      </c>
      <c r="C26" s="165" t="s">
        <v>222</v>
      </c>
      <c r="D26" s="166">
        <v>81262601.600000039</v>
      </c>
      <c r="E26" s="165" t="s">
        <v>153</v>
      </c>
      <c r="F26" s="170" t="str">
        <f>VLOOKUP(E26,'Справочник отрасли'!$A:$D,4,0)</f>
        <v>Банк</v>
      </c>
      <c r="G26" s="168">
        <f t="shared" ref="G26:G57" si="6">D26/$B$19</f>
        <v>1.0289574177695022E-3</v>
      </c>
      <c r="H26" s="167"/>
      <c r="I26" s="169">
        <f>VLOOKUP(C26,'Справочник отрасли'!$J$6:$K$34,2,0)</f>
        <v>1</v>
      </c>
      <c r="J26" s="169" t="str">
        <f>VLOOKUP(A26,'Эшелоны результат'!$A$3:$H$283,8,FALSE)</f>
        <v>Ошибка, не численные значения</v>
      </c>
      <c r="L26" s="140" t="s">
        <v>153</v>
      </c>
      <c r="M26" s="173">
        <f t="shared" ref="M26:M57" si="7">SUMIF($E$26:$E$422,L26,$D$26:$D$422)</f>
        <v>869278109.20000005</v>
      </c>
      <c r="N26" s="174">
        <f t="shared" ref="N26:N57" si="8">M26/$M$77</f>
        <v>1.1006910201678641E-2</v>
      </c>
    </row>
    <row r="27" spans="1:14" x14ac:dyDescent="0.2">
      <c r="A27" s="164" t="s">
        <v>627</v>
      </c>
      <c r="B27" s="165" t="s">
        <v>624</v>
      </c>
      <c r="C27" s="165" t="s">
        <v>342</v>
      </c>
      <c r="D27" s="166">
        <v>87552000</v>
      </c>
      <c r="E27" s="165" t="s">
        <v>245</v>
      </c>
      <c r="F27" s="170" t="str">
        <f>VLOOKUP(E27,'Справочник отрасли'!$A:$D,4,0)</f>
        <v>Топливная промышленность</v>
      </c>
      <c r="G27" s="168">
        <f t="shared" si="6"/>
        <v>1.10859458184705E-3</v>
      </c>
      <c r="H27" s="167"/>
      <c r="I27" s="169">
        <f>VLOOKUP(C27,'Справочник отрасли'!$J$6:$K$34,2,0)</f>
        <v>1</v>
      </c>
      <c r="J27" s="169" t="str">
        <f>VLOOKUP(A27,'Эшелоны результат'!$A$3:$H$283,8,FALSE)</f>
        <v>Ошибка, не численные значения</v>
      </c>
      <c r="L27" s="140" t="s">
        <v>245</v>
      </c>
      <c r="M27" s="173">
        <f t="shared" si="7"/>
        <v>87552000</v>
      </c>
      <c r="N27" s="174">
        <f t="shared" si="8"/>
        <v>1.10859458184705E-3</v>
      </c>
    </row>
    <row r="28" spans="1:14" x14ac:dyDescent="0.2">
      <c r="A28" s="164" t="s">
        <v>628</v>
      </c>
      <c r="B28" s="165" t="s">
        <v>624</v>
      </c>
      <c r="C28" s="165" t="s">
        <v>410</v>
      </c>
      <c r="D28" s="166">
        <v>49420000</v>
      </c>
      <c r="E28" s="165" t="s">
        <v>413</v>
      </c>
      <c r="F28" s="170" t="str">
        <f>VLOOKUP(E28,'Справочник отрасли'!$A:$D,4,0)</f>
        <v>Прочее</v>
      </c>
      <c r="G28" s="168">
        <f t="shared" si="6"/>
        <v>6.2576233820907812E-4</v>
      </c>
      <c r="H28" s="167"/>
      <c r="I28" s="169">
        <f>VLOOKUP(C28,'Справочник отрасли'!$J$6:$K$34,2,0)</f>
        <v>1</v>
      </c>
      <c r="J28" s="169" t="str">
        <f>VLOOKUP(A28,'Эшелоны результат'!$A$3:$H$283,8,FALSE)</f>
        <v>Ошибка, не численные значения</v>
      </c>
      <c r="L28" s="140" t="s">
        <v>413</v>
      </c>
      <c r="M28" s="173">
        <f t="shared" si="7"/>
        <v>49420000</v>
      </c>
      <c r="N28" s="174">
        <f t="shared" si="8"/>
        <v>6.2576233820907812E-4</v>
      </c>
    </row>
    <row r="29" spans="1:14" x14ac:dyDescent="0.2">
      <c r="A29" s="164" t="s">
        <v>629</v>
      </c>
      <c r="B29" s="165" t="s">
        <v>624</v>
      </c>
      <c r="C29" s="165" t="s">
        <v>235</v>
      </c>
      <c r="D29" s="166">
        <v>26357429.999999996</v>
      </c>
      <c r="E29" s="165" t="s">
        <v>122</v>
      </c>
      <c r="F29" s="170" t="str">
        <f>VLOOKUP(E29,'Справочник отрасли'!$A:$D,4,0)</f>
        <v>Топливная промышленность</v>
      </c>
      <c r="G29" s="168">
        <f t="shared" si="6"/>
        <v>3.3374113771716105E-4</v>
      </c>
      <c r="H29" s="167"/>
      <c r="I29" s="169">
        <f>VLOOKUP(C29,'Справочник отрасли'!$J$6:$K$34,2,0)</f>
        <v>1</v>
      </c>
      <c r="J29" s="169" t="str">
        <f>VLOOKUP(A29,'Эшелоны результат'!$A$3:$H$283,8,FALSE)</f>
        <v>Ошибка, не численные значения</v>
      </c>
      <c r="L29" s="140" t="s">
        <v>122</v>
      </c>
      <c r="M29" s="173">
        <f t="shared" si="7"/>
        <v>26357429.999999996</v>
      </c>
      <c r="N29" s="174">
        <f t="shared" si="8"/>
        <v>3.3374113771716105E-4</v>
      </c>
    </row>
    <row r="30" spans="1:14" x14ac:dyDescent="0.2">
      <c r="A30" s="164" t="s">
        <v>630</v>
      </c>
      <c r="B30" s="165" t="s">
        <v>624</v>
      </c>
      <c r="C30" s="165" t="s">
        <v>481</v>
      </c>
      <c r="D30" s="166">
        <v>25024000</v>
      </c>
      <c r="E30" s="165" t="s">
        <v>483</v>
      </c>
      <c r="F30" s="170" t="str">
        <f>VLOOKUP(E30,'Справочник отрасли'!$A:$D,4,0)</f>
        <v>Цветная и черная металлургия</v>
      </c>
      <c r="G30" s="168">
        <f t="shared" si="6"/>
        <v>3.168570771214887E-4</v>
      </c>
      <c r="H30" s="167"/>
      <c r="I30" s="169">
        <f>VLOOKUP(C30,'Справочник отрасли'!$J$6:$K$34,2,0)</f>
        <v>2</v>
      </c>
      <c r="J30" s="169" t="str">
        <f>VLOOKUP(A30,'Эшелоны результат'!$A$3:$H$283,8,FALSE)</f>
        <v>Ошибка, не численные значения</v>
      </c>
      <c r="L30" s="140" t="s">
        <v>483</v>
      </c>
      <c r="M30" s="173">
        <f t="shared" si="7"/>
        <v>25024000</v>
      </c>
      <c r="N30" s="174">
        <f t="shared" si="8"/>
        <v>3.168570771214887E-4</v>
      </c>
    </row>
    <row r="31" spans="1:14" x14ac:dyDescent="0.2">
      <c r="A31" s="164" t="s">
        <v>631</v>
      </c>
      <c r="B31" s="165" t="s">
        <v>624</v>
      </c>
      <c r="C31" s="165" t="s">
        <v>482</v>
      </c>
      <c r="D31" s="166">
        <v>44587600</v>
      </c>
      <c r="E31" s="165" t="s">
        <v>484</v>
      </c>
      <c r="F31" s="170" t="str">
        <f>VLOOKUP(E31,'Справочник отрасли'!$A:$D,4,0)</f>
        <v>Цветная и черная металлургия</v>
      </c>
      <c r="G31" s="168">
        <f t="shared" si="6"/>
        <v>5.6457387355586996E-4</v>
      </c>
      <c r="H31" s="167"/>
      <c r="I31" s="169">
        <f>VLOOKUP(C31,'Справочник отрасли'!$J$6:$K$34,2,0)</f>
        <v>1</v>
      </c>
      <c r="J31" s="169" t="str">
        <f>VLOOKUP(A31,'Эшелоны результат'!$A$3:$H$283,8,FALSE)</f>
        <v>Ошибка, не численные значения</v>
      </c>
      <c r="L31" s="140" t="s">
        <v>484</v>
      </c>
      <c r="M31" s="173">
        <f t="shared" si="7"/>
        <v>44587600</v>
      </c>
      <c r="N31" s="174">
        <f t="shared" si="8"/>
        <v>5.6457387355586996E-4</v>
      </c>
    </row>
    <row r="32" spans="1:14" x14ac:dyDescent="0.2">
      <c r="A32" s="164" t="s">
        <v>570</v>
      </c>
      <c r="B32" s="165" t="s">
        <v>493</v>
      </c>
      <c r="C32" s="165" t="s">
        <v>505</v>
      </c>
      <c r="D32" s="166">
        <v>470960969.04000002</v>
      </c>
      <c r="E32" s="165" t="s">
        <v>145</v>
      </c>
      <c r="F32" s="170" t="str">
        <f>VLOOKUP(E32,'Справочник отрасли'!$A:$D,4,0)</f>
        <v>Банк</v>
      </c>
      <c r="G32" s="168">
        <f t="shared" si="6"/>
        <v>5.9633678104347165E-3</v>
      </c>
      <c r="H32" s="167" t="s">
        <v>79</v>
      </c>
      <c r="I32" s="169" t="e">
        <f>VLOOKUP(C32,'Справочник отрасли'!$J$6:$K$34,2,0)</f>
        <v>#N/A</v>
      </c>
      <c r="J32" s="169">
        <f>VLOOKUP(A32,'Эшелоны результат'!$A$3:$H$283,8,FALSE)</f>
        <v>1</v>
      </c>
      <c r="L32" s="140" t="s">
        <v>145</v>
      </c>
      <c r="M32" s="173">
        <f t="shared" si="7"/>
        <v>3989898598.21</v>
      </c>
      <c r="N32" s="174">
        <f t="shared" si="8"/>
        <v>5.0520604533245909E-2</v>
      </c>
    </row>
    <row r="33" spans="1:14" x14ac:dyDescent="0.2">
      <c r="A33" s="164" t="s">
        <v>620</v>
      </c>
      <c r="B33" s="165" t="s">
        <v>493</v>
      </c>
      <c r="C33" s="165" t="s">
        <v>556</v>
      </c>
      <c r="D33" s="166">
        <v>468459389.66999996</v>
      </c>
      <c r="E33" s="165" t="s">
        <v>105</v>
      </c>
      <c r="F33" s="170" t="str">
        <f>VLOOKUP(E33,'Справочник отрасли'!$A:$D,4,0)</f>
        <v>Топливная промышленность</v>
      </c>
      <c r="G33" s="168">
        <f t="shared" si="6"/>
        <v>5.9316924936442094E-3</v>
      </c>
      <c r="H33" s="167" t="s">
        <v>75</v>
      </c>
      <c r="I33" s="169" t="e">
        <f>VLOOKUP(C33,'Справочник отрасли'!$J$6:$K$34,2,0)</f>
        <v>#N/A</v>
      </c>
      <c r="J33" s="169">
        <f>VLOOKUP(A33,'Эшелоны результат'!$A$3:$H$283,8,FALSE)</f>
        <v>1</v>
      </c>
      <c r="L33" s="140" t="s">
        <v>105</v>
      </c>
      <c r="M33" s="173">
        <f t="shared" si="7"/>
        <v>468459389.66999996</v>
      </c>
      <c r="N33" s="174">
        <f t="shared" si="8"/>
        <v>5.9316924936442094E-3</v>
      </c>
    </row>
    <row r="34" spans="1:14" x14ac:dyDescent="0.2">
      <c r="A34" s="164" t="s">
        <v>632</v>
      </c>
      <c r="B34" s="165" t="s">
        <v>493</v>
      </c>
      <c r="C34" s="165" t="s">
        <v>655</v>
      </c>
      <c r="D34" s="166">
        <v>150462720.78</v>
      </c>
      <c r="E34" s="165" t="s">
        <v>135</v>
      </c>
      <c r="F34" s="170" t="str">
        <f>VLOOKUP(E34,'Справочник отрасли'!$A:$D,4,0)</f>
        <v>Горнодобывающая промышленность</v>
      </c>
      <c r="G34" s="168">
        <f t="shared" si="6"/>
        <v>1.9051781458638698E-3</v>
      </c>
      <c r="H34" s="167" t="s">
        <v>77</v>
      </c>
      <c r="I34" s="169" t="e">
        <f>VLOOKUP(C34,'Справочник отрасли'!$J$6:$K$34,2,0)</f>
        <v>#N/A</v>
      </c>
      <c r="J34" s="169">
        <f>VLOOKUP(A34,'Эшелоны результат'!$A$3:$H$283,8,FALSE)</f>
        <v>1</v>
      </c>
      <c r="L34" s="140" t="s">
        <v>135</v>
      </c>
      <c r="M34" s="173">
        <f t="shared" si="7"/>
        <v>825743034.90999997</v>
      </c>
      <c r="N34" s="174">
        <f t="shared" si="8"/>
        <v>1.0455663542799313E-2</v>
      </c>
    </row>
    <row r="35" spans="1:14" x14ac:dyDescent="0.2">
      <c r="A35" s="164" t="s">
        <v>633</v>
      </c>
      <c r="B35" s="165" t="s">
        <v>493</v>
      </c>
      <c r="C35" s="165" t="s">
        <v>656</v>
      </c>
      <c r="D35" s="166">
        <v>2357957017.3599997</v>
      </c>
      <c r="E35" s="165" t="s">
        <v>104</v>
      </c>
      <c r="F35" s="170" t="str">
        <f>VLOOKUP(E35,'Справочник отрасли'!$A:$D,4,0)</f>
        <v>Топливная промышленность</v>
      </c>
      <c r="G35" s="168">
        <f t="shared" si="6"/>
        <v>2.9856752257784242E-2</v>
      </c>
      <c r="H35" s="167" t="s">
        <v>75</v>
      </c>
      <c r="I35" s="169" t="e">
        <f>VLOOKUP(C35,'Справочник отрасли'!$J$6:$K$34,2,0)</f>
        <v>#N/A</v>
      </c>
      <c r="J35" s="169">
        <f>VLOOKUP(A35,'Эшелоны результат'!$A$3:$H$283,8,FALSE)</f>
        <v>1</v>
      </c>
      <c r="L35" s="140" t="s">
        <v>104</v>
      </c>
      <c r="M35" s="173">
        <f t="shared" si="7"/>
        <v>3140813823.4599996</v>
      </c>
      <c r="N35" s="174">
        <f t="shared" si="8"/>
        <v>3.9769384905862487E-2</v>
      </c>
    </row>
    <row r="36" spans="1:14" x14ac:dyDescent="0.2">
      <c r="A36" s="164" t="s">
        <v>634</v>
      </c>
      <c r="B36" s="165" t="s">
        <v>493</v>
      </c>
      <c r="C36" s="165" t="s">
        <v>657</v>
      </c>
      <c r="D36" s="166">
        <v>1021586706.4099998</v>
      </c>
      <c r="E36" s="165" t="s">
        <v>147</v>
      </c>
      <c r="F36" s="170" t="str">
        <f>VLOOKUP(E36,'Справочник отрасли'!$A:$D,4,0)</f>
        <v>Банк</v>
      </c>
      <c r="G36" s="168">
        <f t="shared" si="6"/>
        <v>1.2935461070142302E-2</v>
      </c>
      <c r="H36" s="167" t="s">
        <v>77</v>
      </c>
      <c r="I36" s="169" t="e">
        <f>VLOOKUP(C36,'Справочник отрасли'!$J$6:$K$34,2,0)</f>
        <v>#N/A</v>
      </c>
      <c r="J36" s="169">
        <f>VLOOKUP(A36,'Эшелоны результат'!$A$3:$H$283,8,FALSE)</f>
        <v>1</v>
      </c>
      <c r="L36" s="140" t="s">
        <v>147</v>
      </c>
      <c r="M36" s="173">
        <f t="shared" si="7"/>
        <v>1021586706.4099998</v>
      </c>
      <c r="N36" s="174">
        <f t="shared" si="8"/>
        <v>1.2935461070142302E-2</v>
      </c>
    </row>
    <row r="37" spans="1:14" x14ac:dyDescent="0.2">
      <c r="A37" s="164" t="s">
        <v>635</v>
      </c>
      <c r="B37" s="165" t="s">
        <v>493</v>
      </c>
      <c r="C37" s="165" t="s">
        <v>658</v>
      </c>
      <c r="D37" s="166">
        <v>297282281.63999999</v>
      </c>
      <c r="E37" s="165" t="s">
        <v>143</v>
      </c>
      <c r="F37" s="170" t="str">
        <f>VLOOKUP(E37,'Справочник отрасли'!$A:$D,4,0)</f>
        <v>Связь и телекоммуникации</v>
      </c>
      <c r="G37" s="168">
        <f t="shared" si="6"/>
        <v>3.7642261365272377E-3</v>
      </c>
      <c r="H37" s="167" t="s">
        <v>79</v>
      </c>
      <c r="I37" s="169" t="e">
        <f>VLOOKUP(C37,'Справочник отрасли'!$J$6:$K$34,2,0)</f>
        <v>#N/A</v>
      </c>
      <c r="J37" s="169">
        <f>VLOOKUP(A37,'Эшелоны результат'!$A$3:$H$283,8,FALSE)</f>
        <v>1</v>
      </c>
      <c r="L37" s="140" t="s">
        <v>143</v>
      </c>
      <c r="M37" s="173">
        <f t="shared" si="7"/>
        <v>297282281.63999999</v>
      </c>
      <c r="N37" s="174">
        <f t="shared" si="8"/>
        <v>3.7642261365272377E-3</v>
      </c>
    </row>
    <row r="38" spans="1:14" x14ac:dyDescent="0.2">
      <c r="A38" s="164" t="s">
        <v>561</v>
      </c>
      <c r="B38" s="165" t="s">
        <v>493</v>
      </c>
      <c r="C38" s="165" t="s">
        <v>496</v>
      </c>
      <c r="D38" s="166">
        <v>696316987.5</v>
      </c>
      <c r="E38" s="165" t="s">
        <v>337</v>
      </c>
      <c r="F38" s="170" t="str">
        <f>VLOOKUP(E38,'Справочник отрасли'!$A:$D,4,0)</f>
        <v>Страны</v>
      </c>
      <c r="G38" s="168">
        <f t="shared" si="6"/>
        <v>8.8168544361129381E-3</v>
      </c>
      <c r="H38" s="167" t="s">
        <v>87</v>
      </c>
      <c r="I38" s="169" t="e">
        <f>VLOOKUP(C38,'Справочник отрасли'!$J$6:$K$34,2,0)</f>
        <v>#N/A</v>
      </c>
      <c r="J38" s="169">
        <f>VLOOKUP(A38,'Эшелоны результат'!$A$3:$H$283,8,FALSE)</f>
        <v>2</v>
      </c>
      <c r="L38" s="140" t="s">
        <v>337</v>
      </c>
      <c r="M38" s="173">
        <f t="shared" si="7"/>
        <v>1114292566.1700001</v>
      </c>
      <c r="N38" s="174">
        <f t="shared" si="8"/>
        <v>1.4109314481091323E-2</v>
      </c>
    </row>
    <row r="39" spans="1:14" x14ac:dyDescent="0.2">
      <c r="A39" s="164" t="s">
        <v>562</v>
      </c>
      <c r="B39" s="165" t="s">
        <v>493</v>
      </c>
      <c r="C39" s="165" t="s">
        <v>497</v>
      </c>
      <c r="D39" s="166">
        <v>75219394.409999996</v>
      </c>
      <c r="E39" s="165" t="s">
        <v>133</v>
      </c>
      <c r="F39" s="170" t="str">
        <f>VLOOKUP(E39,'Справочник отрасли'!$A:$D,4,0)</f>
        <v>Финансовый лизинг</v>
      </c>
      <c r="G39" s="168">
        <f t="shared" si="6"/>
        <v>9.5243755816820034E-4</v>
      </c>
      <c r="H39" s="167" t="s">
        <v>81</v>
      </c>
      <c r="I39" s="169" t="e">
        <f>VLOOKUP(C39,'Справочник отрасли'!$J$6:$K$34,2,0)</f>
        <v>#N/A</v>
      </c>
      <c r="J39" s="169">
        <f>VLOOKUP(A39,'Эшелоны результат'!$A$3:$H$283,8,FALSE)</f>
        <v>2</v>
      </c>
      <c r="L39" s="140" t="s">
        <v>133</v>
      </c>
      <c r="M39" s="173">
        <f t="shared" si="7"/>
        <v>3083919998.8699999</v>
      </c>
      <c r="N39" s="174">
        <f t="shared" si="8"/>
        <v>3.904898804821183E-2</v>
      </c>
    </row>
    <row r="40" spans="1:14" x14ac:dyDescent="0.2">
      <c r="A40" s="164" t="s">
        <v>563</v>
      </c>
      <c r="B40" s="165" t="s">
        <v>493</v>
      </c>
      <c r="C40" s="165" t="s">
        <v>498</v>
      </c>
      <c r="D40" s="166">
        <v>342782070.78000003</v>
      </c>
      <c r="E40" s="165" t="s">
        <v>136</v>
      </c>
      <c r="F40" s="170" t="str">
        <f>VLOOKUP(E40,'Справочник отрасли'!$A:$D,4,0)</f>
        <v>Транспорт</v>
      </c>
      <c r="G40" s="168">
        <f t="shared" si="6"/>
        <v>4.3403502652254664E-3</v>
      </c>
      <c r="H40" s="167" t="s">
        <v>79</v>
      </c>
      <c r="I40" s="169" t="e">
        <f>VLOOKUP(C40,'Справочник отрасли'!$J$6:$K$34,2,0)</f>
        <v>#N/A</v>
      </c>
      <c r="J40" s="169">
        <f>VLOOKUP(A40,'Эшелоны результат'!$A$3:$H$283,8,FALSE)</f>
        <v>1</v>
      </c>
      <c r="L40" s="140" t="s">
        <v>136</v>
      </c>
      <c r="M40" s="173">
        <f t="shared" si="7"/>
        <v>342782070.78000003</v>
      </c>
      <c r="N40" s="174">
        <f t="shared" si="8"/>
        <v>4.3403502652254664E-3</v>
      </c>
    </row>
    <row r="41" spans="1:14" x14ac:dyDescent="0.2">
      <c r="A41" s="164" t="s">
        <v>564</v>
      </c>
      <c r="B41" s="165" t="s">
        <v>493</v>
      </c>
      <c r="C41" s="165" t="s">
        <v>499</v>
      </c>
      <c r="D41" s="166">
        <v>1938079573.5399997</v>
      </c>
      <c r="E41" s="165" t="s">
        <v>137</v>
      </c>
      <c r="F41" s="170" t="str">
        <f>VLOOKUP(E41,'Справочник отрасли'!$A:$D,4,0)</f>
        <v>Банк</v>
      </c>
      <c r="G41" s="168">
        <f t="shared" si="6"/>
        <v>2.4540210553898083E-2</v>
      </c>
      <c r="H41" s="167" t="s">
        <v>81</v>
      </c>
      <c r="I41" s="169" t="e">
        <f>VLOOKUP(C41,'Справочник отрасли'!$J$6:$K$34,2,0)</f>
        <v>#N/A</v>
      </c>
      <c r="J41" s="169">
        <f>VLOOKUP(A41,'Эшелоны результат'!$A$3:$H$283,8,FALSE)</f>
        <v>2</v>
      </c>
      <c r="L41" s="140" t="s">
        <v>137</v>
      </c>
      <c r="M41" s="173">
        <f t="shared" si="7"/>
        <v>2123336508.3599997</v>
      </c>
      <c r="N41" s="174">
        <f t="shared" si="8"/>
        <v>2.6885957472198567E-2</v>
      </c>
    </row>
    <row r="42" spans="1:14" x14ac:dyDescent="0.2">
      <c r="A42" s="164" t="s">
        <v>565</v>
      </c>
      <c r="B42" s="165" t="s">
        <v>493</v>
      </c>
      <c r="C42" s="165" t="s">
        <v>500</v>
      </c>
      <c r="D42" s="166">
        <v>66023806.859999999</v>
      </c>
      <c r="E42" s="165" t="s">
        <v>139</v>
      </c>
      <c r="F42" s="170" t="str">
        <f>VLOOKUP(E42,'Справочник отрасли'!$A:$D,4,0)</f>
        <v>Цветная и черная металлургия</v>
      </c>
      <c r="G42" s="168">
        <f t="shared" si="6"/>
        <v>8.3600185670129851E-4</v>
      </c>
      <c r="H42" s="167" t="s">
        <v>85</v>
      </c>
      <c r="I42" s="169" t="e">
        <f>VLOOKUP(C42,'Справочник отрасли'!$J$6:$K$34,2,0)</f>
        <v>#N/A</v>
      </c>
      <c r="J42" s="169">
        <f>VLOOKUP(A42,'Эшелоны результат'!$A$3:$H$283,8,FALSE)</f>
        <v>2</v>
      </c>
      <c r="L42" s="140" t="s">
        <v>139</v>
      </c>
      <c r="M42" s="173">
        <f t="shared" si="7"/>
        <v>711693791.51999998</v>
      </c>
      <c r="N42" s="174">
        <f t="shared" si="8"/>
        <v>9.011557488272752E-3</v>
      </c>
    </row>
    <row r="43" spans="1:14" x14ac:dyDescent="0.2">
      <c r="A43" s="164" t="s">
        <v>566</v>
      </c>
      <c r="B43" s="165" t="s">
        <v>493</v>
      </c>
      <c r="C43" s="165" t="s">
        <v>501</v>
      </c>
      <c r="D43" s="166">
        <v>229287626.29000002</v>
      </c>
      <c r="E43" s="165" t="s">
        <v>101</v>
      </c>
      <c r="F43" s="170" t="str">
        <f>VLOOKUP(E43,'Справочник отрасли'!$A:$D,4,0)</f>
        <v>Связь и телекоммуникации</v>
      </c>
      <c r="G43" s="168">
        <f t="shared" si="6"/>
        <v>2.903269145075672E-3</v>
      </c>
      <c r="H43" s="167" t="s">
        <v>81</v>
      </c>
      <c r="I43" s="169" t="e">
        <f>VLOOKUP(C43,'Справочник отрасли'!$J$6:$K$34,2,0)</f>
        <v>#N/A</v>
      </c>
      <c r="J43" s="169">
        <f>VLOOKUP(A43,'Эшелоны результат'!$A$3:$H$283,8,FALSE)</f>
        <v>2</v>
      </c>
      <c r="L43" s="140" t="s">
        <v>101</v>
      </c>
      <c r="M43" s="173">
        <f t="shared" si="7"/>
        <v>229287626.29000002</v>
      </c>
      <c r="N43" s="174">
        <f t="shared" si="8"/>
        <v>2.903269145075672E-3</v>
      </c>
    </row>
    <row r="44" spans="1:14" x14ac:dyDescent="0.2">
      <c r="A44" s="164" t="s">
        <v>567</v>
      </c>
      <c r="B44" s="165" t="s">
        <v>493</v>
      </c>
      <c r="C44" s="165" t="s">
        <v>502</v>
      </c>
      <c r="D44" s="166">
        <v>565242718.46000004</v>
      </c>
      <c r="E44" s="165" t="s">
        <v>140</v>
      </c>
      <c r="F44" s="170" t="str">
        <f>VLOOKUP(E44,'Справочник отрасли'!$A:$D,4,0)</f>
        <v>Транспорт</v>
      </c>
      <c r="G44" s="168">
        <f t="shared" si="6"/>
        <v>7.1571753370939959E-3</v>
      </c>
      <c r="H44" s="167" t="s">
        <v>81</v>
      </c>
      <c r="I44" s="169" t="e">
        <f>VLOOKUP(C44,'Справочник отрасли'!$J$6:$K$34,2,0)</f>
        <v>#N/A</v>
      </c>
      <c r="J44" s="169">
        <f>VLOOKUP(A44,'Эшелоны результат'!$A$3:$H$283,8,FALSE)</f>
        <v>2</v>
      </c>
      <c r="L44" s="140" t="s">
        <v>140</v>
      </c>
      <c r="M44" s="173">
        <f t="shared" si="7"/>
        <v>565242718.46000004</v>
      </c>
      <c r="N44" s="174">
        <f t="shared" si="8"/>
        <v>7.1571753370939959E-3</v>
      </c>
    </row>
    <row r="45" spans="1:14" x14ac:dyDescent="0.2">
      <c r="A45" s="164" t="s">
        <v>568</v>
      </c>
      <c r="B45" s="165" t="s">
        <v>493</v>
      </c>
      <c r="C45" s="165" t="s">
        <v>503</v>
      </c>
      <c r="D45" s="166">
        <v>295903989.97000003</v>
      </c>
      <c r="E45" s="165" t="s">
        <v>141</v>
      </c>
      <c r="F45" s="170" t="str">
        <f>VLOOKUP(E45,'Справочник отрасли'!$A:$D,4,0)</f>
        <v>Цветная и черная металлургия</v>
      </c>
      <c r="G45" s="168">
        <f t="shared" si="6"/>
        <v>3.7467740317487417E-3</v>
      </c>
      <c r="H45" s="167" t="s">
        <v>83</v>
      </c>
      <c r="I45" s="169" t="e">
        <f>VLOOKUP(C45,'Справочник отрасли'!$J$6:$K$34,2,0)</f>
        <v>#N/A</v>
      </c>
      <c r="J45" s="169">
        <f>VLOOKUP(A45,'Эшелоны результат'!$A$3:$H$283,8,FALSE)</f>
        <v>2</v>
      </c>
      <c r="L45" s="140" t="s">
        <v>141</v>
      </c>
      <c r="M45" s="173">
        <f t="shared" si="7"/>
        <v>295903989.97000003</v>
      </c>
      <c r="N45" s="174">
        <f t="shared" si="8"/>
        <v>3.7467740317487417E-3</v>
      </c>
    </row>
    <row r="46" spans="1:14" x14ac:dyDescent="0.2">
      <c r="A46" s="164" t="s">
        <v>569</v>
      </c>
      <c r="B46" s="165" t="s">
        <v>493</v>
      </c>
      <c r="C46" s="165" t="s">
        <v>504</v>
      </c>
      <c r="D46" s="166">
        <v>750349633.36000001</v>
      </c>
      <c r="E46" s="165" t="s">
        <v>133</v>
      </c>
      <c r="F46" s="170" t="str">
        <f>VLOOKUP(E46,'Справочник отрасли'!$A:$D,4,0)</f>
        <v>Финансовый лизинг</v>
      </c>
      <c r="G46" s="168">
        <f t="shared" si="6"/>
        <v>9.5010226840485257E-3</v>
      </c>
      <c r="H46" s="167" t="s">
        <v>81</v>
      </c>
      <c r="I46" s="169" t="e">
        <f>VLOOKUP(C46,'Справочник отрасли'!$J$6:$K$34,2,0)</f>
        <v>#N/A</v>
      </c>
      <c r="J46" s="169">
        <f>VLOOKUP(A46,'Эшелоны результат'!$A$3:$H$283,8,FALSE)</f>
        <v>2</v>
      </c>
      <c r="L46" s="140" t="s">
        <v>146</v>
      </c>
      <c r="M46" s="173">
        <f t="shared" si="7"/>
        <v>1176083332.6500001</v>
      </c>
      <c r="N46" s="174">
        <f t="shared" si="8"/>
        <v>1.4891717041031751E-2</v>
      </c>
    </row>
    <row r="47" spans="1:14" x14ac:dyDescent="0.2">
      <c r="A47" s="164" t="s">
        <v>570</v>
      </c>
      <c r="B47" s="165" t="s">
        <v>493</v>
      </c>
      <c r="C47" s="165" t="s">
        <v>505</v>
      </c>
      <c r="D47" s="166">
        <v>1444725626.76</v>
      </c>
      <c r="E47" s="165" t="s">
        <v>145</v>
      </c>
      <c r="F47" s="170" t="str">
        <f>VLOOKUP(E47,'Справочник отрасли'!$A:$D,4,0)</f>
        <v>Банк</v>
      </c>
      <c r="G47" s="168">
        <f t="shared" si="6"/>
        <v>1.8293300005502094E-2</v>
      </c>
      <c r="H47" s="167" t="s">
        <v>79</v>
      </c>
      <c r="I47" s="169" t="e">
        <f>VLOOKUP(C47,'Справочник отрасли'!$J$6:$K$34,2,0)</f>
        <v>#N/A</v>
      </c>
      <c r="J47" s="169">
        <f>VLOOKUP(A47,'Эшелоны результат'!$A$3:$H$283,8,FALSE)</f>
        <v>1</v>
      </c>
      <c r="L47" s="140" t="s">
        <v>100</v>
      </c>
      <c r="M47" s="173">
        <f t="shared" si="7"/>
        <v>739260100.30999994</v>
      </c>
      <c r="N47" s="174">
        <f t="shared" si="8"/>
        <v>9.3606056032914456E-3</v>
      </c>
    </row>
    <row r="48" spans="1:14" x14ac:dyDescent="0.2">
      <c r="A48" s="164" t="s">
        <v>571</v>
      </c>
      <c r="B48" s="165" t="s">
        <v>493</v>
      </c>
      <c r="C48" s="165" t="s">
        <v>506</v>
      </c>
      <c r="D48" s="166">
        <v>866370962.51999998</v>
      </c>
      <c r="E48" s="165" t="s">
        <v>146</v>
      </c>
      <c r="F48" s="170" t="str">
        <f>VLOOKUP(E48,'Справочник отрасли'!$A:$D,4,0)</f>
        <v>Банк</v>
      </c>
      <c r="G48" s="168">
        <f t="shared" si="6"/>
        <v>1.0970099539922396E-2</v>
      </c>
      <c r="H48" s="167" t="s">
        <v>81</v>
      </c>
      <c r="I48" s="169" t="e">
        <f>VLOOKUP(C48,'Справочник отрасли'!$J$6:$K$34,2,0)</f>
        <v>#N/A</v>
      </c>
      <c r="J48" s="169">
        <f>VLOOKUP(A48,'Эшелоны результат'!$A$3:$H$283,8,FALSE)</f>
        <v>2</v>
      </c>
      <c r="L48" s="140" t="s">
        <v>149</v>
      </c>
      <c r="M48" s="173">
        <f t="shared" si="7"/>
        <v>5973997897.79</v>
      </c>
      <c r="N48" s="174">
        <f t="shared" si="8"/>
        <v>7.5643522723132087E-2</v>
      </c>
    </row>
    <row r="49" spans="1:14" x14ac:dyDescent="0.2">
      <c r="A49" s="164" t="s">
        <v>572</v>
      </c>
      <c r="B49" s="165" t="s">
        <v>493</v>
      </c>
      <c r="C49" s="165" t="s">
        <v>507</v>
      </c>
      <c r="D49" s="166">
        <v>145216430.28999999</v>
      </c>
      <c r="E49" s="165" t="s">
        <v>104</v>
      </c>
      <c r="F49" s="170" t="str">
        <f>VLOOKUP(E49,'Справочник отрасли'!$A:$D,4,0)</f>
        <v>Топливная промышленность</v>
      </c>
      <c r="G49" s="168">
        <f t="shared" si="6"/>
        <v>1.8387489470790368E-3</v>
      </c>
      <c r="H49" s="167" t="s">
        <v>75</v>
      </c>
      <c r="I49" s="169" t="e">
        <f>VLOOKUP(C49,'Справочник отрасли'!$J$6:$K$34,2,0)</f>
        <v>#N/A</v>
      </c>
      <c r="J49" s="169">
        <f>VLOOKUP(A49,'Эшелоны результат'!$A$3:$H$283,8,FALSE)</f>
        <v>1</v>
      </c>
      <c r="L49" s="140" t="s">
        <v>150</v>
      </c>
      <c r="M49" s="173">
        <f t="shared" si="7"/>
        <v>4780781800.5699997</v>
      </c>
      <c r="N49" s="174">
        <f t="shared" si="8"/>
        <v>6.0534868433672395E-2</v>
      </c>
    </row>
    <row r="50" spans="1:14" x14ac:dyDescent="0.2">
      <c r="A50" s="164" t="s">
        <v>573</v>
      </c>
      <c r="B50" s="165" t="s">
        <v>493</v>
      </c>
      <c r="C50" s="165" t="s">
        <v>508</v>
      </c>
      <c r="D50" s="166">
        <v>226106559.03999999</v>
      </c>
      <c r="E50" s="165" t="s">
        <v>100</v>
      </c>
      <c r="F50" s="170" t="str">
        <f>VLOOKUP(E50,'Справочник отрасли'!$A:$D,4,0)</f>
        <v>Горнодобывающая промышленность</v>
      </c>
      <c r="G50" s="168">
        <f t="shared" si="6"/>
        <v>2.8629900661529617E-3</v>
      </c>
      <c r="H50" s="167" t="s">
        <v>75</v>
      </c>
      <c r="I50" s="169" t="e">
        <f>VLOOKUP(C50,'Справочник отрасли'!$J$6:$K$34,2,0)</f>
        <v>#N/A</v>
      </c>
      <c r="J50" s="169">
        <f>VLOOKUP(A50,'Эшелоны результат'!$A$3:$H$283,8,FALSE)</f>
        <v>1</v>
      </c>
      <c r="L50" s="140" t="s">
        <v>151</v>
      </c>
      <c r="M50" s="173">
        <f t="shared" si="7"/>
        <v>8023415321.1800003</v>
      </c>
      <c r="N50" s="174">
        <f t="shared" si="8"/>
        <v>0.10159350732100644</v>
      </c>
    </row>
    <row r="51" spans="1:14" x14ac:dyDescent="0.2">
      <c r="A51" s="164" t="s">
        <v>574</v>
      </c>
      <c r="B51" s="165" t="s">
        <v>493</v>
      </c>
      <c r="C51" s="165" t="s">
        <v>509</v>
      </c>
      <c r="D51" s="166">
        <v>5973997897.79</v>
      </c>
      <c r="E51" s="165" t="s">
        <v>149</v>
      </c>
      <c r="F51" s="170" t="str">
        <f>VLOOKUP(E51,'Справочник отрасли'!$A:$D,4,0)</f>
        <v>Банк</v>
      </c>
      <c r="G51" s="168">
        <f t="shared" si="6"/>
        <v>7.5643522723132087E-2</v>
      </c>
      <c r="H51" s="167" t="s">
        <v>77</v>
      </c>
      <c r="I51" s="169" t="e">
        <f>VLOOKUP(C51,'Справочник отрасли'!$J$6:$K$34,2,0)</f>
        <v>#N/A</v>
      </c>
      <c r="J51" s="169">
        <f>VLOOKUP(A51,'Эшелоны результат'!$A$3:$H$283,8,FALSE)</f>
        <v>1</v>
      </c>
      <c r="L51" s="140" t="s">
        <v>138</v>
      </c>
      <c r="M51" s="173">
        <f t="shared" si="7"/>
        <v>3177041000.5200005</v>
      </c>
      <c r="N51" s="174">
        <f t="shared" si="8"/>
        <v>4.0228098038678765E-2</v>
      </c>
    </row>
    <row r="52" spans="1:14" x14ac:dyDescent="0.2">
      <c r="A52" s="164" t="s">
        <v>575</v>
      </c>
      <c r="B52" s="165" t="s">
        <v>493</v>
      </c>
      <c r="C52" s="165" t="s">
        <v>510</v>
      </c>
      <c r="D52" s="166">
        <v>4780781800.5699997</v>
      </c>
      <c r="E52" s="165" t="s">
        <v>150</v>
      </c>
      <c r="F52" s="170" t="str">
        <f>VLOOKUP(E52,'Справочник отрасли'!$A:$D,4,0)</f>
        <v>Топливная промышленность</v>
      </c>
      <c r="G52" s="168">
        <f t="shared" si="6"/>
        <v>6.0534868433672395E-2</v>
      </c>
      <c r="H52" s="167" t="s">
        <v>75</v>
      </c>
      <c r="I52" s="169" t="e">
        <f>VLOOKUP(C52,'Справочник отрасли'!$J$6:$K$34,2,0)</f>
        <v>#N/A</v>
      </c>
      <c r="J52" s="169">
        <f>VLOOKUP(A52,'Эшелоны результат'!$A$3:$H$283,8,FALSE)</f>
        <v>1</v>
      </c>
      <c r="L52" s="140" t="s">
        <v>134</v>
      </c>
      <c r="M52" s="173">
        <f t="shared" si="7"/>
        <v>983234691.60000002</v>
      </c>
      <c r="N52" s="174">
        <f t="shared" si="8"/>
        <v>1.2449842970940872E-2</v>
      </c>
    </row>
    <row r="53" spans="1:14" x14ac:dyDescent="0.2">
      <c r="A53" s="164" t="s">
        <v>576</v>
      </c>
      <c r="B53" s="165" t="s">
        <v>493</v>
      </c>
      <c r="C53" s="165" t="s">
        <v>511</v>
      </c>
      <c r="D53" s="166">
        <v>185256934.81999999</v>
      </c>
      <c r="E53" s="165" t="s">
        <v>137</v>
      </c>
      <c r="F53" s="170" t="str">
        <f>VLOOKUP(E53,'Справочник отрасли'!$A:$D,4,0)</f>
        <v>Банк</v>
      </c>
      <c r="G53" s="168">
        <f t="shared" si="6"/>
        <v>2.3457469183004852E-3</v>
      </c>
      <c r="H53" s="167" t="s">
        <v>81</v>
      </c>
      <c r="I53" s="169" t="e">
        <f>VLOOKUP(C53,'Справочник отрасли'!$J$6:$K$34,2,0)</f>
        <v>#N/A</v>
      </c>
      <c r="J53" s="169">
        <f>VLOOKUP(A53,'Эшелоны результат'!$A$3:$H$283,8,FALSE)</f>
        <v>2</v>
      </c>
      <c r="L53" s="140" t="s">
        <v>155</v>
      </c>
      <c r="M53" s="173">
        <f t="shared" si="7"/>
        <v>86146130.539999992</v>
      </c>
      <c r="N53" s="174">
        <f t="shared" si="8"/>
        <v>1.0907932835769905E-3</v>
      </c>
    </row>
    <row r="54" spans="1:14" x14ac:dyDescent="0.2">
      <c r="A54" s="164" t="s">
        <v>577</v>
      </c>
      <c r="B54" s="165" t="s">
        <v>493</v>
      </c>
      <c r="C54" s="165" t="s">
        <v>512</v>
      </c>
      <c r="D54" s="166">
        <v>8023415321.1800003</v>
      </c>
      <c r="E54" s="165" t="s">
        <v>151</v>
      </c>
      <c r="F54" s="170" t="str">
        <f>VLOOKUP(E54,'Справочник отрасли'!$A:$D,4,0)</f>
        <v>Топливная промышленность</v>
      </c>
      <c r="G54" s="168">
        <f t="shared" si="6"/>
        <v>0.10159350732100644</v>
      </c>
      <c r="H54" s="167" t="s">
        <v>77</v>
      </c>
      <c r="I54" s="169" t="e">
        <f>VLOOKUP(C54,'Справочник отрасли'!$J$6:$K$34,2,0)</f>
        <v>#N/A</v>
      </c>
      <c r="J54" s="169">
        <f>VLOOKUP(A54,'Эшелоны результат'!$A$3:$H$283,8,FALSE)</f>
        <v>1</v>
      </c>
      <c r="L54" s="140" t="s">
        <v>197</v>
      </c>
      <c r="M54" s="173">
        <f t="shared" si="7"/>
        <v>13170837.149999999</v>
      </c>
      <c r="N54" s="174">
        <f t="shared" si="8"/>
        <v>1.6677081851790754E-4</v>
      </c>
    </row>
    <row r="55" spans="1:14" x14ac:dyDescent="0.2">
      <c r="A55" s="164" t="s">
        <v>578</v>
      </c>
      <c r="B55" s="165" t="s">
        <v>493</v>
      </c>
      <c r="C55" s="165" t="s">
        <v>513</v>
      </c>
      <c r="D55" s="166">
        <v>675280314.13</v>
      </c>
      <c r="E55" s="165" t="s">
        <v>135</v>
      </c>
      <c r="F55" s="170" t="str">
        <f>VLOOKUP(E55,'Справочник отрасли'!$A:$D,4,0)</f>
        <v>Горнодобывающая промышленность</v>
      </c>
      <c r="G55" s="168">
        <f t="shared" si="6"/>
        <v>8.5504853969354429E-3</v>
      </c>
      <c r="H55" s="167" t="s">
        <v>77</v>
      </c>
      <c r="I55" s="169" t="e">
        <f>VLOOKUP(C55,'Справочник отрасли'!$J$6:$K$34,2,0)</f>
        <v>#N/A</v>
      </c>
      <c r="J55" s="169">
        <f>VLOOKUP(A55,'Эшелоны результат'!$A$3:$H$283,8,FALSE)</f>
        <v>1</v>
      </c>
      <c r="L55" s="140" t="s">
        <v>157</v>
      </c>
      <c r="M55" s="173">
        <f t="shared" si="7"/>
        <v>2040205681.5899997</v>
      </c>
      <c r="N55" s="174">
        <f t="shared" si="8"/>
        <v>2.5833344349235211E-2</v>
      </c>
    </row>
    <row r="56" spans="1:14" x14ac:dyDescent="0.2">
      <c r="A56" s="164" t="s">
        <v>579</v>
      </c>
      <c r="B56" s="165" t="s">
        <v>493</v>
      </c>
      <c r="C56" s="165" t="s">
        <v>514</v>
      </c>
      <c r="D56" s="166">
        <v>513153541.26999998</v>
      </c>
      <c r="E56" s="165" t="s">
        <v>100</v>
      </c>
      <c r="F56" s="170" t="str">
        <f>VLOOKUP(E56,'Справочник отрасли'!$A:$D,4,0)</f>
        <v>Горнодобывающая промышленность</v>
      </c>
      <c r="G56" s="168">
        <f t="shared" si="6"/>
        <v>6.4976155371384839E-3</v>
      </c>
      <c r="H56" s="167" t="s">
        <v>75</v>
      </c>
      <c r="I56" s="169" t="e">
        <f>VLOOKUP(C56,'Справочник отрасли'!$J$6:$K$34,2,0)</f>
        <v>#N/A</v>
      </c>
      <c r="J56" s="169">
        <f>VLOOKUP(A56,'Эшелоны результат'!$A$3:$H$283,8,FALSE)</f>
        <v>1</v>
      </c>
      <c r="L56" s="140" t="s">
        <v>198</v>
      </c>
      <c r="M56" s="173">
        <f t="shared" si="7"/>
        <v>224446260</v>
      </c>
      <c r="N56" s="174">
        <f t="shared" si="8"/>
        <v>2.8419671481157969E-3</v>
      </c>
    </row>
    <row r="57" spans="1:14" x14ac:dyDescent="0.2">
      <c r="A57" s="164" t="s">
        <v>580</v>
      </c>
      <c r="B57" s="165" t="s">
        <v>493</v>
      </c>
      <c r="C57" s="165" t="s">
        <v>515</v>
      </c>
      <c r="D57" s="166">
        <v>788015507.60000002</v>
      </c>
      <c r="E57" s="165" t="s">
        <v>153</v>
      </c>
      <c r="F57" s="170" t="str">
        <f>VLOOKUP(E57,'Справочник отрасли'!$A:$D,4,0)</f>
        <v>Банк</v>
      </c>
      <c r="G57" s="168">
        <f t="shared" si="6"/>
        <v>9.9779527839091373E-3</v>
      </c>
      <c r="H57" s="167" t="s">
        <v>77</v>
      </c>
      <c r="I57" s="169" t="e">
        <f>VLOOKUP(C57,'Справочник отрасли'!$J$6:$K$34,2,0)</f>
        <v>#N/A</v>
      </c>
      <c r="J57" s="169">
        <f>VLOOKUP(A57,'Эшелоны результат'!$A$3:$H$283,8,FALSE)</f>
        <v>1</v>
      </c>
      <c r="L57" s="140" t="s">
        <v>160</v>
      </c>
      <c r="M57" s="173">
        <f t="shared" si="7"/>
        <v>2102521755.9199998</v>
      </c>
      <c r="N57" s="174">
        <f t="shared" si="8"/>
        <v>2.6622398424118895E-2</v>
      </c>
    </row>
    <row r="58" spans="1:14" x14ac:dyDescent="0.2">
      <c r="A58" s="164" t="s">
        <v>581</v>
      </c>
      <c r="B58" s="165" t="s">
        <v>493</v>
      </c>
      <c r="C58" s="165" t="s">
        <v>516</v>
      </c>
      <c r="D58" s="166">
        <v>417975578.66999996</v>
      </c>
      <c r="E58" s="165" t="s">
        <v>337</v>
      </c>
      <c r="F58" s="170" t="str">
        <f>VLOOKUP(E58,'Справочник отрасли'!$A:$D,4,0)</f>
        <v>Страны</v>
      </c>
      <c r="G58" s="168">
        <f t="shared" ref="G58:G90" si="9">D58/$B$19</f>
        <v>5.2924600449783827E-3</v>
      </c>
      <c r="H58" s="167" t="s">
        <v>87</v>
      </c>
      <c r="I58" s="169" t="e">
        <f>VLOOKUP(C58,'Справочник отрасли'!$J$6:$K$34,2,0)</f>
        <v>#N/A</v>
      </c>
      <c r="J58" s="169">
        <f>VLOOKUP(A58,'Эшелоны результат'!$A$3:$H$283,8,FALSE)</f>
        <v>2</v>
      </c>
      <c r="L58" s="140" t="s">
        <v>199</v>
      </c>
      <c r="M58" s="173">
        <f t="shared" ref="M58:M76" si="10">SUMIF($E$26:$E$422,L58,$D$26:$D$422)</f>
        <v>317671019.63999999</v>
      </c>
      <c r="N58" s="174">
        <f t="shared" ref="N58:N76" si="11">M58/$M$77</f>
        <v>4.0223909354752804E-3</v>
      </c>
    </row>
    <row r="59" spans="1:14" x14ac:dyDescent="0.2">
      <c r="A59" s="164" t="s">
        <v>582</v>
      </c>
      <c r="B59" s="165" t="s">
        <v>493</v>
      </c>
      <c r="C59" s="165" t="s">
        <v>517</v>
      </c>
      <c r="D59" s="166">
        <v>637640375.80999994</v>
      </c>
      <c r="E59" s="165" t="s">
        <v>104</v>
      </c>
      <c r="F59" s="170" t="str">
        <f>VLOOKUP(E59,'Справочник отрасли'!$A:$D,4,0)</f>
        <v>Топливная промышленность</v>
      </c>
      <c r="G59" s="168">
        <f t="shared" si="9"/>
        <v>8.0738837009992088E-3</v>
      </c>
      <c r="H59" s="167" t="s">
        <v>79</v>
      </c>
      <c r="I59" s="169" t="e">
        <f>VLOOKUP(C59,'Справочник отрасли'!$J$6:$K$34,2,0)</f>
        <v>#N/A</v>
      </c>
      <c r="J59" s="169">
        <f>VLOOKUP(A59,'Эшелоны результат'!$A$3:$H$283,8,FALSE)</f>
        <v>1</v>
      </c>
      <c r="L59" s="140" t="s">
        <v>200</v>
      </c>
      <c r="M59" s="173">
        <f t="shared" si="10"/>
        <v>713388666.80000007</v>
      </c>
      <c r="N59" s="174">
        <f t="shared" si="11"/>
        <v>9.0330182150672803E-3</v>
      </c>
    </row>
    <row r="60" spans="1:14" x14ac:dyDescent="0.2">
      <c r="A60" s="164" t="s">
        <v>583</v>
      </c>
      <c r="B60" s="165" t="s">
        <v>493</v>
      </c>
      <c r="C60" s="165" t="s">
        <v>518</v>
      </c>
      <c r="D60" s="166">
        <v>2055715919.1500001</v>
      </c>
      <c r="E60" s="165" t="s">
        <v>138</v>
      </c>
      <c r="F60" s="170" t="str">
        <f>VLOOKUP(E60,'Справочник отрасли'!$A:$D,4,0)</f>
        <v>Банк</v>
      </c>
      <c r="G60" s="168">
        <f t="shared" si="9"/>
        <v>2.6029736953883616E-2</v>
      </c>
      <c r="H60" s="167" t="s">
        <v>83</v>
      </c>
      <c r="I60" s="169" t="e">
        <f>VLOOKUP(C60,'Справочник отрасли'!$J$6:$K$34,2,0)</f>
        <v>#N/A</v>
      </c>
      <c r="J60" s="169">
        <f>VLOOKUP(A60,'Эшелоны результат'!$A$3:$H$283,8,FALSE)</f>
        <v>2</v>
      </c>
      <c r="L60" s="140" t="s">
        <v>156</v>
      </c>
      <c r="M60" s="173">
        <f t="shared" si="10"/>
        <v>1540282457.5</v>
      </c>
      <c r="N60" s="174">
        <f t="shared" si="11"/>
        <v>1.9503252774334782E-2</v>
      </c>
    </row>
    <row r="61" spans="1:14" x14ac:dyDescent="0.2">
      <c r="A61" s="164" t="s">
        <v>584</v>
      </c>
      <c r="B61" s="165" t="s">
        <v>493</v>
      </c>
      <c r="C61" s="165" t="s">
        <v>519</v>
      </c>
      <c r="D61" s="166">
        <v>1121325081.3700004</v>
      </c>
      <c r="E61" s="165" t="s">
        <v>138</v>
      </c>
      <c r="F61" s="170" t="str">
        <f>VLOOKUP(E61,'Справочник отрасли'!$A:$D,4,0)</f>
        <v>Банк</v>
      </c>
      <c r="G61" s="168">
        <f t="shared" si="9"/>
        <v>1.4198361084795148E-2</v>
      </c>
      <c r="H61" s="167" t="s">
        <v>83</v>
      </c>
      <c r="I61" s="169" t="e">
        <f>VLOOKUP(C61,'Справочник отрасли'!$J$6:$K$34,2,0)</f>
        <v>#N/A</v>
      </c>
      <c r="J61" s="169">
        <f>VLOOKUP(A61,'Эшелоны результат'!$A$3:$H$283,8,FALSE)</f>
        <v>2</v>
      </c>
      <c r="L61" s="140" t="s">
        <v>161</v>
      </c>
      <c r="M61" s="173">
        <f t="shared" si="10"/>
        <v>204786673.76000002</v>
      </c>
      <c r="N61" s="174">
        <f t="shared" si="11"/>
        <v>2.5930349616778083E-3</v>
      </c>
    </row>
    <row r="62" spans="1:14" x14ac:dyDescent="0.2">
      <c r="A62" s="164" t="s">
        <v>585</v>
      </c>
      <c r="B62" s="165" t="s">
        <v>493</v>
      </c>
      <c r="C62" s="165" t="s">
        <v>520</v>
      </c>
      <c r="D62" s="166">
        <v>983234691.60000002</v>
      </c>
      <c r="E62" s="165" t="s">
        <v>134</v>
      </c>
      <c r="F62" s="170" t="str">
        <f>VLOOKUP(E62,'Справочник отрасли'!$A:$D,4,0)</f>
        <v>Цветная и черная металлургия</v>
      </c>
      <c r="G62" s="168">
        <f t="shared" si="9"/>
        <v>1.2449842970940872E-2</v>
      </c>
      <c r="H62" s="167" t="s">
        <v>79</v>
      </c>
      <c r="I62" s="169" t="e">
        <f>VLOOKUP(C62,'Справочник отрасли'!$J$6:$K$34,2,0)</f>
        <v>#N/A</v>
      </c>
      <c r="J62" s="169">
        <f>VLOOKUP(A62,'Эшелоны результат'!$A$3:$H$283,8,FALSE)</f>
        <v>1</v>
      </c>
      <c r="L62" s="140" t="s">
        <v>343</v>
      </c>
      <c r="M62" s="173">
        <f t="shared" si="10"/>
        <v>44793450</v>
      </c>
      <c r="N62" s="174">
        <f t="shared" si="11"/>
        <v>5.6718037248991156E-4</v>
      </c>
    </row>
    <row r="63" spans="1:14" x14ac:dyDescent="0.2">
      <c r="A63" s="164" t="s">
        <v>587</v>
      </c>
      <c r="B63" s="165" t="s">
        <v>494</v>
      </c>
      <c r="C63" s="165" t="s">
        <v>522</v>
      </c>
      <c r="D63" s="166">
        <v>857522.71</v>
      </c>
      <c r="E63" s="165" t="s">
        <v>155</v>
      </c>
      <c r="F63" s="170" t="str">
        <f>VLOOKUP(E63,'Справочник отрасли'!$A:$D,4,0)</f>
        <v>Банк</v>
      </c>
      <c r="G63" s="168">
        <f t="shared" si="9"/>
        <v>1.0858061838870603E-5</v>
      </c>
      <c r="H63" s="167" t="s">
        <v>77</v>
      </c>
      <c r="I63" s="169" t="e">
        <f>VLOOKUP(C63,'Справочник отрасли'!$J$6:$K$34,2,0)</f>
        <v>#N/A</v>
      </c>
      <c r="J63" s="169">
        <v>4</v>
      </c>
      <c r="L63" s="140" t="s">
        <v>448</v>
      </c>
      <c r="M63" s="173">
        <f t="shared" si="10"/>
        <v>78559200</v>
      </c>
      <c r="N63" s="174">
        <f t="shared" si="11"/>
        <v>9.9472660218200351E-4</v>
      </c>
    </row>
    <row r="64" spans="1:14" x14ac:dyDescent="0.2">
      <c r="A64" s="164" t="s">
        <v>636</v>
      </c>
      <c r="B64" s="165" t="s">
        <v>494</v>
      </c>
      <c r="C64" s="165" t="s">
        <v>659</v>
      </c>
      <c r="D64" s="166">
        <v>13170837.149999999</v>
      </c>
      <c r="E64" s="165" t="s">
        <v>197</v>
      </c>
      <c r="F64" s="170" t="str">
        <f>VLOOKUP(E64,'Справочник отрасли'!$A:$D,4,0)</f>
        <v>Инвестиционная деятельность</v>
      </c>
      <c r="G64" s="168">
        <f t="shared" si="9"/>
        <v>1.6677081851790754E-4</v>
      </c>
      <c r="H64" s="167" t="s">
        <v>116</v>
      </c>
      <c r="I64" s="169" t="e">
        <f>VLOOKUP(C64,'Справочник отрасли'!$J$6:$K$34,2,0)</f>
        <v>#N/A</v>
      </c>
      <c r="J64" s="169">
        <v>4</v>
      </c>
      <c r="L64" s="140" t="s">
        <v>7</v>
      </c>
      <c r="M64" s="173">
        <f t="shared" si="10"/>
        <v>966279500.63999999</v>
      </c>
      <c r="N64" s="174">
        <f t="shared" si="11"/>
        <v>1.2235154182193177E-2</v>
      </c>
    </row>
    <row r="65" spans="1:14" x14ac:dyDescent="0.2">
      <c r="A65" s="164" t="s">
        <v>588</v>
      </c>
      <c r="B65" s="165" t="s">
        <v>494</v>
      </c>
      <c r="C65" s="165" t="s">
        <v>523</v>
      </c>
      <c r="D65" s="166">
        <v>35490019.68</v>
      </c>
      <c r="E65" s="165" t="s">
        <v>145</v>
      </c>
      <c r="F65" s="170" t="str">
        <f>VLOOKUP(E65,'Справочник отрасли'!$A:$D,4,0)</f>
        <v>Банк</v>
      </c>
      <c r="G65" s="168">
        <f t="shared" si="9"/>
        <v>4.4937915212551598E-4</v>
      </c>
      <c r="H65" s="167" t="s">
        <v>79</v>
      </c>
      <c r="I65" s="169" t="e">
        <f>VLOOKUP(C65,'Справочник отрасли'!$J$6:$K$34,2,0)</f>
        <v>#N/A</v>
      </c>
      <c r="J65" s="169">
        <f>VLOOKUP(A65,'Эшелоны результат'!$A$3:$H$283,8,FALSE)</f>
        <v>2</v>
      </c>
      <c r="L65" s="140" t="s">
        <v>158</v>
      </c>
      <c r="M65" s="173">
        <f t="shared" si="10"/>
        <v>1542344411.77</v>
      </c>
      <c r="N65" s="174">
        <f t="shared" si="11"/>
        <v>1.9529361502082163E-2</v>
      </c>
    </row>
    <row r="66" spans="1:14" x14ac:dyDescent="0.2">
      <c r="A66" s="164" t="s">
        <v>591</v>
      </c>
      <c r="B66" s="165" t="s">
        <v>494</v>
      </c>
      <c r="C66" s="165" t="s">
        <v>526</v>
      </c>
      <c r="D66" s="166">
        <v>164446142.24999988</v>
      </c>
      <c r="E66" s="165" t="s">
        <v>157</v>
      </c>
      <c r="F66" s="170" t="str">
        <f>VLOOKUP(E66,'Справочник отрасли'!$A:$D,4,0)</f>
        <v>Инвестиционная деятельность</v>
      </c>
      <c r="G66" s="168">
        <f t="shared" si="9"/>
        <v>2.0822380105994052E-3</v>
      </c>
      <c r="H66" s="167" t="s">
        <v>83</v>
      </c>
      <c r="I66" s="169" t="e">
        <f>VLOOKUP(C66,'Справочник отрасли'!$J$6:$K$34,2,0)</f>
        <v>#N/A</v>
      </c>
      <c r="J66" s="169">
        <f>VLOOKUP(A66,'Эшелоны результат'!$A$3:$H$283,8,FALSE)</f>
        <v>2</v>
      </c>
      <c r="L66" s="140" t="s">
        <v>559</v>
      </c>
      <c r="M66" s="173">
        <f t="shared" si="10"/>
        <v>4881665260.0699997</v>
      </c>
      <c r="N66" s="174">
        <f t="shared" si="11"/>
        <v>6.1812267654703171E-2</v>
      </c>
    </row>
    <row r="67" spans="1:14" x14ac:dyDescent="0.2">
      <c r="A67" s="164" t="s">
        <v>594</v>
      </c>
      <c r="B67" s="165" t="s">
        <v>494</v>
      </c>
      <c r="C67" s="165" t="s">
        <v>529</v>
      </c>
      <c r="D67" s="166">
        <v>53907875.839999989</v>
      </c>
      <c r="E67" s="165" t="s">
        <v>157</v>
      </c>
      <c r="F67" s="170" t="str">
        <f>VLOOKUP(E67,'Справочник отрасли'!$A:$D,4,0)</f>
        <v>Инвестиционная деятельность</v>
      </c>
      <c r="G67" s="168">
        <f t="shared" si="9"/>
        <v>6.8258839404134082E-4</v>
      </c>
      <c r="H67" s="167" t="s">
        <v>83</v>
      </c>
      <c r="I67" s="169" t="e">
        <f>VLOOKUP(C67,'Справочник отрасли'!$J$6:$K$34,2,0)</f>
        <v>#N/A</v>
      </c>
      <c r="J67" s="169">
        <f>VLOOKUP(A67,'Эшелоны результат'!$A$3:$H$283,8,FALSE)</f>
        <v>2</v>
      </c>
      <c r="L67" s="140" t="s">
        <v>159</v>
      </c>
      <c r="M67" s="173">
        <f t="shared" si="10"/>
        <v>503895057.08000004</v>
      </c>
      <c r="N67" s="174">
        <f t="shared" si="11"/>
        <v>6.3803834304001971E-3</v>
      </c>
    </row>
    <row r="68" spans="1:14" x14ac:dyDescent="0.2">
      <c r="A68" s="164" t="s">
        <v>637</v>
      </c>
      <c r="B68" s="165" t="s">
        <v>494</v>
      </c>
      <c r="C68" s="165" t="s">
        <v>660</v>
      </c>
      <c r="D68" s="166">
        <v>224446260</v>
      </c>
      <c r="E68" s="165" t="s">
        <v>198</v>
      </c>
      <c r="F68" s="170" t="str">
        <f>VLOOKUP(E68,'Справочник отрасли'!$A:$D,4,0)</f>
        <v>Банк</v>
      </c>
      <c r="G68" s="168">
        <f t="shared" si="9"/>
        <v>2.8419671481157969E-3</v>
      </c>
      <c r="H68" s="167" t="s">
        <v>83</v>
      </c>
      <c r="I68" s="169" t="e">
        <f>VLOOKUP(C68,'Справочник отрасли'!$J$6:$K$34,2,0)</f>
        <v>#N/A</v>
      </c>
      <c r="J68" s="169">
        <v>4</v>
      </c>
      <c r="L68" s="140" t="s">
        <v>341</v>
      </c>
      <c r="M68" s="173">
        <f t="shared" si="10"/>
        <v>626963670.63999999</v>
      </c>
      <c r="N68" s="174">
        <f t="shared" si="11"/>
        <v>7.9386938994705121E-3</v>
      </c>
    </row>
    <row r="69" spans="1:14" x14ac:dyDescent="0.2">
      <c r="A69" s="164" t="s">
        <v>601</v>
      </c>
      <c r="B69" s="165" t="s">
        <v>494</v>
      </c>
      <c r="C69" s="165" t="s">
        <v>536</v>
      </c>
      <c r="D69" s="166">
        <v>6240061.3000000007</v>
      </c>
      <c r="E69" s="165" t="s">
        <v>160</v>
      </c>
      <c r="F69" s="170" t="str">
        <f>VLOOKUP(E69,'Справочник отрасли'!$A:$D,4,0)</f>
        <v>Инвестиционная деятельность</v>
      </c>
      <c r="G69" s="168">
        <f t="shared" si="9"/>
        <v>7.9012451429704173E-5</v>
      </c>
      <c r="H69" s="167" t="s">
        <v>79</v>
      </c>
      <c r="I69" s="169" t="e">
        <f>VLOOKUP(C69,'Справочник отрасли'!$J$6:$K$34,2,0)</f>
        <v>#N/A</v>
      </c>
      <c r="J69" s="169">
        <v>4</v>
      </c>
      <c r="L69" s="140" t="s">
        <v>148</v>
      </c>
      <c r="M69" s="173">
        <f t="shared" si="10"/>
        <v>1456378446.98</v>
      </c>
      <c r="N69" s="174">
        <f t="shared" si="11"/>
        <v>1.8440849500192449E-2</v>
      </c>
    </row>
    <row r="70" spans="1:14" x14ac:dyDescent="0.2">
      <c r="A70" s="164" t="s">
        <v>638</v>
      </c>
      <c r="B70" s="165" t="s">
        <v>494</v>
      </c>
      <c r="C70" s="165" t="s">
        <v>661</v>
      </c>
      <c r="D70" s="166">
        <v>8720216.1899999995</v>
      </c>
      <c r="E70" s="165" t="s">
        <v>199</v>
      </c>
      <c r="F70" s="170" t="str">
        <f>VLOOKUP(E70,'Справочник отрасли'!$A:$D,4,0)</f>
        <v>Банк</v>
      </c>
      <c r="G70" s="168">
        <f t="shared" si="9"/>
        <v>1.1041648872406027E-4</v>
      </c>
      <c r="H70" s="167" t="s">
        <v>77</v>
      </c>
      <c r="I70" s="169" t="e">
        <f>VLOOKUP(C70,'Справочник отрасли'!$J$6:$K$34,2,0)</f>
        <v>#N/A</v>
      </c>
      <c r="J70" s="169">
        <f>VLOOKUP(A70,'Эшелоны результат'!$A$3:$H$283,8,FALSE)</f>
        <v>2</v>
      </c>
      <c r="L70" s="140" t="s">
        <v>162</v>
      </c>
      <c r="M70" s="173">
        <f t="shared" si="10"/>
        <v>1046647445.45</v>
      </c>
      <c r="N70" s="174">
        <f t="shared" si="11"/>
        <v>1.3252783341670389E-2</v>
      </c>
    </row>
    <row r="71" spans="1:14" x14ac:dyDescent="0.2">
      <c r="A71" s="164" t="s">
        <v>639</v>
      </c>
      <c r="B71" s="165" t="s">
        <v>494</v>
      </c>
      <c r="C71" s="165" t="s">
        <v>662</v>
      </c>
      <c r="D71" s="166">
        <v>308950803.44999999</v>
      </c>
      <c r="E71" s="165" t="s">
        <v>199</v>
      </c>
      <c r="F71" s="170" t="str">
        <f>VLOOKUP(E71,'Справочник отрасли'!$A:$D,4,0)</f>
        <v>Банк</v>
      </c>
      <c r="G71" s="168">
        <f t="shared" si="9"/>
        <v>3.9119744467512206E-3</v>
      </c>
      <c r="H71" s="167" t="s">
        <v>77</v>
      </c>
      <c r="I71" s="169" t="e">
        <f>VLOOKUP(C71,'Справочник отрасли'!$J$6:$K$34,2,0)</f>
        <v>#N/A</v>
      </c>
      <c r="J71" s="169">
        <f>VLOOKUP(A71,'Эшелоны результат'!$A$3:$H$283,8,FALSE)</f>
        <v>2</v>
      </c>
      <c r="L71" s="140" t="s">
        <v>231</v>
      </c>
      <c r="M71" s="173">
        <f t="shared" si="10"/>
        <v>528536151.86000001</v>
      </c>
      <c r="N71" s="174">
        <f t="shared" si="11"/>
        <v>6.6923921128276406E-3</v>
      </c>
    </row>
    <row r="72" spans="1:14" x14ac:dyDescent="0.2">
      <c r="A72" s="164" t="s">
        <v>640</v>
      </c>
      <c r="B72" s="165" t="s">
        <v>494</v>
      </c>
      <c r="C72" s="165" t="s">
        <v>663</v>
      </c>
      <c r="D72" s="166">
        <v>544680465.84000003</v>
      </c>
      <c r="E72" s="165" t="s">
        <v>200</v>
      </c>
      <c r="F72" s="170" t="str">
        <f>VLOOKUP(E72,'Справочник отрасли'!$A:$D,4,0)</f>
        <v>Топливная промышленность</v>
      </c>
      <c r="G72" s="168">
        <f t="shared" si="9"/>
        <v>6.8968134739143738E-3</v>
      </c>
      <c r="H72" s="167" t="s">
        <v>77</v>
      </c>
      <c r="I72" s="169" t="e">
        <f>VLOOKUP(C72,'Справочник отрасли'!$J$6:$K$34,2,0)</f>
        <v>#N/A</v>
      </c>
      <c r="J72" s="169">
        <f>VLOOKUP(A72,'Эшелоны результат'!$A$3:$H$283,8,FALSE)</f>
        <v>1</v>
      </c>
      <c r="L72" s="140" t="s">
        <v>465</v>
      </c>
      <c r="M72" s="173">
        <f t="shared" si="10"/>
        <v>318983659.14999998</v>
      </c>
      <c r="N72" s="174">
        <f t="shared" si="11"/>
        <v>4.0390117442369805E-3</v>
      </c>
    </row>
    <row r="73" spans="1:14" x14ac:dyDescent="0.2">
      <c r="A73" s="164" t="s">
        <v>641</v>
      </c>
      <c r="B73" s="165" t="s">
        <v>494</v>
      </c>
      <c r="C73" s="165" t="s">
        <v>664</v>
      </c>
      <c r="D73" s="166">
        <v>157118200.96000001</v>
      </c>
      <c r="E73" s="165" t="s">
        <v>200</v>
      </c>
      <c r="F73" s="170" t="str">
        <f>VLOOKUP(E73,'Справочник отрасли'!$A:$D,4,0)</f>
        <v>Топливная промышленность</v>
      </c>
      <c r="G73" s="168">
        <f t="shared" si="9"/>
        <v>1.9894506840941609E-3</v>
      </c>
      <c r="H73" s="167" t="s">
        <v>77</v>
      </c>
      <c r="I73" s="169" t="e">
        <f>VLOOKUP(C73,'Справочник отрасли'!$J$6:$K$34,2,0)</f>
        <v>#N/A</v>
      </c>
      <c r="J73" s="169">
        <f>VLOOKUP(A73,'Эшелоны результат'!$A$3:$H$283,8,FALSE)</f>
        <v>1</v>
      </c>
      <c r="L73" s="140" t="s">
        <v>479</v>
      </c>
      <c r="M73" s="173">
        <f t="shared" si="10"/>
        <v>506350270</v>
      </c>
      <c r="N73" s="174">
        <f t="shared" si="11"/>
        <v>6.4114716492917447E-3</v>
      </c>
    </row>
    <row r="74" spans="1:14" x14ac:dyDescent="0.2">
      <c r="A74" s="164" t="s">
        <v>606</v>
      </c>
      <c r="B74" s="165" t="s">
        <v>494</v>
      </c>
      <c r="C74" s="165" t="s">
        <v>541</v>
      </c>
      <c r="D74" s="166">
        <v>180825832.5</v>
      </c>
      <c r="E74" s="165" t="s">
        <v>156</v>
      </c>
      <c r="F74" s="170" t="str">
        <f>VLOOKUP(E74,'Справочник отрасли'!$A:$D,4,0)</f>
        <v>Банк</v>
      </c>
      <c r="G74" s="168">
        <f t="shared" si="9"/>
        <v>2.2896397360138228E-3</v>
      </c>
      <c r="H74" s="167" t="s">
        <v>71</v>
      </c>
      <c r="I74" s="169" t="e">
        <f>VLOOKUP(C74,'Справочник отрасли'!$J$6:$K$34,2,0)</f>
        <v>#N/A</v>
      </c>
      <c r="J74" s="169">
        <f>VLOOKUP(A74,'Эшелоны результат'!$A$3:$H$283,8,FALSE)</f>
        <v>3</v>
      </c>
      <c r="L74" s="140" t="s">
        <v>480</v>
      </c>
      <c r="M74" s="173">
        <f t="shared" si="10"/>
        <v>5056178521.1099997</v>
      </c>
      <c r="N74" s="174">
        <f t="shared" si="11"/>
        <v>6.4021976806400482E-2</v>
      </c>
    </row>
    <row r="75" spans="1:14" x14ac:dyDescent="0.2">
      <c r="A75" s="164" t="s">
        <v>608</v>
      </c>
      <c r="B75" s="165" t="s">
        <v>494</v>
      </c>
      <c r="C75" s="165" t="s">
        <v>543</v>
      </c>
      <c r="D75" s="166">
        <v>35966797.550000004</v>
      </c>
      <c r="E75" s="165" t="s">
        <v>161</v>
      </c>
      <c r="F75" s="170" t="str">
        <f>VLOOKUP(E75,'Справочник отрасли'!$A:$D,4,0)</f>
        <v>Финансовый лизинг</v>
      </c>
      <c r="G75" s="168">
        <f t="shared" si="9"/>
        <v>4.5541617427722676E-4</v>
      </c>
      <c r="H75" s="167" t="s">
        <v>79</v>
      </c>
      <c r="I75" s="169" t="e">
        <f>VLOOKUP(C75,'Справочник отрасли'!$J$6:$K$34,2,0)</f>
        <v>#N/A</v>
      </c>
      <c r="J75" s="169">
        <f>VLOOKUP(A75,'Эшелоны результат'!$A$3:$H$283,8,FALSE)</f>
        <v>1</v>
      </c>
      <c r="L75" s="140" t="s">
        <v>163</v>
      </c>
      <c r="M75" s="173">
        <f t="shared" si="10"/>
        <v>9996401210.3299999</v>
      </c>
      <c r="N75" s="174">
        <f t="shared" si="11"/>
        <v>0.12657570609170699</v>
      </c>
    </row>
    <row r="76" spans="1:14" x14ac:dyDescent="0.2">
      <c r="A76" s="164" t="s">
        <v>642</v>
      </c>
      <c r="B76" s="165" t="s">
        <v>494</v>
      </c>
      <c r="C76" s="165" t="s">
        <v>665</v>
      </c>
      <c r="D76" s="166">
        <v>512082528.72000003</v>
      </c>
      <c r="E76" s="165" t="s">
        <v>157</v>
      </c>
      <c r="F76" s="170" t="str">
        <f>VLOOKUP(E76,'Справочник отрасли'!$A:$D,4,0)</f>
        <v>Инвестиционная деятельность</v>
      </c>
      <c r="G76" s="168">
        <f t="shared" si="9"/>
        <v>6.4840542397378515E-3</v>
      </c>
      <c r="H76" s="167" t="s">
        <v>83</v>
      </c>
      <c r="I76" s="169" t="e">
        <f>VLOOKUP(C76,'Справочник отрасли'!$J$6:$K$34,2,0)</f>
        <v>#N/A</v>
      </c>
      <c r="J76" s="169">
        <f>VLOOKUP(A76,'Эшелоны результат'!$A$3:$H$283,8,FALSE)</f>
        <v>2</v>
      </c>
      <c r="L76" s="140" t="s">
        <v>244</v>
      </c>
      <c r="M76" s="173">
        <f t="shared" si="10"/>
        <v>12798000</v>
      </c>
      <c r="N76" s="174">
        <f t="shared" si="11"/>
        <v>1.6204990700930357E-4</v>
      </c>
    </row>
    <row r="77" spans="1:14" ht="15" x14ac:dyDescent="0.25">
      <c r="A77" s="164" t="s">
        <v>643</v>
      </c>
      <c r="B77" s="165" t="s">
        <v>494</v>
      </c>
      <c r="C77" s="165" t="s">
        <v>666</v>
      </c>
      <c r="D77" s="166">
        <v>56336625</v>
      </c>
      <c r="E77" s="165" t="s">
        <v>156</v>
      </c>
      <c r="F77" s="170" t="str">
        <f>VLOOKUP(E77,'Справочник отрасли'!$A:$D,4,0)</f>
        <v>Банк</v>
      </c>
      <c r="G77" s="168">
        <f t="shared" si="9"/>
        <v>7.1334152543116162E-4</v>
      </c>
      <c r="H77" s="167" t="s">
        <v>71</v>
      </c>
      <c r="I77" s="169" t="e">
        <f>VLOOKUP(C77,'Справочник отрасли'!$J$6:$K$34,2,0)</f>
        <v>#N/A</v>
      </c>
      <c r="J77" s="169">
        <v>4</v>
      </c>
      <c r="L77"/>
      <c r="M77" s="214">
        <f>SUM(M26:M76)</f>
        <v>78975670126.520004</v>
      </c>
      <c r="N77" s="213"/>
    </row>
    <row r="78" spans="1:14" x14ac:dyDescent="0.2">
      <c r="A78" s="164" t="s">
        <v>644</v>
      </c>
      <c r="B78" s="165" t="s">
        <v>494</v>
      </c>
      <c r="C78" s="165" t="s">
        <v>667</v>
      </c>
      <c r="D78" s="166">
        <v>44793450</v>
      </c>
      <c r="E78" s="165" t="s">
        <v>343</v>
      </c>
      <c r="F78" s="170" t="str">
        <f>VLOOKUP(E78,'Справочник отрасли'!$A:$D,4,0)</f>
        <v>Профессиональные услуги, сервис</v>
      </c>
      <c r="G78" s="168">
        <f t="shared" si="9"/>
        <v>5.6718037248991156E-4</v>
      </c>
      <c r="H78" s="167" t="s">
        <v>79</v>
      </c>
      <c r="I78" s="169" t="e">
        <f>VLOOKUP(C78,'Справочник отрасли'!$J$6:$K$34,2,0)</f>
        <v>#N/A</v>
      </c>
      <c r="J78" s="169">
        <f>VLOOKUP(A78,'Эшелоны результат'!$A$3:$H$283,8,FALSE)</f>
        <v>2</v>
      </c>
      <c r="L78" s="148"/>
      <c r="M78" s="215">
        <f>M77-B19</f>
        <v>0</v>
      </c>
      <c r="N78" s="213"/>
    </row>
    <row r="79" spans="1:14" ht="15" x14ac:dyDescent="0.25">
      <c r="A79" s="164" t="s">
        <v>645</v>
      </c>
      <c r="B79" s="165" t="s">
        <v>494</v>
      </c>
      <c r="C79" s="165" t="s">
        <v>668</v>
      </c>
      <c r="D79" s="166">
        <v>78559200</v>
      </c>
      <c r="E79" s="165" t="s">
        <v>448</v>
      </c>
      <c r="F79" s="170" t="str">
        <f>VLOOKUP(E79,'Справочник отрасли'!$A:$D,4,0)</f>
        <v>Банк</v>
      </c>
      <c r="G79" s="168">
        <f t="shared" si="9"/>
        <v>9.9472660218200351E-4</v>
      </c>
      <c r="H79" s="167" t="s">
        <v>83</v>
      </c>
      <c r="I79" s="169" t="e">
        <f>VLOOKUP(C79,'Справочник отрасли'!$J$6:$K$34,2,0)</f>
        <v>#N/A</v>
      </c>
      <c r="J79" s="169">
        <f>VLOOKUP(A79,'Эшелоны результат'!$A$3:$H$283,8,FALSE)</f>
        <v>2</v>
      </c>
      <c r="L79"/>
      <c r="M79" s="213"/>
      <c r="N79" s="213"/>
    </row>
    <row r="80" spans="1:14" ht="15" x14ac:dyDescent="0.25">
      <c r="A80" s="164" t="s">
        <v>646</v>
      </c>
      <c r="B80" s="165" t="s">
        <v>494</v>
      </c>
      <c r="C80" s="165" t="s">
        <v>669</v>
      </c>
      <c r="D80" s="166">
        <v>595127880</v>
      </c>
      <c r="E80" s="165" t="s">
        <v>157</v>
      </c>
      <c r="F80" s="170" t="str">
        <f>VLOOKUP(E80,'Справочник отрасли'!$A:$D,4,0)</f>
        <v>Инвестиционная деятельность</v>
      </c>
      <c r="G80" s="168">
        <f t="shared" si="9"/>
        <v>7.5355850611536152E-3</v>
      </c>
      <c r="H80" s="167" t="s">
        <v>83</v>
      </c>
      <c r="I80" s="169" t="e">
        <f>VLOOKUP(C80,'Справочник отрасли'!$J$6:$K$34,2,0)</f>
        <v>#N/A</v>
      </c>
      <c r="J80" s="169">
        <f>VLOOKUP(A80,'Эшелоны результат'!$A$3:$H$283,8,FALSE)</f>
        <v>2</v>
      </c>
      <c r="L80"/>
      <c r="M80" s="213"/>
      <c r="N80" s="213"/>
    </row>
    <row r="81" spans="1:12" ht="15" x14ac:dyDescent="0.25">
      <c r="A81" s="164" t="s">
        <v>586</v>
      </c>
      <c r="B81" s="165" t="s">
        <v>494</v>
      </c>
      <c r="C81" s="165" t="s">
        <v>521</v>
      </c>
      <c r="D81" s="166">
        <v>220965068.86000001</v>
      </c>
      <c r="E81" s="165" t="s">
        <v>133</v>
      </c>
      <c r="F81" s="170" t="str">
        <f>VLOOKUP(E81,'Справочник отрасли'!$A:$D,4,0)</f>
        <v>Финансовый лизинг</v>
      </c>
      <c r="G81" s="168">
        <f t="shared" si="9"/>
        <v>2.7978878622493641E-3</v>
      </c>
      <c r="H81" s="167" t="s">
        <v>79</v>
      </c>
      <c r="I81" s="169" t="e">
        <f>VLOOKUP(C81,'Справочник отрасли'!$J$6:$K$34,2,0)</f>
        <v>#N/A</v>
      </c>
      <c r="J81" s="169">
        <f>VLOOKUP(A81,'Эшелоны результат'!$A$3:$H$283,8,FALSE)</f>
        <v>1</v>
      </c>
      <c r="L81"/>
    </row>
    <row r="82" spans="1:12" ht="15" x14ac:dyDescent="0.25">
      <c r="A82" s="164" t="s">
        <v>587</v>
      </c>
      <c r="B82" s="165" t="s">
        <v>494</v>
      </c>
      <c r="C82" s="165" t="s">
        <v>522</v>
      </c>
      <c r="D82" s="166">
        <v>85288607.829999998</v>
      </c>
      <c r="E82" s="165" t="s">
        <v>155</v>
      </c>
      <c r="F82" s="170" t="str">
        <f>VLOOKUP(E82,'Справочник отрасли'!$A:$D,4,0)</f>
        <v>Банк</v>
      </c>
      <c r="G82" s="168">
        <f t="shared" si="9"/>
        <v>1.07993522173812E-3</v>
      </c>
      <c r="H82" s="167" t="s">
        <v>77</v>
      </c>
      <c r="I82" s="169" t="e">
        <f>VLOOKUP(C82,'Справочник отрасли'!$J$6:$K$34,2,0)</f>
        <v>#N/A</v>
      </c>
      <c r="J82" s="169">
        <v>4</v>
      </c>
      <c r="L82"/>
    </row>
    <row r="83" spans="1:12" ht="15" x14ac:dyDescent="0.25">
      <c r="A83" s="164" t="s">
        <v>588</v>
      </c>
      <c r="B83" s="165" t="s">
        <v>494</v>
      </c>
      <c r="C83" s="165" t="s">
        <v>523</v>
      </c>
      <c r="D83" s="166">
        <v>51366347.399999999</v>
      </c>
      <c r="E83" s="165" t="s">
        <v>145</v>
      </c>
      <c r="F83" s="170" t="str">
        <f>VLOOKUP(E83,'Справочник отрасли'!$A:$D,4,0)</f>
        <v>Банк</v>
      </c>
      <c r="G83" s="168">
        <f t="shared" si="9"/>
        <v>6.5040723703528537E-4</v>
      </c>
      <c r="H83" s="167" t="s">
        <v>79</v>
      </c>
      <c r="I83" s="169" t="e">
        <f>VLOOKUP(C83,'Справочник отрасли'!$J$6:$K$34,2,0)</f>
        <v>#N/A</v>
      </c>
      <c r="J83" s="169">
        <v>4</v>
      </c>
      <c r="L83"/>
    </row>
    <row r="84" spans="1:12" ht="15" x14ac:dyDescent="0.25">
      <c r="A84" s="164" t="s">
        <v>589</v>
      </c>
      <c r="B84" s="165" t="s">
        <v>494</v>
      </c>
      <c r="C84" s="165" t="s">
        <v>524</v>
      </c>
      <c r="D84" s="166">
        <v>484185114.00999999</v>
      </c>
      <c r="E84" s="165" t="s">
        <v>133</v>
      </c>
      <c r="F84" s="170" t="str">
        <f>VLOOKUP(E84,'Справочник отрасли'!$A:$D,4,0)</f>
        <v>Финансовый лизинг</v>
      </c>
      <c r="G84" s="168">
        <f t="shared" si="9"/>
        <v>6.1308136193631456E-3</v>
      </c>
      <c r="H84" s="167" t="s">
        <v>79</v>
      </c>
      <c r="I84" s="169" t="e">
        <f>VLOOKUP(C84,'Справочник отрасли'!$J$6:$K$34,2,0)</f>
        <v>#N/A</v>
      </c>
      <c r="J84" s="169">
        <f>VLOOKUP(A84,'Эшелоны результат'!$A$3:$H$283,8,FALSE)</f>
        <v>1</v>
      </c>
      <c r="L84"/>
    </row>
    <row r="85" spans="1:12" ht="15" x14ac:dyDescent="0.25">
      <c r="A85" s="164" t="s">
        <v>590</v>
      </c>
      <c r="B85" s="165" t="s">
        <v>494</v>
      </c>
      <c r="C85" s="165" t="s">
        <v>525</v>
      </c>
      <c r="D85" s="166">
        <v>574515972.60000002</v>
      </c>
      <c r="E85" s="165" t="s">
        <v>133</v>
      </c>
      <c r="F85" s="170" t="str">
        <f>VLOOKUP(E85,'Справочник отрасли'!$A:$D,4,0)</f>
        <v>Финансовый лизинг</v>
      </c>
      <c r="G85" s="168">
        <f t="shared" si="9"/>
        <v>7.274594462821503E-3</v>
      </c>
      <c r="H85" s="167" t="s">
        <v>79</v>
      </c>
      <c r="I85" s="169" t="e">
        <f>VLOOKUP(C85,'Справочник отрасли'!$J$6:$K$34,2,0)</f>
        <v>#N/A</v>
      </c>
      <c r="J85" s="169">
        <f>VLOOKUP(A85,'Эшелоны результат'!$A$3:$H$283,8,FALSE)</f>
        <v>1</v>
      </c>
      <c r="L85"/>
    </row>
    <row r="86" spans="1:12" ht="15" x14ac:dyDescent="0.25">
      <c r="A86" s="164" t="s">
        <v>591</v>
      </c>
      <c r="B86" s="165" t="s">
        <v>494</v>
      </c>
      <c r="C86" s="165" t="s">
        <v>526</v>
      </c>
      <c r="D86" s="166">
        <v>570142147.63999999</v>
      </c>
      <c r="E86" s="165" t="s">
        <v>157</v>
      </c>
      <c r="F86" s="170" t="str">
        <f>VLOOKUP(E86,'Справочник отрасли'!$A:$D,4,0)</f>
        <v>Инвестиционная деятельность</v>
      </c>
      <c r="G86" s="168">
        <f t="shared" si="9"/>
        <v>7.2192125337667305E-3</v>
      </c>
      <c r="H86" s="167" t="s">
        <v>83</v>
      </c>
      <c r="I86" s="169" t="e">
        <f>VLOOKUP(C86,'Справочник отрасли'!$J$6:$K$34,2,0)</f>
        <v>#N/A</v>
      </c>
      <c r="J86" s="169">
        <f>VLOOKUP(A86,'Эшелоны результат'!$A$3:$H$283,8,FALSE)</f>
        <v>2</v>
      </c>
      <c r="L86"/>
    </row>
    <row r="87" spans="1:12" ht="15" x14ac:dyDescent="0.25">
      <c r="A87" s="164" t="s">
        <v>592</v>
      </c>
      <c r="B87" s="165" t="s">
        <v>494</v>
      </c>
      <c r="C87" s="165" t="s">
        <v>527</v>
      </c>
      <c r="D87" s="166">
        <v>599969195.61000001</v>
      </c>
      <c r="E87" s="165" t="s">
        <v>133</v>
      </c>
      <c r="F87" s="170" t="str">
        <f>VLOOKUP(E87,'Справочник отрасли'!$A:$D,4,0)</f>
        <v>Финансовый лизинг</v>
      </c>
      <c r="G87" s="168">
        <f t="shared" si="9"/>
        <v>7.5968864163968716E-3</v>
      </c>
      <c r="H87" s="167" t="s">
        <v>79</v>
      </c>
      <c r="I87" s="169" t="e">
        <f>VLOOKUP(C87,'Справочник отрасли'!$J$6:$K$34,2,0)</f>
        <v>#N/A</v>
      </c>
      <c r="J87" s="169">
        <f>VLOOKUP(A87,'Эшелоны результат'!$A$3:$H$283,8,FALSE)</f>
        <v>1</v>
      </c>
      <c r="L87"/>
    </row>
    <row r="88" spans="1:12" ht="15" x14ac:dyDescent="0.25">
      <c r="A88" s="164" t="s">
        <v>593</v>
      </c>
      <c r="B88" s="165" t="s">
        <v>494</v>
      </c>
      <c r="C88" s="165" t="s">
        <v>528</v>
      </c>
      <c r="D88" s="166">
        <v>966279500.63999999</v>
      </c>
      <c r="E88" s="165" t="s">
        <v>7</v>
      </c>
      <c r="F88" s="170" t="str">
        <f>VLOOKUP(E88,'Справочник отрасли'!$A:$D,4,0)</f>
        <v>Строительство жилых зданий</v>
      </c>
      <c r="G88" s="168">
        <f t="shared" si="9"/>
        <v>1.2235154182193177E-2</v>
      </c>
      <c r="H88" s="167" t="s">
        <v>83</v>
      </c>
      <c r="I88" s="169" t="e">
        <f>VLOOKUP(C88,'Справочник отрасли'!$J$6:$K$34,2,0)</f>
        <v>#N/A</v>
      </c>
      <c r="J88" s="169">
        <f>VLOOKUP(A88,'Эшелоны результат'!$A$3:$H$283,8,FALSE)</f>
        <v>2</v>
      </c>
      <c r="L88"/>
    </row>
    <row r="89" spans="1:12" ht="15" x14ac:dyDescent="0.25">
      <c r="A89" s="164" t="s">
        <v>594</v>
      </c>
      <c r="B89" s="165" t="s">
        <v>494</v>
      </c>
      <c r="C89" s="165" t="s">
        <v>529</v>
      </c>
      <c r="D89" s="166">
        <v>144499107.13999999</v>
      </c>
      <c r="E89" s="165" t="s">
        <v>157</v>
      </c>
      <c r="F89" s="170" t="str">
        <f>VLOOKUP(E89,'Справочник отрасли'!$A:$D,4,0)</f>
        <v>Инвестиционная деятельность</v>
      </c>
      <c r="G89" s="168">
        <f t="shared" si="9"/>
        <v>1.8296661099362706E-3</v>
      </c>
      <c r="H89" s="167" t="s">
        <v>83</v>
      </c>
      <c r="I89" s="169" t="e">
        <f>VLOOKUP(C89,'Справочник отрасли'!$J$6:$K$34,2,0)</f>
        <v>#N/A</v>
      </c>
      <c r="J89" s="169">
        <v>4</v>
      </c>
      <c r="L89"/>
    </row>
    <row r="90" spans="1:12" ht="15" x14ac:dyDescent="0.25">
      <c r="A90" s="164" t="s">
        <v>595</v>
      </c>
      <c r="B90" s="165" t="s">
        <v>494</v>
      </c>
      <c r="C90" s="165" t="s">
        <v>530</v>
      </c>
      <c r="D90" s="166">
        <v>378715620.01999998</v>
      </c>
      <c r="E90" s="165" t="s">
        <v>133</v>
      </c>
      <c r="F90" s="170" t="str">
        <f>VLOOKUP(E90,'Справочник отрасли'!$A:$D,4,0)</f>
        <v>Финансовый лизинг</v>
      </c>
      <c r="G90" s="168">
        <f t="shared" si="9"/>
        <v>4.7953454451642244E-3</v>
      </c>
      <c r="H90" s="167" t="s">
        <v>79</v>
      </c>
      <c r="I90" s="169" t="e">
        <f>VLOOKUP(C90,'Справочник отрасли'!$J$6:$K$34,2,0)</f>
        <v>#N/A</v>
      </c>
      <c r="J90" s="169">
        <f>VLOOKUP(A90,'Эшелоны результат'!$A$3:$H$283,8,FALSE)</f>
        <v>1</v>
      </c>
      <c r="L90"/>
    </row>
    <row r="91" spans="1:12" ht="15" x14ac:dyDescent="0.25">
      <c r="A91" s="164" t="s">
        <v>596</v>
      </c>
      <c r="B91" s="165" t="s">
        <v>494</v>
      </c>
      <c r="C91" s="165" t="s">
        <v>531</v>
      </c>
      <c r="D91" s="166">
        <v>1542344411.77</v>
      </c>
      <c r="E91" s="165" t="s">
        <v>158</v>
      </c>
      <c r="F91" s="170" t="str">
        <f>VLOOKUP(E91,'Справочник отрасли'!$A:$D,4,0)</f>
        <v>Банк</v>
      </c>
      <c r="G91" s="168">
        <f t="shared" ref="G91:G118" si="12">D91/$B$19</f>
        <v>1.9529361502082163E-2</v>
      </c>
      <c r="H91" s="167" t="s">
        <v>79</v>
      </c>
      <c r="I91" s="169" t="e">
        <f>VLOOKUP(C91,'Справочник отрасли'!$J$6:$K$34,2,0)</f>
        <v>#N/A</v>
      </c>
      <c r="J91" s="169">
        <f>VLOOKUP(A91,'Эшелоны результат'!$A$3:$H$283,8,FALSE)</f>
        <v>1</v>
      </c>
      <c r="L91"/>
    </row>
    <row r="92" spans="1:12" ht="15" x14ac:dyDescent="0.25">
      <c r="A92" s="164" t="s">
        <v>597</v>
      </c>
      <c r="B92" s="165" t="s">
        <v>494</v>
      </c>
      <c r="C92" s="165" t="s">
        <v>532</v>
      </c>
      <c r="D92" s="166">
        <v>1258983587.73</v>
      </c>
      <c r="E92" s="165" t="s">
        <v>559</v>
      </c>
      <c r="F92" s="170" t="str">
        <f>VLOOKUP(E92,'Справочник отрасли'!$A:$D,4,0)</f>
        <v>Инвестиционная деятельность</v>
      </c>
      <c r="G92" s="168">
        <f t="shared" si="12"/>
        <v>1.5941410635871688E-2</v>
      </c>
      <c r="H92" s="167" t="s">
        <v>75</v>
      </c>
      <c r="I92" s="169" t="e">
        <f>VLOOKUP(C92,'Справочник отрасли'!$J$6:$K$34,2,0)</f>
        <v>#N/A</v>
      </c>
      <c r="J92" s="169">
        <f>VLOOKUP(A92,'Эшелоны результат'!$A$3:$H$283,8,FALSE)</f>
        <v>3</v>
      </c>
      <c r="L92"/>
    </row>
    <row r="93" spans="1:12" ht="15" x14ac:dyDescent="0.25">
      <c r="A93" s="164" t="s">
        <v>598</v>
      </c>
      <c r="B93" s="165" t="s">
        <v>494</v>
      </c>
      <c r="C93" s="165" t="s">
        <v>533</v>
      </c>
      <c r="D93" s="166">
        <v>1023733035.33</v>
      </c>
      <c r="E93" s="165" t="s">
        <v>145</v>
      </c>
      <c r="F93" s="170" t="str">
        <f>VLOOKUP(E93,'Справочник отрасли'!$A:$D,4,0)</f>
        <v>Банк</v>
      </c>
      <c r="G93" s="168">
        <f t="shared" si="12"/>
        <v>1.2962638160460898E-2</v>
      </c>
      <c r="H93" s="167" t="s">
        <v>79</v>
      </c>
      <c r="I93" s="169" t="e">
        <f>VLOOKUP(C93,'Справочник отрасли'!$J$6:$K$34,2,0)</f>
        <v>#N/A</v>
      </c>
      <c r="J93" s="169">
        <f>VLOOKUP(A93,'Эшелоны результат'!$A$3:$H$283,8,FALSE)</f>
        <v>1</v>
      </c>
      <c r="L93"/>
    </row>
    <row r="94" spans="1:12" ht="15" x14ac:dyDescent="0.25">
      <c r="A94" s="164" t="s">
        <v>599</v>
      </c>
      <c r="B94" s="165" t="s">
        <v>494</v>
      </c>
      <c r="C94" s="165" t="s">
        <v>534</v>
      </c>
      <c r="D94" s="166">
        <v>503895057.08000004</v>
      </c>
      <c r="E94" s="165" t="s">
        <v>159</v>
      </c>
      <c r="F94" s="170" t="str">
        <f>VLOOKUP(E94,'Справочник отрасли'!$A:$D,4,0)</f>
        <v>Банк</v>
      </c>
      <c r="G94" s="168">
        <f t="shared" si="12"/>
        <v>6.3803834304001971E-3</v>
      </c>
      <c r="H94" s="109" t="s">
        <v>77</v>
      </c>
      <c r="I94" s="169" t="e">
        <f>VLOOKUP(C94,'Справочник отрасли'!$J$6:$K$34,2,0)</f>
        <v>#N/A</v>
      </c>
      <c r="J94" s="169">
        <f>VLOOKUP(A94,'Эшелоны результат'!$A$3:$H$283,8,FALSE)</f>
        <v>2</v>
      </c>
      <c r="L94"/>
    </row>
    <row r="95" spans="1:12" ht="15" x14ac:dyDescent="0.25">
      <c r="A95" s="164" t="s">
        <v>600</v>
      </c>
      <c r="B95" s="165" t="s">
        <v>494</v>
      </c>
      <c r="C95" s="165" t="s">
        <v>535</v>
      </c>
      <c r="D95" s="166">
        <v>2101261921.9200001</v>
      </c>
      <c r="E95" s="165" t="s">
        <v>559</v>
      </c>
      <c r="F95" s="170" t="str">
        <f>VLOOKUP(E95,'Справочник отрасли'!$A:$D,4,0)</f>
        <v>Инвестиционная деятельность</v>
      </c>
      <c r="G95" s="168">
        <f t="shared" si="12"/>
        <v>2.6606446245454485E-2</v>
      </c>
      <c r="H95" s="167" t="s">
        <v>75</v>
      </c>
      <c r="I95" s="169" t="e">
        <f>VLOOKUP(C95,'Справочник отрасли'!$J$6:$K$34,2,0)</f>
        <v>#N/A</v>
      </c>
      <c r="J95" s="169">
        <f>VLOOKUP(A95,'Эшелоны результат'!$A$3:$H$283,8,FALSE)</f>
        <v>2</v>
      </c>
      <c r="L95"/>
    </row>
    <row r="96" spans="1:12" ht="15" x14ac:dyDescent="0.25">
      <c r="A96" s="164" t="s">
        <v>601</v>
      </c>
      <c r="B96" s="165" t="s">
        <v>494</v>
      </c>
      <c r="C96" s="165" t="s">
        <v>536</v>
      </c>
      <c r="D96" s="166">
        <v>2096281694.6199999</v>
      </c>
      <c r="E96" s="165" t="s">
        <v>160</v>
      </c>
      <c r="F96" s="170" t="str">
        <f>VLOOKUP(E96,'Справочник отрасли'!$A:$D,4,0)</f>
        <v>Инвестиционная деятельность</v>
      </c>
      <c r="G96" s="168">
        <f t="shared" si="12"/>
        <v>2.6543385972689192E-2</v>
      </c>
      <c r="H96" s="167" t="s">
        <v>79</v>
      </c>
      <c r="I96" s="169" t="e">
        <f>VLOOKUP(C96,'Справочник отрасли'!$J$6:$K$34,2,0)</f>
        <v>#N/A</v>
      </c>
      <c r="J96" s="169">
        <f>VLOOKUP(A96,'Эшелоны результат'!$A$3:$H$283,8,FALSE)</f>
        <v>1</v>
      </c>
      <c r="L96"/>
    </row>
    <row r="97" spans="1:12" ht="15" x14ac:dyDescent="0.25">
      <c r="A97" s="164" t="s">
        <v>602</v>
      </c>
      <c r="B97" s="165" t="s">
        <v>494</v>
      </c>
      <c r="C97" s="165" t="s">
        <v>537</v>
      </c>
      <c r="D97" s="166">
        <v>626963670.63999999</v>
      </c>
      <c r="E97" s="165" t="s">
        <v>341</v>
      </c>
      <c r="F97" s="170" t="str">
        <f>VLOOKUP(E97,'Справочник отрасли'!$A:$D,4,0)</f>
        <v>Лесная и лесоперерабатывающая промышленность</v>
      </c>
      <c r="G97" s="168">
        <f t="shared" si="12"/>
        <v>7.9386938994705121E-3</v>
      </c>
      <c r="H97" s="167" t="s">
        <v>83</v>
      </c>
      <c r="I97" s="169" t="e">
        <f>VLOOKUP(C97,'Справочник отрасли'!$J$6:$K$34,2,0)</f>
        <v>#N/A</v>
      </c>
      <c r="J97" s="169">
        <f>VLOOKUP(A97,'Эшелоны результат'!$A$3:$H$283,8,FALSE)</f>
        <v>2</v>
      </c>
      <c r="L97"/>
    </row>
    <row r="98" spans="1:12" ht="15" x14ac:dyDescent="0.25">
      <c r="A98" s="164" t="s">
        <v>603</v>
      </c>
      <c r="B98" s="165" t="s">
        <v>494</v>
      </c>
      <c r="C98" s="165" t="s">
        <v>538</v>
      </c>
      <c r="D98" s="166">
        <v>1456378446.98</v>
      </c>
      <c r="E98" s="165" t="s">
        <v>148</v>
      </c>
      <c r="F98" s="170" t="str">
        <f>VLOOKUP(E98,'Справочник отрасли'!$A:$D,4,0)</f>
        <v>Транспорт</v>
      </c>
      <c r="G98" s="168">
        <f t="shared" si="12"/>
        <v>1.8440849500192449E-2</v>
      </c>
      <c r="H98" s="167" t="s">
        <v>75</v>
      </c>
      <c r="I98" s="169" t="e">
        <f>VLOOKUP(C98,'Справочник отрасли'!$J$6:$K$34,2,0)</f>
        <v>#N/A</v>
      </c>
      <c r="J98" s="169">
        <f>VLOOKUP(A98,'Эшелоны результат'!$A$3:$H$283,8,FALSE)</f>
        <v>1</v>
      </c>
      <c r="L98"/>
    </row>
    <row r="99" spans="1:12" ht="15" x14ac:dyDescent="0.25">
      <c r="A99" s="164" t="s">
        <v>604</v>
      </c>
      <c r="B99" s="165" t="s">
        <v>494</v>
      </c>
      <c r="C99" s="165" t="s">
        <v>539</v>
      </c>
      <c r="D99" s="166">
        <v>1521419750.4200001</v>
      </c>
      <c r="E99" s="165" t="s">
        <v>201</v>
      </c>
      <c r="F99" s="170" t="str">
        <f>VLOOKUP(E99,'Справочник отрасли'!$A:$D,4,0)</f>
        <v>Инвестиционная деятельность</v>
      </c>
      <c r="G99" s="168">
        <f t="shared" si="12"/>
        <v>1.9264410773377001E-2</v>
      </c>
      <c r="H99" s="167" t="s">
        <v>75</v>
      </c>
      <c r="I99" s="169" t="e">
        <f>VLOOKUP(C99,'Справочник отрасли'!$J$6:$K$34,2,0)</f>
        <v>#N/A</v>
      </c>
      <c r="J99" s="169">
        <f>VLOOKUP(A99,'Эшелоны результат'!$A$3:$H$283,8,FALSE)</f>
        <v>3</v>
      </c>
      <c r="L99"/>
    </row>
    <row r="100" spans="1:12" ht="15" x14ac:dyDescent="0.25">
      <c r="A100" s="164" t="s">
        <v>605</v>
      </c>
      <c r="B100" s="165" t="s">
        <v>494</v>
      </c>
      <c r="C100" s="165" t="s">
        <v>540</v>
      </c>
      <c r="D100" s="166">
        <v>309712370.13</v>
      </c>
      <c r="E100" s="165" t="s">
        <v>146</v>
      </c>
      <c r="F100" s="170" t="str">
        <f>VLOOKUP(E100,'Справочник отрасли'!$A:$D,4,0)</f>
        <v>Банк</v>
      </c>
      <c r="G100" s="168">
        <f t="shared" si="12"/>
        <v>3.9216175011093533E-3</v>
      </c>
      <c r="H100" s="167" t="s">
        <v>79</v>
      </c>
      <c r="I100" s="169" t="e">
        <f>VLOOKUP(C100,'Справочник отрасли'!$J$6:$K$34,2,0)</f>
        <v>#N/A</v>
      </c>
      <c r="J100" s="169">
        <f>VLOOKUP(A100,'Эшелоны результат'!$A$3:$H$283,8,FALSE)</f>
        <v>1</v>
      </c>
      <c r="L100"/>
    </row>
    <row r="101" spans="1:12" ht="15" x14ac:dyDescent="0.25">
      <c r="A101" s="164" t="s">
        <v>606</v>
      </c>
      <c r="B101" s="165" t="s">
        <v>494</v>
      </c>
      <c r="C101" s="165" t="s">
        <v>541</v>
      </c>
      <c r="D101" s="166">
        <v>1303120000</v>
      </c>
      <c r="E101" s="165" t="s">
        <v>156</v>
      </c>
      <c r="F101" s="170" t="str">
        <f>VLOOKUP(E101,'Справочник отрасли'!$A:$D,4,0)</f>
        <v>Банк</v>
      </c>
      <c r="G101" s="168">
        <f t="shared" si="12"/>
        <v>1.65002715128898E-2</v>
      </c>
      <c r="H101" s="167" t="s">
        <v>71</v>
      </c>
      <c r="I101" s="169" t="e">
        <f>VLOOKUP(C101,'Справочник отрасли'!$J$6:$K$34,2,0)</f>
        <v>#N/A</v>
      </c>
      <c r="J101" s="169">
        <f>VLOOKUP(A101,'Эшелоны результат'!$A$3:$H$283,8,FALSE)</f>
        <v>3</v>
      </c>
      <c r="L101"/>
    </row>
    <row r="102" spans="1:12" ht="15" x14ac:dyDescent="0.25">
      <c r="A102" s="164" t="s">
        <v>607</v>
      </c>
      <c r="B102" s="165" t="s">
        <v>494</v>
      </c>
      <c r="C102" s="165" t="s">
        <v>542</v>
      </c>
      <c r="D102" s="166">
        <v>645669984.65999997</v>
      </c>
      <c r="E102" s="165" t="s">
        <v>139</v>
      </c>
      <c r="F102" s="170" t="str">
        <f>VLOOKUP(E102,'Справочник отрасли'!$A:$D,4,0)</f>
        <v>Цветная и черная металлургия</v>
      </c>
      <c r="G102" s="168">
        <f t="shared" si="12"/>
        <v>8.1755556315714524E-3</v>
      </c>
      <c r="H102" s="167" t="s">
        <v>83</v>
      </c>
      <c r="I102" s="169" t="e">
        <f>VLOOKUP(C102,'Справочник отрасли'!$J$6:$K$34,2,0)</f>
        <v>#N/A</v>
      </c>
      <c r="J102" s="169">
        <f>VLOOKUP(A102,'Эшелоны результат'!$A$3:$H$283,8,FALSE)</f>
        <v>2</v>
      </c>
      <c r="L102"/>
    </row>
    <row r="103" spans="1:12" ht="15" x14ac:dyDescent="0.25">
      <c r="A103" s="164" t="s">
        <v>608</v>
      </c>
      <c r="B103" s="165" t="s">
        <v>494</v>
      </c>
      <c r="C103" s="165" t="s">
        <v>543</v>
      </c>
      <c r="D103" s="166">
        <v>168819876.21000001</v>
      </c>
      <c r="E103" s="165" t="s">
        <v>161</v>
      </c>
      <c r="F103" s="170" t="str">
        <f>VLOOKUP(E103,'Справочник отрасли'!$A:$D,4,0)</f>
        <v>Финансовый лизинг</v>
      </c>
      <c r="G103" s="168">
        <f t="shared" si="12"/>
        <v>2.1376187874005814E-3</v>
      </c>
      <c r="H103" s="167" t="s">
        <v>79</v>
      </c>
      <c r="I103" s="169" t="e">
        <f>VLOOKUP(C103,'Справочник отрасли'!$J$6:$K$34,2,0)</f>
        <v>#N/A</v>
      </c>
      <c r="J103" s="169">
        <f>VLOOKUP(A103,'Эшелоны результат'!$A$3:$H$283,8,FALSE)</f>
        <v>1</v>
      </c>
      <c r="L103"/>
    </row>
    <row r="104" spans="1:12" ht="15" x14ac:dyDescent="0.25">
      <c r="A104" s="164" t="s">
        <v>609</v>
      </c>
      <c r="B104" s="165" t="s">
        <v>494</v>
      </c>
      <c r="C104" s="165" t="s">
        <v>544</v>
      </c>
      <c r="D104" s="166">
        <v>1046647445.45</v>
      </c>
      <c r="E104" s="165" t="s">
        <v>162</v>
      </c>
      <c r="F104" s="170" t="str">
        <f>VLOOKUP(E104,'Справочник отрасли'!$A:$D,4,0)</f>
        <v>Электроэнергетика и теплоэнергетика</v>
      </c>
      <c r="G104" s="168">
        <f t="shared" si="12"/>
        <v>1.3252783341670389E-2</v>
      </c>
      <c r="H104" s="167" t="s">
        <v>77</v>
      </c>
      <c r="I104" s="169" t="e">
        <f>VLOOKUP(C104,'Справочник отрасли'!$J$6:$K$34,2,0)</f>
        <v>#N/A</v>
      </c>
      <c r="J104" s="169">
        <f>VLOOKUP(A104,'Эшелоны результат'!$A$3:$H$283,8,FALSE)</f>
        <v>1</v>
      </c>
      <c r="L104"/>
    </row>
    <row r="105" spans="1:12" ht="15" x14ac:dyDescent="0.25">
      <c r="A105" s="164" t="s">
        <v>610</v>
      </c>
      <c r="B105" s="165" t="s">
        <v>494</v>
      </c>
      <c r="C105" s="165" t="s">
        <v>545</v>
      </c>
      <c r="D105" s="166">
        <v>317016076.52999997</v>
      </c>
      <c r="E105" s="165" t="s">
        <v>231</v>
      </c>
      <c r="F105" s="170" t="str">
        <f>VLOOKUP(E105,'Справочник отрасли'!$A:$D,4,0)</f>
        <v>Цветная и черная металлургия</v>
      </c>
      <c r="G105" s="168">
        <f t="shared" si="12"/>
        <v>4.0140979623488632E-3</v>
      </c>
      <c r="H105" s="109" t="s">
        <v>79</v>
      </c>
      <c r="I105" s="169" t="e">
        <f>VLOOKUP(C105,'Справочник отрасли'!$J$6:$K$34,2,0)</f>
        <v>#N/A</v>
      </c>
      <c r="J105" s="169">
        <f>VLOOKUP(A105,'Эшелоны результат'!$A$3:$H$283,8,FALSE)</f>
        <v>1</v>
      </c>
      <c r="L105"/>
    </row>
    <row r="106" spans="1:12" ht="15" x14ac:dyDescent="0.25">
      <c r="A106" s="164" t="s">
        <v>611</v>
      </c>
      <c r="B106" s="165" t="s">
        <v>494</v>
      </c>
      <c r="C106" s="165" t="s">
        <v>546</v>
      </c>
      <c r="D106" s="166">
        <v>211520075.33000001</v>
      </c>
      <c r="E106" s="165" t="s">
        <v>231</v>
      </c>
      <c r="F106" s="170" t="str">
        <f>VLOOKUP(E106,'Справочник отрасли'!$A:$D,4,0)</f>
        <v>Цветная и черная металлургия</v>
      </c>
      <c r="G106" s="168">
        <f t="shared" si="12"/>
        <v>2.6782941504787769E-3</v>
      </c>
      <c r="H106" s="167" t="s">
        <v>79</v>
      </c>
      <c r="I106" s="169" t="e">
        <f>VLOOKUP(C106,'Справочник отрасли'!$J$6:$K$34,2,0)</f>
        <v>#N/A</v>
      </c>
      <c r="J106" s="169">
        <f>VLOOKUP(A106,'Эшелоны результат'!$A$3:$H$283,8,FALSE)</f>
        <v>1</v>
      </c>
      <c r="L106"/>
    </row>
    <row r="107" spans="1:12" ht="15" x14ac:dyDescent="0.25">
      <c r="A107" s="164" t="s">
        <v>612</v>
      </c>
      <c r="B107" s="165" t="s">
        <v>494</v>
      </c>
      <c r="C107" s="165" t="s">
        <v>547</v>
      </c>
      <c r="D107" s="166">
        <v>963622600</v>
      </c>
      <c r="E107" s="165" t="s">
        <v>145</v>
      </c>
      <c r="F107" s="170" t="str">
        <f>VLOOKUP(E107,'Справочник отрасли'!$A:$D,4,0)</f>
        <v>Банк</v>
      </c>
      <c r="G107" s="168">
        <f t="shared" si="12"/>
        <v>1.2201512167687398E-2</v>
      </c>
      <c r="H107" s="167" t="s">
        <v>79</v>
      </c>
      <c r="I107" s="169" t="e">
        <f>VLOOKUP(C107,'Справочник отрасли'!$J$6:$K$34,2,0)</f>
        <v>#N/A</v>
      </c>
      <c r="J107" s="169">
        <f>VLOOKUP(A107,'Эшелоны результат'!$A$3:$H$283,8,FALSE)</f>
        <v>1</v>
      </c>
      <c r="L107"/>
    </row>
    <row r="108" spans="1:12" ht="15" x14ac:dyDescent="0.25">
      <c r="A108" s="164" t="s">
        <v>613</v>
      </c>
      <c r="B108" s="165" t="s">
        <v>494</v>
      </c>
      <c r="C108" s="165" t="s">
        <v>548</v>
      </c>
      <c r="D108" s="166">
        <v>318983659.14999998</v>
      </c>
      <c r="E108" s="165" t="s">
        <v>465</v>
      </c>
      <c r="F108" s="170" t="str">
        <f>VLOOKUP(E108,'Справочник отрасли'!$A:$D,4,0)</f>
        <v>Электроэнергетика и теплоэнергетика</v>
      </c>
      <c r="G108" s="168">
        <f t="shared" si="12"/>
        <v>4.0390117442369805E-3</v>
      </c>
      <c r="H108" s="167" t="s">
        <v>77</v>
      </c>
      <c r="I108" s="169" t="e">
        <f>VLOOKUP(C108,'Справочник отрасли'!$J$6:$K$34,2,0)</f>
        <v>#N/A</v>
      </c>
      <c r="J108" s="169">
        <f>VLOOKUP(A108,'Эшелоны результат'!$A$3:$H$283,8,FALSE)</f>
        <v>1</v>
      </c>
      <c r="L108"/>
    </row>
    <row r="109" spans="1:12" ht="15" x14ac:dyDescent="0.25">
      <c r="A109" s="164" t="s">
        <v>614</v>
      </c>
      <c r="B109" s="165" t="s">
        <v>494</v>
      </c>
      <c r="C109" s="165" t="s">
        <v>549</v>
      </c>
      <c r="D109" s="166">
        <v>506350270</v>
      </c>
      <c r="E109" s="165" t="s">
        <v>479</v>
      </c>
      <c r="F109" s="170" t="str">
        <f>VLOOKUP(E109,'Справочник отрасли'!$A:$D,4,0)</f>
        <v>Строительство жилых зданий</v>
      </c>
      <c r="G109" s="168">
        <f t="shared" si="12"/>
        <v>6.4114716492917447E-3</v>
      </c>
      <c r="H109" s="167" t="s">
        <v>85</v>
      </c>
      <c r="I109" s="169" t="e">
        <f>VLOOKUP(C109,'Справочник отрасли'!$J$6:$K$34,2,0)</f>
        <v>#N/A</v>
      </c>
      <c r="J109" s="169">
        <f>VLOOKUP(A109,'Эшелоны результат'!$A$3:$H$283,8,FALSE)</f>
        <v>3</v>
      </c>
      <c r="L109"/>
    </row>
    <row r="110" spans="1:12" ht="15" x14ac:dyDescent="0.25">
      <c r="A110" s="164" t="s">
        <v>615</v>
      </c>
      <c r="B110" s="165" t="s">
        <v>494</v>
      </c>
      <c r="C110" s="165" t="s">
        <v>550</v>
      </c>
      <c r="D110" s="166">
        <v>4039734545.4499998</v>
      </c>
      <c r="E110" s="165" t="s">
        <v>480</v>
      </c>
      <c r="F110" s="170" t="str">
        <f>VLOOKUP(E110,'Справочник отрасли'!$A:$D,4,0)</f>
        <v>Банк</v>
      </c>
      <c r="G110" s="168">
        <f t="shared" si="12"/>
        <v>5.1151633648417225E-2</v>
      </c>
      <c r="H110" s="109" t="s">
        <v>81</v>
      </c>
      <c r="I110" s="169" t="e">
        <f>VLOOKUP(C110,'Справочник отрасли'!$J$6:$K$34,2,0)</f>
        <v>#N/A</v>
      </c>
      <c r="J110" s="169">
        <f>VLOOKUP(A110,'Эшелоны результат'!$A$3:$H$283,8,FALSE)</f>
        <v>3</v>
      </c>
      <c r="L110"/>
    </row>
    <row r="111" spans="1:12" ht="15" x14ac:dyDescent="0.25">
      <c r="A111" s="164" t="s">
        <v>616</v>
      </c>
      <c r="B111" s="165" t="s">
        <v>494</v>
      </c>
      <c r="C111" s="165" t="s">
        <v>551</v>
      </c>
      <c r="D111" s="166">
        <v>1016443975.66</v>
      </c>
      <c r="E111" s="165" t="s">
        <v>480</v>
      </c>
      <c r="F111" s="170" t="str">
        <f>VLOOKUP(E111,'Справочник отрасли'!$A:$D,4,0)</f>
        <v>Банк</v>
      </c>
      <c r="G111" s="168">
        <f t="shared" si="12"/>
        <v>1.2870343157983263E-2</v>
      </c>
      <c r="H111" s="109" t="s">
        <v>81</v>
      </c>
      <c r="I111" s="169" t="e">
        <f>VLOOKUP(C111,'Справочник отрасли'!$J$6:$K$34,2,0)</f>
        <v>#N/A</v>
      </c>
      <c r="J111" s="169">
        <f>VLOOKUP(A111,'Эшелоны результат'!$A$3:$H$283,8,FALSE)</f>
        <v>3</v>
      </c>
      <c r="L111"/>
    </row>
    <row r="112" spans="1:12" ht="15" x14ac:dyDescent="0.25">
      <c r="A112" s="164" t="s">
        <v>647</v>
      </c>
      <c r="B112" s="165" t="s">
        <v>447</v>
      </c>
      <c r="C112" s="165" t="s">
        <v>670</v>
      </c>
      <c r="D112" s="166">
        <v>114395699</v>
      </c>
      <c r="E112" s="165" t="s">
        <v>163</v>
      </c>
      <c r="F112" s="170" t="str">
        <f>VLOOKUP(E112,'Справочник отрасли'!$A:$D,4,0)</f>
        <v>ОФЗ</v>
      </c>
      <c r="G112" s="168">
        <f t="shared" si="12"/>
        <v>1.4484929196135552E-3</v>
      </c>
      <c r="H112" s="109" t="s">
        <v>77</v>
      </c>
      <c r="I112" s="169" t="e">
        <f>VLOOKUP(C112,'Справочник отрасли'!$J$6:$K$34,2,0)</f>
        <v>#N/A</v>
      </c>
      <c r="J112" s="169">
        <f>VLOOKUP(A112,'Эшелоны результат'!$A$3:$H$283,8,FALSE)</f>
        <v>1</v>
      </c>
      <c r="L112"/>
    </row>
    <row r="113" spans="1:12" ht="15" x14ac:dyDescent="0.25">
      <c r="A113" s="164" t="s">
        <v>648</v>
      </c>
      <c r="B113" s="165" t="s">
        <v>447</v>
      </c>
      <c r="C113" s="165" t="s">
        <v>671</v>
      </c>
      <c r="D113" s="166">
        <v>422804000</v>
      </c>
      <c r="E113" s="165" t="s">
        <v>163</v>
      </c>
      <c r="F113" s="170" t="str">
        <f>VLOOKUP(E113,'Справочник отрасли'!$A:$D,4,0)</f>
        <v>ОФЗ</v>
      </c>
      <c r="G113" s="168">
        <f t="shared" si="12"/>
        <v>5.3535981312049993E-3</v>
      </c>
      <c r="H113" s="109" t="s">
        <v>77</v>
      </c>
      <c r="I113" s="169" t="e">
        <f>VLOOKUP(C113,'Справочник отрасли'!$J$6:$K$34,2,0)</f>
        <v>#N/A</v>
      </c>
      <c r="J113" s="169">
        <f>VLOOKUP(A113,'Эшелоны результат'!$A$3:$H$283,8,FALSE)</f>
        <v>1</v>
      </c>
      <c r="L113"/>
    </row>
    <row r="114" spans="1:12" ht="15" x14ac:dyDescent="0.25">
      <c r="A114" s="164" t="s">
        <v>649</v>
      </c>
      <c r="B114" s="165" t="s">
        <v>447</v>
      </c>
      <c r="C114" s="165" t="s">
        <v>672</v>
      </c>
      <c r="D114" s="166">
        <v>4731836000</v>
      </c>
      <c r="E114" s="165" t="s">
        <v>163</v>
      </c>
      <c r="F114" s="170" t="str">
        <f>VLOOKUP(E114,'Справочник отрасли'!$A:$D,4,0)</f>
        <v>ОФЗ</v>
      </c>
      <c r="G114" s="168">
        <f t="shared" si="12"/>
        <v>5.9915110469079144E-2</v>
      </c>
      <c r="H114" s="109" t="s">
        <v>77</v>
      </c>
      <c r="I114" s="169" t="e">
        <f>VLOOKUP(C114,'Справочник отрасли'!$J$6:$K$34,2,0)</f>
        <v>#N/A</v>
      </c>
      <c r="J114" s="169">
        <f>VLOOKUP(A114,'Эшелоны результат'!$A$3:$H$283,8,FALSE)</f>
        <v>1</v>
      </c>
      <c r="L114"/>
    </row>
    <row r="115" spans="1:12" ht="15" x14ac:dyDescent="0.25">
      <c r="A115" s="164" t="s">
        <v>650</v>
      </c>
      <c r="B115" s="165" t="s">
        <v>447</v>
      </c>
      <c r="C115" s="165" t="s">
        <v>673</v>
      </c>
      <c r="D115" s="166">
        <v>924483000</v>
      </c>
      <c r="E115" s="165" t="s">
        <v>163</v>
      </c>
      <c r="F115" s="170" t="str">
        <f>VLOOKUP(E115,'Справочник отрасли'!$A:$D,4,0)</f>
        <v>ОФЗ</v>
      </c>
      <c r="G115" s="168">
        <f t="shared" si="12"/>
        <v>1.1705921564438348E-2</v>
      </c>
      <c r="H115" s="109" t="s">
        <v>77</v>
      </c>
      <c r="I115" s="169" t="e">
        <f>VLOOKUP(C115,'Справочник отрасли'!$J$6:$K$34,2,0)</f>
        <v>#N/A</v>
      </c>
      <c r="J115" s="169">
        <f>VLOOKUP(A115,'Эшелоны результат'!$A$3:$H$283,8,FALSE)</f>
        <v>1</v>
      </c>
      <c r="L115"/>
    </row>
    <row r="116" spans="1:12" ht="15" x14ac:dyDescent="0.25">
      <c r="A116" s="164" t="s">
        <v>651</v>
      </c>
      <c r="B116" s="165" t="s">
        <v>447</v>
      </c>
      <c r="C116" s="165" t="s">
        <v>674</v>
      </c>
      <c r="D116" s="166">
        <v>1163612700</v>
      </c>
      <c r="E116" s="165" t="s">
        <v>163</v>
      </c>
      <c r="F116" s="170" t="str">
        <f>VLOOKUP(E116,'Справочник отрасли'!$A:$D,4,0)</f>
        <v>ОФЗ</v>
      </c>
      <c r="G116" s="168">
        <f t="shared" si="12"/>
        <v>1.4733812301128664E-2</v>
      </c>
      <c r="H116" s="109" t="s">
        <v>77</v>
      </c>
      <c r="I116" s="169" t="e">
        <f>VLOOKUP(C116,'Справочник отрасли'!$J$6:$K$34,2,0)</f>
        <v>#N/A</v>
      </c>
      <c r="J116" s="169">
        <f>VLOOKUP(A116,'Эшелоны результат'!$A$3:$H$283,8,FALSE)</f>
        <v>1</v>
      </c>
      <c r="L116"/>
    </row>
    <row r="117" spans="1:12" ht="15" x14ac:dyDescent="0.25">
      <c r="A117" s="164" t="s">
        <v>617</v>
      </c>
      <c r="B117" s="165" t="s">
        <v>447</v>
      </c>
      <c r="C117" s="165" t="s">
        <v>552</v>
      </c>
      <c r="D117" s="166">
        <v>773032871.57999992</v>
      </c>
      <c r="E117" s="165" t="s">
        <v>163</v>
      </c>
      <c r="F117" s="170" t="str">
        <f>VLOOKUP(E117,'Справочник отрасли'!$A:$D,4,0)</f>
        <v>ОФЗ</v>
      </c>
      <c r="G117" s="168">
        <f t="shared" si="12"/>
        <v>9.7882407371990849E-3</v>
      </c>
      <c r="H117" s="109" t="s">
        <v>77</v>
      </c>
      <c r="I117" s="169" t="e">
        <f>VLOOKUP(C117,'Справочник отрасли'!$J$6:$K$34,2,0)</f>
        <v>#N/A</v>
      </c>
      <c r="J117" s="169">
        <f>VLOOKUP(A117,'Эшелоны результат'!$A$3:$H$283,8,FALSE)</f>
        <v>1</v>
      </c>
      <c r="L117"/>
    </row>
    <row r="118" spans="1:12" ht="15" x14ac:dyDescent="0.25">
      <c r="A118" s="164" t="s">
        <v>652</v>
      </c>
      <c r="B118" s="165" t="s">
        <v>625</v>
      </c>
      <c r="C118" s="165" t="s">
        <v>230</v>
      </c>
      <c r="D118" s="166">
        <v>11590000</v>
      </c>
      <c r="E118" s="165" t="s">
        <v>200</v>
      </c>
      <c r="F118" s="170" t="str">
        <f>VLOOKUP(E118,'Справочник отрасли'!$A:$D,4,0)</f>
        <v>Топливная промышленность</v>
      </c>
      <c r="G118" s="168">
        <f t="shared" si="12"/>
        <v>1.4675405705874577E-4</v>
      </c>
      <c r="H118" s="109"/>
      <c r="I118" s="169">
        <f>VLOOKUP(C118,'Справочник отрасли'!$J$6:$K$34,2,0)</f>
        <v>3</v>
      </c>
      <c r="J118" s="169" t="str">
        <f>VLOOKUP(A118,'Эшелоны результат'!$A$3:$H$283,8,FALSE)</f>
        <v>Ошибка, не численные значения</v>
      </c>
      <c r="L118"/>
    </row>
    <row r="119" spans="1:12" ht="15" x14ac:dyDescent="0.25">
      <c r="A119" s="164" t="s">
        <v>653</v>
      </c>
      <c r="B119" s="165" t="s">
        <v>625</v>
      </c>
      <c r="C119" s="165" t="s">
        <v>239</v>
      </c>
      <c r="D119" s="166">
        <v>12798000</v>
      </c>
      <c r="E119" s="165" t="s">
        <v>244</v>
      </c>
      <c r="F119" s="170" t="str">
        <f>VLOOKUP(E119,'Справочник отрасли'!$A:$D,4,0)</f>
        <v>Топливная промышленность</v>
      </c>
      <c r="G119" s="168">
        <f t="shared" ref="G119:G121" si="13">D119/$B$19</f>
        <v>1.6204990700930357E-4</v>
      </c>
      <c r="H119" s="109"/>
      <c r="I119" s="169">
        <f>VLOOKUP(C119,'Справочник отрасли'!$J$6:$K$34,2,0)</f>
        <v>2</v>
      </c>
      <c r="J119" s="169" t="str">
        <f>VLOOKUP(A119,'Эшелоны результат'!$A$3:$H$283,8,FALSE)</f>
        <v>Ошибка, не численные значения</v>
      </c>
      <c r="L119"/>
    </row>
    <row r="120" spans="1:12" ht="15" x14ac:dyDescent="0.25">
      <c r="A120" s="164" t="s">
        <v>618</v>
      </c>
      <c r="B120" s="165" t="s">
        <v>495</v>
      </c>
      <c r="C120" s="165" t="s">
        <v>553</v>
      </c>
      <c r="D120" s="166">
        <v>880618089.02999997</v>
      </c>
      <c r="E120" s="165" t="s">
        <v>163</v>
      </c>
      <c r="F120" s="170" t="str">
        <f>VLOOKUP(E120,'Справочник отрасли'!$A:$D,4,0)</f>
        <v>ОФЗ</v>
      </c>
      <c r="G120" s="168">
        <f t="shared" si="13"/>
        <v>1.1150498471481645E-2</v>
      </c>
      <c r="H120" s="109" t="s">
        <v>77</v>
      </c>
      <c r="I120" s="169" t="e">
        <f>VLOOKUP(C120,'Справочник отрасли'!$J$6:$K$34,2,0)</f>
        <v>#N/A</v>
      </c>
      <c r="J120" s="169">
        <f>VLOOKUP(A120,'Эшелоны результат'!$A$3:$H$283,8,FALSE)</f>
        <v>1</v>
      </c>
      <c r="L120"/>
    </row>
    <row r="121" spans="1:12" ht="15" x14ac:dyDescent="0.25">
      <c r="A121" s="164" t="s">
        <v>618</v>
      </c>
      <c r="B121" s="165" t="s">
        <v>495</v>
      </c>
      <c r="C121" s="165" t="s">
        <v>553</v>
      </c>
      <c r="D121" s="166">
        <v>985618850.72000003</v>
      </c>
      <c r="E121" s="165" t="s">
        <v>163</v>
      </c>
      <c r="F121" s="170" t="str">
        <f>VLOOKUP(E121,'Справочник отрасли'!$A:$D,4,0)</f>
        <v>ОФЗ</v>
      </c>
      <c r="G121" s="168">
        <f t="shared" si="13"/>
        <v>1.2480031497561545E-2</v>
      </c>
      <c r="H121" s="109" t="s">
        <v>77</v>
      </c>
      <c r="I121" s="169" t="e">
        <f>VLOOKUP(C121,'Справочник отрасли'!$J$6:$K$34,2,0)</f>
        <v>#N/A</v>
      </c>
      <c r="J121" s="169">
        <f>VLOOKUP(A121,'Эшелоны результат'!$A$3:$H$283,8,FALSE)</f>
        <v>1</v>
      </c>
      <c r="L121"/>
    </row>
    <row r="122" spans="1:12" ht="15" x14ac:dyDescent="0.25">
      <c r="A122" s="164"/>
      <c r="B122" s="165"/>
      <c r="C122" s="165"/>
      <c r="D122" s="166"/>
      <c r="E122" s="165"/>
      <c r="F122" s="170"/>
      <c r="G122" s="168"/>
      <c r="H122" s="167"/>
      <c r="I122" s="169"/>
      <c r="J122" s="169"/>
      <c r="L122"/>
    </row>
    <row r="123" spans="1:12" ht="15" x14ac:dyDescent="0.25">
      <c r="A123" s="164"/>
      <c r="B123" s="165"/>
      <c r="C123" s="165"/>
      <c r="D123" s="166"/>
      <c r="E123" s="165"/>
      <c r="F123" s="170"/>
      <c r="G123" s="168"/>
      <c r="H123" s="109"/>
      <c r="I123" s="169"/>
      <c r="J123" s="169"/>
      <c r="L123"/>
    </row>
    <row r="124" spans="1:12" ht="15" x14ac:dyDescent="0.25">
      <c r="A124" s="164"/>
      <c r="B124" s="165"/>
      <c r="C124" s="165"/>
      <c r="D124" s="166"/>
      <c r="E124" s="165"/>
      <c r="F124" s="170"/>
      <c r="G124" s="168"/>
      <c r="H124" s="109"/>
      <c r="I124" s="169"/>
      <c r="J124" s="169"/>
      <c r="L124"/>
    </row>
    <row r="125" spans="1:12" ht="15" x14ac:dyDescent="0.25">
      <c r="A125" s="164"/>
      <c r="B125" s="165"/>
      <c r="C125" s="165"/>
      <c r="D125" s="166"/>
      <c r="E125" s="165"/>
      <c r="F125" s="170"/>
      <c r="G125" s="168"/>
      <c r="H125" s="167"/>
      <c r="I125" s="169"/>
      <c r="J125" s="169"/>
      <c r="L125"/>
    </row>
    <row r="126" spans="1:12" ht="15" x14ac:dyDescent="0.25">
      <c r="A126" s="164"/>
      <c r="B126" s="165"/>
      <c r="C126" s="165"/>
      <c r="D126" s="166"/>
      <c r="E126" s="165"/>
      <c r="F126" s="170"/>
      <c r="G126" s="168"/>
      <c r="H126" s="167"/>
      <c r="I126" s="169"/>
      <c r="J126" s="169"/>
      <c r="L126"/>
    </row>
    <row r="127" spans="1:12" ht="15" x14ac:dyDescent="0.25">
      <c r="A127" s="164"/>
      <c r="B127" s="165"/>
      <c r="C127" s="165"/>
      <c r="D127" s="166"/>
      <c r="E127" s="165"/>
      <c r="F127" s="170"/>
      <c r="G127" s="168"/>
      <c r="H127" s="167"/>
      <c r="I127" s="169"/>
      <c r="J127" s="169"/>
      <c r="L127"/>
    </row>
    <row r="128" spans="1:12" ht="15" x14ac:dyDescent="0.25">
      <c r="A128" s="164"/>
      <c r="B128" s="165"/>
      <c r="C128" s="165"/>
      <c r="D128" s="166"/>
      <c r="E128" s="165"/>
      <c r="F128" s="170"/>
      <c r="G128" s="168"/>
      <c r="H128" s="167"/>
      <c r="I128" s="169"/>
      <c r="J128" s="169"/>
      <c r="L128"/>
    </row>
    <row r="129" spans="1:12" ht="15" x14ac:dyDescent="0.25">
      <c r="A129" s="164"/>
      <c r="B129" s="165"/>
      <c r="C129" s="165"/>
      <c r="D129" s="166"/>
      <c r="E129" s="165"/>
      <c r="F129" s="170"/>
      <c r="G129" s="168"/>
      <c r="H129" s="167"/>
      <c r="I129" s="169"/>
      <c r="J129" s="169"/>
      <c r="L129"/>
    </row>
    <row r="130" spans="1:12" ht="15" x14ac:dyDescent="0.25">
      <c r="A130" s="164"/>
      <c r="B130" s="165"/>
      <c r="C130" s="165"/>
      <c r="D130" s="166"/>
      <c r="E130" s="165"/>
      <c r="F130" s="170"/>
      <c r="G130" s="168"/>
      <c r="H130" s="167"/>
      <c r="I130" s="169"/>
      <c r="J130" s="169"/>
      <c r="L130"/>
    </row>
    <row r="135" spans="1:12" ht="15" x14ac:dyDescent="0.25">
      <c r="D135" s="143"/>
      <c r="K135"/>
    </row>
    <row r="136" spans="1:12" ht="15" x14ac:dyDescent="0.25">
      <c r="K136"/>
    </row>
    <row r="137" spans="1:12" ht="15" x14ac:dyDescent="0.25">
      <c r="K137"/>
    </row>
    <row r="138" spans="1:12" ht="15" x14ac:dyDescent="0.25">
      <c r="K138"/>
    </row>
    <row r="139" spans="1:12" ht="15" x14ac:dyDescent="0.25">
      <c r="K139"/>
    </row>
    <row r="140" spans="1:12" ht="15" x14ac:dyDescent="0.25"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</sheetData>
  <autoFilter ref="A25:V125"/>
  <dataConsolidate/>
  <mergeCells count="6">
    <mergeCell ref="E7:G7"/>
    <mergeCell ref="K1:N1"/>
    <mergeCell ref="I2:J2"/>
    <mergeCell ref="L6:N6"/>
    <mergeCell ref="P6:R6"/>
    <mergeCell ref="E1:G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5"/>
  <sheetViews>
    <sheetView workbookViewId="0">
      <selection activeCell="F16" sqref="F16"/>
    </sheetView>
  </sheetViews>
  <sheetFormatPr defaultRowHeight="15" x14ac:dyDescent="0.25"/>
  <cols>
    <col min="1" max="1" width="28.7109375" style="206" customWidth="1"/>
    <col min="2" max="2" width="34.85546875" style="206" customWidth="1"/>
    <col min="3" max="3" width="19.140625" style="206" customWidth="1"/>
    <col min="4" max="4" width="29.5703125" style="206" customWidth="1"/>
    <col min="5" max="6" width="9.140625" style="205"/>
    <col min="7" max="7" width="16.28515625" customWidth="1"/>
    <col min="10" max="10" width="22.42578125" customWidth="1"/>
  </cols>
  <sheetData>
    <row r="1" spans="1:11" x14ac:dyDescent="0.25">
      <c r="A1" s="206" t="s">
        <v>205</v>
      </c>
      <c r="B1" s="206" t="s">
        <v>277</v>
      </c>
      <c r="C1" s="206" t="s">
        <v>215</v>
      </c>
      <c r="D1" s="206" t="s">
        <v>276</v>
      </c>
      <c r="G1" s="242" t="s">
        <v>461</v>
      </c>
      <c r="H1" s="242"/>
      <c r="I1" s="242"/>
      <c r="J1" s="242"/>
      <c r="K1" s="242"/>
    </row>
    <row r="2" spans="1:11" ht="15" customHeight="1" x14ac:dyDescent="0.25">
      <c r="A2" s="13" t="s">
        <v>153</v>
      </c>
      <c r="B2" s="13" t="s">
        <v>204</v>
      </c>
      <c r="C2" s="13"/>
      <c r="D2" s="13" t="s">
        <v>204</v>
      </c>
      <c r="G2" s="242"/>
      <c r="H2" s="242"/>
      <c r="I2" s="242"/>
      <c r="J2" s="242"/>
      <c r="K2" s="242"/>
    </row>
    <row r="3" spans="1:11" x14ac:dyDescent="0.25">
      <c r="A3" s="13" t="s">
        <v>105</v>
      </c>
      <c r="B3" s="13" t="s">
        <v>209</v>
      </c>
      <c r="C3" s="13"/>
      <c r="D3" s="13" t="s">
        <v>223</v>
      </c>
      <c r="G3" s="242"/>
      <c r="H3" s="242"/>
      <c r="I3" s="242"/>
      <c r="J3" s="242"/>
      <c r="K3" s="242"/>
    </row>
    <row r="4" spans="1:11" x14ac:dyDescent="0.25">
      <c r="A4" s="13" t="s">
        <v>150</v>
      </c>
      <c r="B4" s="13" t="s">
        <v>209</v>
      </c>
      <c r="C4" s="13"/>
      <c r="D4" s="13" t="s">
        <v>223</v>
      </c>
      <c r="G4" s="241" t="s">
        <v>463</v>
      </c>
      <c r="H4" s="241"/>
      <c r="J4" s="241" t="s">
        <v>464</v>
      </c>
      <c r="K4" s="241"/>
    </row>
    <row r="5" spans="1:11" x14ac:dyDescent="0.25">
      <c r="A5" s="13" t="s">
        <v>104</v>
      </c>
      <c r="B5" s="13" t="s">
        <v>209</v>
      </c>
      <c r="C5" s="13"/>
      <c r="D5" s="13" t="s">
        <v>223</v>
      </c>
      <c r="G5" t="s">
        <v>290</v>
      </c>
      <c r="H5" t="s">
        <v>305</v>
      </c>
      <c r="J5" t="str">
        <f>G5</f>
        <v>Наименование инструмента</v>
      </c>
      <c r="K5" t="s">
        <v>305</v>
      </c>
    </row>
    <row r="6" spans="1:11" ht="15" customHeight="1" x14ac:dyDescent="0.25">
      <c r="A6" s="13" t="s">
        <v>135</v>
      </c>
      <c r="B6" s="13" t="s">
        <v>219</v>
      </c>
      <c r="C6" s="13" t="s">
        <v>213</v>
      </c>
      <c r="D6" s="13" t="s">
        <v>267</v>
      </c>
      <c r="G6" s="5" t="s">
        <v>291</v>
      </c>
      <c r="H6" s="5">
        <v>1</v>
      </c>
      <c r="J6" s="5" t="s">
        <v>222</v>
      </c>
      <c r="K6" s="5">
        <v>1</v>
      </c>
    </row>
    <row r="7" spans="1:11" ht="15" customHeight="1" x14ac:dyDescent="0.25">
      <c r="A7" s="13" t="s">
        <v>145</v>
      </c>
      <c r="B7" s="13" t="s">
        <v>204</v>
      </c>
      <c r="C7" s="13"/>
      <c r="D7" s="13" t="s">
        <v>204</v>
      </c>
      <c r="G7" s="5" t="s">
        <v>292</v>
      </c>
      <c r="H7" s="5">
        <v>1</v>
      </c>
      <c r="J7" s="5" t="s">
        <v>232</v>
      </c>
      <c r="K7" s="5">
        <v>3</v>
      </c>
    </row>
    <row r="8" spans="1:11" ht="15" customHeight="1" x14ac:dyDescent="0.25">
      <c r="A8" s="13" t="s">
        <v>133</v>
      </c>
      <c r="B8" s="13" t="s">
        <v>208</v>
      </c>
      <c r="C8" s="13"/>
      <c r="D8" s="13" t="s">
        <v>247</v>
      </c>
      <c r="G8" s="5" t="s">
        <v>293</v>
      </c>
      <c r="H8" s="5">
        <v>1</v>
      </c>
      <c r="J8" s="5" t="s">
        <v>233</v>
      </c>
      <c r="K8" s="5">
        <v>1</v>
      </c>
    </row>
    <row r="9" spans="1:11" ht="15" customHeight="1" x14ac:dyDescent="0.25">
      <c r="A9" s="13" t="s">
        <v>134</v>
      </c>
      <c r="B9" s="13" t="s">
        <v>219</v>
      </c>
      <c r="C9" s="13" t="s">
        <v>210</v>
      </c>
      <c r="D9" s="13" t="s">
        <v>260</v>
      </c>
      <c r="G9" s="5" t="s">
        <v>294</v>
      </c>
      <c r="H9" s="5">
        <v>1</v>
      </c>
      <c r="J9" s="5" t="s">
        <v>224</v>
      </c>
      <c r="K9" s="5">
        <v>2</v>
      </c>
    </row>
    <row r="10" spans="1:11" ht="15" customHeight="1" x14ac:dyDescent="0.25">
      <c r="A10" s="13" t="s">
        <v>136</v>
      </c>
      <c r="B10" s="13" t="s">
        <v>211</v>
      </c>
      <c r="C10" s="13"/>
      <c r="D10" s="13" t="s">
        <v>211</v>
      </c>
      <c r="G10" s="5" t="s">
        <v>295</v>
      </c>
      <c r="H10" s="5">
        <v>1</v>
      </c>
      <c r="J10" s="5" t="s">
        <v>225</v>
      </c>
      <c r="K10" s="5">
        <v>1</v>
      </c>
    </row>
    <row r="11" spans="1:11" ht="15" customHeight="1" x14ac:dyDescent="0.25">
      <c r="A11" s="13" t="s">
        <v>137</v>
      </c>
      <c r="B11" s="13" t="s">
        <v>204</v>
      </c>
      <c r="C11" s="13"/>
      <c r="D11" s="13" t="s">
        <v>204</v>
      </c>
      <c r="G11" s="5" t="s">
        <v>296</v>
      </c>
      <c r="H11" s="5">
        <v>1</v>
      </c>
      <c r="J11" s="5" t="s">
        <v>234</v>
      </c>
      <c r="K11" s="5">
        <v>2</v>
      </c>
    </row>
    <row r="12" spans="1:11" ht="15" customHeight="1" x14ac:dyDescent="0.25">
      <c r="A12" s="13" t="s">
        <v>138</v>
      </c>
      <c r="B12" s="13" t="s">
        <v>204</v>
      </c>
      <c r="C12" s="13"/>
      <c r="D12" s="13" t="s">
        <v>204</v>
      </c>
      <c r="G12" s="5" t="s">
        <v>297</v>
      </c>
      <c r="H12" s="5">
        <v>1</v>
      </c>
      <c r="J12" s="5" t="s">
        <v>235</v>
      </c>
      <c r="K12" s="5">
        <v>1</v>
      </c>
    </row>
    <row r="13" spans="1:11" ht="15" customHeight="1" x14ac:dyDescent="0.25">
      <c r="A13" s="13" t="s">
        <v>139</v>
      </c>
      <c r="B13" s="13" t="s">
        <v>219</v>
      </c>
      <c r="C13" s="13" t="s">
        <v>210</v>
      </c>
      <c r="D13" s="13" t="s">
        <v>260</v>
      </c>
      <c r="G13" s="5" t="s">
        <v>298</v>
      </c>
      <c r="H13" s="5">
        <v>1</v>
      </c>
      <c r="J13" s="5" t="s">
        <v>236</v>
      </c>
      <c r="K13" s="5">
        <v>2</v>
      </c>
    </row>
    <row r="14" spans="1:11" ht="15" customHeight="1" x14ac:dyDescent="0.25">
      <c r="A14" s="13" t="s">
        <v>101</v>
      </c>
      <c r="B14" s="13" t="s">
        <v>226</v>
      </c>
      <c r="C14" s="13"/>
      <c r="D14" s="13" t="s">
        <v>262</v>
      </c>
      <c r="G14" s="5" t="s">
        <v>299</v>
      </c>
      <c r="H14" s="5">
        <v>1</v>
      </c>
      <c r="J14" s="5" t="s">
        <v>237</v>
      </c>
      <c r="K14" s="5">
        <v>2</v>
      </c>
    </row>
    <row r="15" spans="1:11" ht="15" customHeight="1" x14ac:dyDescent="0.25">
      <c r="A15" s="13" t="s">
        <v>140</v>
      </c>
      <c r="B15" s="13" t="s">
        <v>211</v>
      </c>
      <c r="C15" s="13"/>
      <c r="D15" s="13" t="s">
        <v>211</v>
      </c>
      <c r="G15" s="5" t="s">
        <v>300</v>
      </c>
      <c r="H15" s="5">
        <v>1</v>
      </c>
      <c r="I15" s="2"/>
      <c r="J15" s="5" t="s">
        <v>238</v>
      </c>
      <c r="K15" s="5">
        <v>2</v>
      </c>
    </row>
    <row r="16" spans="1:11" ht="15" customHeight="1" x14ac:dyDescent="0.25">
      <c r="A16" s="13" t="s">
        <v>141</v>
      </c>
      <c r="B16" s="13" t="s">
        <v>219</v>
      </c>
      <c r="C16" s="13" t="s">
        <v>210</v>
      </c>
      <c r="D16" s="13" t="s">
        <v>260</v>
      </c>
      <c r="G16" s="5" t="s">
        <v>301</v>
      </c>
      <c r="H16" s="5">
        <v>1</v>
      </c>
      <c r="J16" s="5" t="s">
        <v>229</v>
      </c>
      <c r="K16" s="5">
        <v>2</v>
      </c>
    </row>
    <row r="17" spans="1:11" ht="15" customHeight="1" x14ac:dyDescent="0.25">
      <c r="A17" s="13" t="s">
        <v>142</v>
      </c>
      <c r="B17" s="13" t="s">
        <v>219</v>
      </c>
      <c r="C17" s="13" t="s">
        <v>214</v>
      </c>
      <c r="D17" s="13" t="s">
        <v>267</v>
      </c>
      <c r="G17" s="5" t="s">
        <v>302</v>
      </c>
      <c r="H17" s="5">
        <v>1</v>
      </c>
      <c r="J17" s="5" t="s">
        <v>230</v>
      </c>
      <c r="K17" s="5">
        <v>3</v>
      </c>
    </row>
    <row r="18" spans="1:11" ht="15" customHeight="1" x14ac:dyDescent="0.25">
      <c r="A18" s="13" t="s">
        <v>143</v>
      </c>
      <c r="B18" s="13" t="s">
        <v>226</v>
      </c>
      <c r="C18" s="13"/>
      <c r="D18" s="13" t="s">
        <v>262</v>
      </c>
      <c r="G18" s="5" t="s">
        <v>303</v>
      </c>
      <c r="H18" s="5">
        <v>1</v>
      </c>
      <c r="J18" s="5" t="s">
        <v>239</v>
      </c>
      <c r="K18" s="5">
        <v>2</v>
      </c>
    </row>
    <row r="19" spans="1:11" ht="15" customHeight="1" x14ac:dyDescent="0.25">
      <c r="A19" s="13" t="s">
        <v>144</v>
      </c>
      <c r="B19" s="13" t="s">
        <v>220</v>
      </c>
      <c r="C19" s="13"/>
      <c r="D19" s="13" t="s">
        <v>246</v>
      </c>
      <c r="G19" s="5" t="s">
        <v>304</v>
      </c>
      <c r="H19" s="5">
        <v>1</v>
      </c>
      <c r="J19" s="5" t="s">
        <v>240</v>
      </c>
      <c r="K19" s="5">
        <v>1</v>
      </c>
    </row>
    <row r="20" spans="1:11" ht="15" customHeight="1" x14ac:dyDescent="0.25">
      <c r="A20" s="13" t="s">
        <v>146</v>
      </c>
      <c r="B20" s="13" t="s">
        <v>204</v>
      </c>
      <c r="C20" s="13"/>
      <c r="D20" s="13" t="s">
        <v>204</v>
      </c>
      <c r="G20" s="5" t="s">
        <v>306</v>
      </c>
      <c r="H20" s="5">
        <v>2</v>
      </c>
      <c r="J20" s="5" t="s">
        <v>338</v>
      </c>
      <c r="K20" s="5">
        <v>2</v>
      </c>
    </row>
    <row r="21" spans="1:11" ht="15" customHeight="1" x14ac:dyDescent="0.25">
      <c r="A21" s="13" t="s">
        <v>147</v>
      </c>
      <c r="B21" s="13" t="s">
        <v>204</v>
      </c>
      <c r="C21" s="13"/>
      <c r="D21" s="13" t="s">
        <v>204</v>
      </c>
      <c r="G21" s="5" t="s">
        <v>307</v>
      </c>
      <c r="H21" s="5">
        <v>2</v>
      </c>
      <c r="J21" s="5" t="s">
        <v>342</v>
      </c>
      <c r="K21" s="5">
        <v>1</v>
      </c>
    </row>
    <row r="22" spans="1:11" ht="15" customHeight="1" x14ac:dyDescent="0.25">
      <c r="A22" s="13" t="s">
        <v>148</v>
      </c>
      <c r="B22" s="13" t="s">
        <v>211</v>
      </c>
      <c r="C22" s="13"/>
      <c r="D22" s="13" t="s">
        <v>211</v>
      </c>
      <c r="G22" s="5" t="s">
        <v>308</v>
      </c>
      <c r="H22" s="5">
        <v>2</v>
      </c>
      <c r="J22" s="5" t="s">
        <v>410</v>
      </c>
      <c r="K22" s="5">
        <v>1</v>
      </c>
    </row>
    <row r="23" spans="1:11" ht="15" customHeight="1" x14ac:dyDescent="0.25">
      <c r="A23" s="13" t="s">
        <v>100</v>
      </c>
      <c r="B23" s="13" t="s">
        <v>219</v>
      </c>
      <c r="C23" s="13" t="s">
        <v>214</v>
      </c>
      <c r="D23" s="13" t="s">
        <v>267</v>
      </c>
      <c r="G23" s="5" t="s">
        <v>309</v>
      </c>
      <c r="H23" s="5">
        <v>2</v>
      </c>
      <c r="J23" s="5" t="s">
        <v>411</v>
      </c>
      <c r="K23" s="5">
        <v>1</v>
      </c>
    </row>
    <row r="24" spans="1:11" ht="15" customHeight="1" x14ac:dyDescent="0.25">
      <c r="A24" s="13" t="s">
        <v>149</v>
      </c>
      <c r="B24" s="13" t="s">
        <v>204</v>
      </c>
      <c r="C24" s="13"/>
      <c r="D24" s="13" t="s">
        <v>204</v>
      </c>
      <c r="G24" s="5" t="s">
        <v>310</v>
      </c>
      <c r="H24" s="5">
        <v>2</v>
      </c>
      <c r="J24" s="5" t="s">
        <v>412</v>
      </c>
      <c r="K24" s="5">
        <v>1</v>
      </c>
    </row>
    <row r="25" spans="1:11" x14ac:dyDescent="0.25">
      <c r="A25" s="13" t="s">
        <v>151</v>
      </c>
      <c r="B25" s="13" t="s">
        <v>209</v>
      </c>
      <c r="C25" s="13"/>
      <c r="D25" s="13" t="s">
        <v>223</v>
      </c>
      <c r="G25" s="5" t="s">
        <v>212</v>
      </c>
      <c r="H25" s="5">
        <v>2</v>
      </c>
      <c r="J25" s="5" t="s">
        <v>481</v>
      </c>
      <c r="K25" s="5">
        <v>2</v>
      </c>
    </row>
    <row r="26" spans="1:11" ht="15" customHeight="1" x14ac:dyDescent="0.25">
      <c r="A26" s="13" t="s">
        <v>152</v>
      </c>
      <c r="B26" s="13" t="s">
        <v>219</v>
      </c>
      <c r="C26" s="13" t="s">
        <v>213</v>
      </c>
      <c r="D26" s="13" t="s">
        <v>267</v>
      </c>
      <c r="G26" s="5" t="s">
        <v>311</v>
      </c>
      <c r="H26" s="5">
        <v>2</v>
      </c>
      <c r="J26" s="5" t="s">
        <v>482</v>
      </c>
      <c r="K26" s="5">
        <v>1</v>
      </c>
    </row>
    <row r="27" spans="1:11" ht="15" customHeight="1" x14ac:dyDescent="0.25">
      <c r="A27" s="13" t="s">
        <v>154</v>
      </c>
      <c r="B27" s="13" t="s">
        <v>204</v>
      </c>
      <c r="C27" s="13"/>
      <c r="D27" s="13" t="s">
        <v>204</v>
      </c>
      <c r="G27" s="5" t="s">
        <v>312</v>
      </c>
      <c r="H27" s="5">
        <v>2</v>
      </c>
    </row>
    <row r="28" spans="1:11" ht="15" customHeight="1" x14ac:dyDescent="0.25">
      <c r="A28" s="13" t="s">
        <v>196</v>
      </c>
      <c r="B28" s="13" t="s">
        <v>208</v>
      </c>
      <c r="C28" s="13"/>
      <c r="D28" s="13" t="s">
        <v>247</v>
      </c>
      <c r="G28" s="5" t="s">
        <v>313</v>
      </c>
      <c r="H28" s="5">
        <v>2</v>
      </c>
    </row>
    <row r="29" spans="1:11" ht="15" customHeight="1" x14ac:dyDescent="0.25">
      <c r="A29" s="13" t="s">
        <v>155</v>
      </c>
      <c r="B29" s="13" t="s">
        <v>204</v>
      </c>
      <c r="C29" s="13"/>
      <c r="D29" s="13" t="s">
        <v>204</v>
      </c>
      <c r="G29" s="5" t="s">
        <v>314</v>
      </c>
      <c r="H29" s="5">
        <v>2</v>
      </c>
    </row>
    <row r="30" spans="1:11" ht="15" customHeight="1" x14ac:dyDescent="0.25">
      <c r="A30" s="13" t="s">
        <v>197</v>
      </c>
      <c r="B30" s="13" t="s">
        <v>217</v>
      </c>
      <c r="C30" s="13"/>
      <c r="D30" s="13" t="s">
        <v>273</v>
      </c>
      <c r="G30" s="5" t="s">
        <v>315</v>
      </c>
      <c r="H30" s="5">
        <v>2</v>
      </c>
    </row>
    <row r="31" spans="1:11" ht="15" customHeight="1" x14ac:dyDescent="0.25">
      <c r="A31" s="13" t="s">
        <v>8</v>
      </c>
      <c r="B31" s="13" t="s">
        <v>208</v>
      </c>
      <c r="C31" s="13"/>
      <c r="D31" s="13" t="s">
        <v>247</v>
      </c>
      <c r="G31" s="5" t="s">
        <v>316</v>
      </c>
      <c r="H31" s="5">
        <v>2</v>
      </c>
    </row>
    <row r="32" spans="1:11" ht="15" customHeight="1" x14ac:dyDescent="0.25">
      <c r="A32" s="13" t="s">
        <v>156</v>
      </c>
      <c r="B32" s="13" t="s">
        <v>204</v>
      </c>
      <c r="C32" s="13"/>
      <c r="D32" s="13" t="s">
        <v>204</v>
      </c>
      <c r="G32" s="5" t="s">
        <v>317</v>
      </c>
      <c r="H32" s="5">
        <v>2</v>
      </c>
    </row>
    <row r="33" spans="1:8" ht="15" customHeight="1" x14ac:dyDescent="0.25">
      <c r="A33" s="13" t="s">
        <v>157</v>
      </c>
      <c r="B33" s="13" t="s">
        <v>217</v>
      </c>
      <c r="C33" s="13"/>
      <c r="D33" s="13" t="s">
        <v>273</v>
      </c>
      <c r="G33" s="5" t="s">
        <v>318</v>
      </c>
      <c r="H33" s="5">
        <v>2</v>
      </c>
    </row>
    <row r="34" spans="1:8" ht="15" customHeight="1" x14ac:dyDescent="0.25">
      <c r="A34" s="13" t="s">
        <v>198</v>
      </c>
      <c r="B34" s="13" t="s">
        <v>204</v>
      </c>
      <c r="C34" s="13"/>
      <c r="D34" s="13" t="s">
        <v>204</v>
      </c>
      <c r="G34" s="5" t="s">
        <v>319</v>
      </c>
      <c r="H34" s="5">
        <v>2</v>
      </c>
    </row>
    <row r="35" spans="1:8" ht="15" customHeight="1" x14ac:dyDescent="0.25">
      <c r="A35" s="13" t="s">
        <v>160</v>
      </c>
      <c r="B35" s="13" t="s">
        <v>217</v>
      </c>
      <c r="C35" s="13"/>
      <c r="D35" s="13" t="s">
        <v>273</v>
      </c>
      <c r="G35" s="5" t="s">
        <v>320</v>
      </c>
      <c r="H35" s="5">
        <v>3</v>
      </c>
    </row>
    <row r="36" spans="1:8" ht="15" customHeight="1" x14ac:dyDescent="0.25">
      <c r="A36" s="13" t="s">
        <v>199</v>
      </c>
      <c r="B36" s="13" t="s">
        <v>204</v>
      </c>
      <c r="C36" s="13"/>
      <c r="D36" s="13" t="s">
        <v>204</v>
      </c>
      <c r="G36" s="5" t="s">
        <v>321</v>
      </c>
      <c r="H36" s="5">
        <v>2</v>
      </c>
    </row>
    <row r="37" spans="1:8" x14ac:dyDescent="0.25">
      <c r="A37" s="13" t="s">
        <v>200</v>
      </c>
      <c r="B37" s="13" t="s">
        <v>209</v>
      </c>
      <c r="C37" s="13"/>
      <c r="D37" s="13" t="s">
        <v>223</v>
      </c>
      <c r="G37" s="5" t="s">
        <v>322</v>
      </c>
      <c r="H37" s="5">
        <v>3</v>
      </c>
    </row>
    <row r="38" spans="1:8" ht="15" customHeight="1" x14ac:dyDescent="0.25">
      <c r="A38" s="13" t="s">
        <v>201</v>
      </c>
      <c r="B38" s="13" t="s">
        <v>217</v>
      </c>
      <c r="C38" s="13"/>
      <c r="D38" s="13" t="s">
        <v>273</v>
      </c>
      <c r="G38" s="5" t="s">
        <v>323</v>
      </c>
      <c r="H38" s="5">
        <v>3</v>
      </c>
    </row>
    <row r="39" spans="1:8" ht="15" customHeight="1" x14ac:dyDescent="0.25">
      <c r="A39" s="13" t="s">
        <v>161</v>
      </c>
      <c r="B39" s="13" t="s">
        <v>208</v>
      </c>
      <c r="C39" s="13"/>
      <c r="D39" s="13" t="s">
        <v>247</v>
      </c>
      <c r="G39" s="5" t="s">
        <v>324</v>
      </c>
      <c r="H39" s="5">
        <v>3</v>
      </c>
    </row>
    <row r="40" spans="1:8" ht="15" customHeight="1" x14ac:dyDescent="0.25">
      <c r="A40" s="13" t="s">
        <v>6</v>
      </c>
      <c r="B40" s="13" t="s">
        <v>208</v>
      </c>
      <c r="C40" s="13"/>
      <c r="D40" s="13" t="s">
        <v>247</v>
      </c>
      <c r="G40" s="5" t="s">
        <v>325</v>
      </c>
      <c r="H40" s="5">
        <v>3</v>
      </c>
    </row>
    <row r="41" spans="1:8" ht="15" customHeight="1" x14ac:dyDescent="0.25">
      <c r="A41" s="13" t="s">
        <v>7</v>
      </c>
      <c r="B41" s="13" t="s">
        <v>207</v>
      </c>
      <c r="C41" s="13"/>
      <c r="D41" s="13" t="s">
        <v>252</v>
      </c>
      <c r="G41" s="5" t="s">
        <v>326</v>
      </c>
      <c r="H41" s="5">
        <v>3</v>
      </c>
    </row>
    <row r="42" spans="1:8" ht="15" customHeight="1" x14ac:dyDescent="0.25">
      <c r="A42" s="13" t="s">
        <v>158</v>
      </c>
      <c r="B42" s="13" t="s">
        <v>204</v>
      </c>
      <c r="C42" s="13"/>
      <c r="D42" s="13" t="s">
        <v>204</v>
      </c>
      <c r="G42" s="5" t="s">
        <v>327</v>
      </c>
      <c r="H42" s="5">
        <v>3</v>
      </c>
    </row>
    <row r="43" spans="1:8" ht="15" customHeight="1" x14ac:dyDescent="0.25">
      <c r="A43" s="13" t="s">
        <v>159</v>
      </c>
      <c r="B43" s="13" t="s">
        <v>204</v>
      </c>
      <c r="C43" s="13"/>
      <c r="D43" s="13" t="s">
        <v>204</v>
      </c>
      <c r="G43" s="5" t="s">
        <v>328</v>
      </c>
      <c r="H43" s="5">
        <v>3</v>
      </c>
    </row>
    <row r="44" spans="1:8" ht="15" customHeight="1" x14ac:dyDescent="0.25">
      <c r="A44" s="13" t="s">
        <v>162</v>
      </c>
      <c r="B44" s="13" t="s">
        <v>216</v>
      </c>
      <c r="C44" s="13"/>
      <c r="D44" s="13" t="s">
        <v>266</v>
      </c>
      <c r="G44" s="5" t="s">
        <v>329</v>
      </c>
      <c r="H44" s="5">
        <v>3</v>
      </c>
    </row>
    <row r="45" spans="1:8" ht="15" customHeight="1" x14ac:dyDescent="0.25">
      <c r="A45" s="13" t="s">
        <v>163</v>
      </c>
      <c r="B45" s="13" t="s">
        <v>218</v>
      </c>
      <c r="C45" s="13"/>
      <c r="D45" s="13" t="s">
        <v>218</v>
      </c>
      <c r="G45" s="5" t="s">
        <v>330</v>
      </c>
      <c r="H45" s="5">
        <v>3</v>
      </c>
    </row>
    <row r="46" spans="1:8" x14ac:dyDescent="0.25">
      <c r="A46" s="13" t="s">
        <v>126</v>
      </c>
      <c r="B46" s="13" t="s">
        <v>209</v>
      </c>
      <c r="C46" s="13"/>
      <c r="D46" s="13" t="s">
        <v>223</v>
      </c>
    </row>
    <row r="47" spans="1:8" ht="15" customHeight="1" x14ac:dyDescent="0.25">
      <c r="A47" s="13" t="s">
        <v>212</v>
      </c>
      <c r="B47" s="13" t="s">
        <v>219</v>
      </c>
      <c r="C47" s="13" t="s">
        <v>213</v>
      </c>
      <c r="D47" s="13" t="s">
        <v>267</v>
      </c>
    </row>
    <row r="48" spans="1:8" ht="15" customHeight="1" x14ac:dyDescent="0.25">
      <c r="A48" s="13" t="s">
        <v>340</v>
      </c>
      <c r="B48" s="13" t="s">
        <v>219</v>
      </c>
      <c r="C48" s="13" t="s">
        <v>213</v>
      </c>
      <c r="D48" s="13" t="s">
        <v>267</v>
      </c>
    </row>
    <row r="49" spans="1:4" ht="15" customHeight="1" x14ac:dyDescent="0.25">
      <c r="A49" s="13" t="s">
        <v>244</v>
      </c>
      <c r="B49" s="13" t="s">
        <v>209</v>
      </c>
      <c r="C49" s="13" t="s">
        <v>279</v>
      </c>
      <c r="D49" s="13" t="s">
        <v>223</v>
      </c>
    </row>
    <row r="50" spans="1:4" ht="15" customHeight="1" x14ac:dyDescent="0.25">
      <c r="A50" s="13" t="s">
        <v>245</v>
      </c>
      <c r="B50" s="13" t="s">
        <v>209</v>
      </c>
      <c r="C50" s="13" t="s">
        <v>278</v>
      </c>
      <c r="D50" s="13" t="s">
        <v>223</v>
      </c>
    </row>
    <row r="51" spans="1:4" ht="30" x14ac:dyDescent="0.25">
      <c r="A51" s="13" t="s">
        <v>231</v>
      </c>
      <c r="B51" s="13" t="s">
        <v>219</v>
      </c>
      <c r="C51" s="13" t="s">
        <v>280</v>
      </c>
      <c r="D51" s="13" t="s">
        <v>260</v>
      </c>
    </row>
    <row r="52" spans="1:4" ht="30" x14ac:dyDescent="0.25">
      <c r="A52" s="13" t="s">
        <v>241</v>
      </c>
      <c r="B52" s="13"/>
      <c r="C52" s="13" t="s">
        <v>228</v>
      </c>
      <c r="D52" s="13" t="s">
        <v>266</v>
      </c>
    </row>
    <row r="53" spans="1:4" ht="30" x14ac:dyDescent="0.25">
      <c r="A53" s="13" t="s">
        <v>242</v>
      </c>
      <c r="B53" s="13"/>
      <c r="C53" s="13" t="s">
        <v>228</v>
      </c>
      <c r="D53" s="13" t="s">
        <v>266</v>
      </c>
    </row>
    <row r="54" spans="1:4" ht="30" x14ac:dyDescent="0.25">
      <c r="A54" s="13" t="s">
        <v>122</v>
      </c>
      <c r="B54" s="13"/>
      <c r="C54" s="13" t="s">
        <v>281</v>
      </c>
      <c r="D54" s="13" t="s">
        <v>223</v>
      </c>
    </row>
    <row r="55" spans="1:4" x14ac:dyDescent="0.25">
      <c r="A55" s="13" t="s">
        <v>124</v>
      </c>
      <c r="B55" s="13"/>
      <c r="C55" s="13"/>
      <c r="D55" s="13" t="s">
        <v>211</v>
      </c>
    </row>
    <row r="56" spans="1:4" x14ac:dyDescent="0.25">
      <c r="A56" s="13" t="s">
        <v>243</v>
      </c>
      <c r="B56" s="13"/>
      <c r="C56" s="13"/>
      <c r="D56" s="13" t="s">
        <v>262</v>
      </c>
    </row>
    <row r="57" spans="1:4" x14ac:dyDescent="0.25">
      <c r="A57" s="13" t="s">
        <v>337</v>
      </c>
      <c r="B57" s="13"/>
      <c r="C57" s="13"/>
      <c r="D57" s="13" t="s">
        <v>339</v>
      </c>
    </row>
    <row r="58" spans="1:4" ht="30" x14ac:dyDescent="0.25">
      <c r="A58" s="13" t="s">
        <v>343</v>
      </c>
      <c r="B58" s="13"/>
      <c r="C58" s="13"/>
      <c r="D58" s="13" t="s">
        <v>261</v>
      </c>
    </row>
    <row r="59" spans="1:4" ht="45" x14ac:dyDescent="0.25">
      <c r="A59" s="13" t="s">
        <v>341</v>
      </c>
      <c r="B59" s="13"/>
      <c r="C59" s="13"/>
      <c r="D59" s="13" t="s">
        <v>257</v>
      </c>
    </row>
    <row r="60" spans="1:4" x14ac:dyDescent="0.25">
      <c r="A60" s="13" t="s">
        <v>413</v>
      </c>
      <c r="B60" s="13"/>
      <c r="C60" s="13"/>
      <c r="D60" s="13" t="s">
        <v>227</v>
      </c>
    </row>
    <row r="61" spans="1:4" x14ac:dyDescent="0.25">
      <c r="A61" s="13" t="s">
        <v>125</v>
      </c>
      <c r="B61" s="13"/>
      <c r="C61" s="13"/>
      <c r="D61" s="13" t="s">
        <v>256</v>
      </c>
    </row>
    <row r="62" spans="1:4" x14ac:dyDescent="0.25">
      <c r="A62" s="13" t="s">
        <v>448</v>
      </c>
      <c r="B62" s="13"/>
      <c r="C62" s="13"/>
      <c r="D62" s="13" t="s">
        <v>204</v>
      </c>
    </row>
    <row r="63" spans="1:4" ht="30" x14ac:dyDescent="0.25">
      <c r="A63" s="13" t="s">
        <v>465</v>
      </c>
      <c r="B63" s="13" t="s">
        <v>216</v>
      </c>
      <c r="C63" s="13"/>
      <c r="D63" s="13" t="s">
        <v>266</v>
      </c>
    </row>
    <row r="64" spans="1:4" ht="45" x14ac:dyDescent="0.25">
      <c r="A64" s="13" t="s">
        <v>483</v>
      </c>
      <c r="B64" s="13"/>
      <c r="C64" s="13" t="s">
        <v>485</v>
      </c>
      <c r="D64" s="13" t="s">
        <v>260</v>
      </c>
    </row>
    <row r="65" spans="1:4" ht="30" x14ac:dyDescent="0.25">
      <c r="A65" s="13" t="s">
        <v>484</v>
      </c>
      <c r="B65" s="13"/>
      <c r="C65" s="13" t="s">
        <v>486</v>
      </c>
      <c r="D65" s="13" t="s">
        <v>260</v>
      </c>
    </row>
    <row r="66" spans="1:4" x14ac:dyDescent="0.25">
      <c r="A66" s="13" t="s">
        <v>479</v>
      </c>
      <c r="B66" s="13"/>
      <c r="C66" s="13"/>
      <c r="D66" s="13" t="s">
        <v>252</v>
      </c>
    </row>
    <row r="67" spans="1:4" x14ac:dyDescent="0.25">
      <c r="A67" s="13" t="s">
        <v>480</v>
      </c>
      <c r="B67" s="13"/>
      <c r="C67" s="13"/>
      <c r="D67" s="13" t="s">
        <v>204</v>
      </c>
    </row>
    <row r="72" spans="1:4" x14ac:dyDescent="0.25">
      <c r="A72" s="207" t="s">
        <v>462</v>
      </c>
    </row>
    <row r="73" spans="1:4" ht="45" x14ac:dyDescent="0.25">
      <c r="A73" s="206" t="s">
        <v>246</v>
      </c>
    </row>
    <row r="74" spans="1:4" x14ac:dyDescent="0.25">
      <c r="A74" s="206" t="s">
        <v>247</v>
      </c>
    </row>
    <row r="75" spans="1:4" x14ac:dyDescent="0.25">
      <c r="A75" s="206" t="s">
        <v>248</v>
      </c>
    </row>
    <row r="76" spans="1:4" x14ac:dyDescent="0.25">
      <c r="A76" s="206" t="s">
        <v>249</v>
      </c>
    </row>
    <row r="77" spans="1:4" x14ac:dyDescent="0.25">
      <c r="A77" s="206" t="s">
        <v>250</v>
      </c>
    </row>
    <row r="78" spans="1:4" x14ac:dyDescent="0.25">
      <c r="A78" s="206" t="s">
        <v>251</v>
      </c>
    </row>
    <row r="79" spans="1:4" x14ac:dyDescent="0.25">
      <c r="A79" s="206" t="s">
        <v>252</v>
      </c>
    </row>
    <row r="80" spans="1:4" ht="30" x14ac:dyDescent="0.25">
      <c r="A80" s="206" t="s">
        <v>253</v>
      </c>
    </row>
    <row r="81" spans="1:1" x14ac:dyDescent="0.25">
      <c r="A81" s="206" t="s">
        <v>254</v>
      </c>
    </row>
    <row r="82" spans="1:1" ht="30" x14ac:dyDescent="0.25">
      <c r="A82" s="206" t="s">
        <v>255</v>
      </c>
    </row>
    <row r="83" spans="1:1" x14ac:dyDescent="0.25">
      <c r="A83" s="206" t="s">
        <v>256</v>
      </c>
    </row>
    <row r="84" spans="1:1" x14ac:dyDescent="0.25">
      <c r="A84" s="206" t="s">
        <v>223</v>
      </c>
    </row>
    <row r="85" spans="1:1" ht="45" x14ac:dyDescent="0.25">
      <c r="A85" s="206" t="s">
        <v>257</v>
      </c>
    </row>
    <row r="86" spans="1:1" ht="45" x14ac:dyDescent="0.25">
      <c r="A86" s="206" t="s">
        <v>258</v>
      </c>
    </row>
    <row r="87" spans="1:1" x14ac:dyDescent="0.25">
      <c r="A87" s="206" t="s">
        <v>211</v>
      </c>
    </row>
    <row r="88" spans="1:1" ht="30" x14ac:dyDescent="0.25">
      <c r="A88" s="206" t="s">
        <v>259</v>
      </c>
    </row>
    <row r="89" spans="1:1" ht="30" x14ac:dyDescent="0.25">
      <c r="A89" s="206" t="s">
        <v>260</v>
      </c>
    </row>
    <row r="90" spans="1:1" ht="30" x14ac:dyDescent="0.25">
      <c r="A90" s="206" t="s">
        <v>261</v>
      </c>
    </row>
    <row r="91" spans="1:1" x14ac:dyDescent="0.25">
      <c r="A91" s="206" t="s">
        <v>262</v>
      </c>
    </row>
    <row r="92" spans="1:1" x14ac:dyDescent="0.25">
      <c r="A92" s="206" t="s">
        <v>263</v>
      </c>
    </row>
    <row r="93" spans="1:1" x14ac:dyDescent="0.25">
      <c r="A93" s="206" t="s">
        <v>264</v>
      </c>
    </row>
    <row r="94" spans="1:1" ht="30" x14ac:dyDescent="0.25">
      <c r="A94" s="206" t="s">
        <v>265</v>
      </c>
    </row>
    <row r="95" spans="1:1" ht="30" x14ac:dyDescent="0.25">
      <c r="A95" s="206" t="s">
        <v>266</v>
      </c>
    </row>
    <row r="96" spans="1:1" ht="30" x14ac:dyDescent="0.25">
      <c r="A96" s="206" t="s">
        <v>267</v>
      </c>
    </row>
    <row r="97" spans="1:1" ht="30" x14ac:dyDescent="0.25">
      <c r="A97" s="206" t="s">
        <v>268</v>
      </c>
    </row>
    <row r="98" spans="1:1" ht="30" x14ac:dyDescent="0.25">
      <c r="A98" s="206" t="s">
        <v>269</v>
      </c>
    </row>
    <row r="99" spans="1:1" x14ac:dyDescent="0.25">
      <c r="A99" s="206" t="s">
        <v>270</v>
      </c>
    </row>
    <row r="100" spans="1:1" x14ac:dyDescent="0.25">
      <c r="A100" s="206" t="s">
        <v>271</v>
      </c>
    </row>
    <row r="101" spans="1:1" x14ac:dyDescent="0.25">
      <c r="A101" s="206" t="s">
        <v>227</v>
      </c>
    </row>
    <row r="102" spans="1:1" ht="30" x14ac:dyDescent="0.25">
      <c r="A102" s="206" t="s">
        <v>272</v>
      </c>
    </row>
    <row r="103" spans="1:1" ht="30" x14ac:dyDescent="0.25">
      <c r="A103" s="206" t="s">
        <v>273</v>
      </c>
    </row>
    <row r="104" spans="1:1" ht="30" x14ac:dyDescent="0.25">
      <c r="A104" s="206" t="s">
        <v>274</v>
      </c>
    </row>
    <row r="105" spans="1:1" ht="45" x14ac:dyDescent="0.25">
      <c r="A105" s="206" t="s">
        <v>275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I12" sqref="I12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7"/>
    <col min="8" max="8" width="23.5703125" style="177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698</v>
      </c>
      <c r="B2" t="s">
        <v>344</v>
      </c>
      <c r="C2" t="s">
        <v>345</v>
      </c>
      <c r="D2" t="s">
        <v>346</v>
      </c>
      <c r="E2" t="s">
        <v>347</v>
      </c>
      <c r="F2" t="s">
        <v>348</v>
      </c>
      <c r="G2" s="177" t="s">
        <v>404</v>
      </c>
      <c r="H2" s="177" t="s">
        <v>305</v>
      </c>
    </row>
    <row r="3" spans="1:8" x14ac:dyDescent="0.25">
      <c r="A3" s="176" t="str">
        <f>'Инвест политика'!A26</f>
        <v>SBER</v>
      </c>
      <c r="B3" t="s">
        <v>414</v>
      </c>
      <c r="C3" s="180" t="s">
        <v>415</v>
      </c>
      <c r="D3" t="s">
        <v>416</v>
      </c>
      <c r="E3" t="s">
        <v>417</v>
      </c>
      <c r="F3" t="s">
        <v>418</v>
      </c>
      <c r="G3" s="177">
        <f>VLOOKUP(A3,'Инвест политика'!$A$26:$H$130,8,FALSE)</f>
        <v>0</v>
      </c>
      <c r="H3" s="177" t="str">
        <f>Эшелонирование(F3,G3,C3)</f>
        <v>Ошибка, не численные значения</v>
      </c>
    </row>
    <row r="4" spans="1:8" x14ac:dyDescent="0.25">
      <c r="A4" s="176" t="str">
        <f>'Инвест политика'!A27</f>
        <v>SNGS</v>
      </c>
      <c r="B4" t="s">
        <v>414</v>
      </c>
      <c r="C4" t="s">
        <v>419</v>
      </c>
      <c r="D4" t="s">
        <v>416</v>
      </c>
      <c r="E4" t="s">
        <v>417</v>
      </c>
      <c r="F4" t="s">
        <v>418</v>
      </c>
      <c r="G4" s="178">
        <f>VLOOKUP(A4,'Инвест политика'!$A$26:$H$130,8,FALSE)</f>
        <v>0</v>
      </c>
      <c r="H4" s="178" t="str">
        <f t="shared" ref="H4:H67" si="0">Эшелонирование(F4,G4,C4)</f>
        <v>Ошибка, не численные значения</v>
      </c>
    </row>
    <row r="5" spans="1:8" x14ac:dyDescent="0.25">
      <c r="A5" s="176" t="str">
        <f>'Инвест политика'!A28</f>
        <v>YNDX</v>
      </c>
      <c r="B5" t="s">
        <v>414</v>
      </c>
      <c r="C5" t="s">
        <v>419</v>
      </c>
      <c r="D5" t="s">
        <v>416</v>
      </c>
      <c r="E5" t="s">
        <v>417</v>
      </c>
      <c r="F5" t="s">
        <v>418</v>
      </c>
      <c r="G5" s="178">
        <f>VLOOKUP(A5,'Инвест политика'!$A$26:$H$130,8,FALSE)</f>
        <v>0</v>
      </c>
      <c r="H5" s="178" t="str">
        <f t="shared" si="0"/>
        <v>Ошибка, не численные значения</v>
      </c>
    </row>
    <row r="6" spans="1:8" x14ac:dyDescent="0.25">
      <c r="A6" s="176" t="str">
        <f>'Инвест политика'!A29</f>
        <v>NVTK</v>
      </c>
      <c r="B6" t="s">
        <v>414</v>
      </c>
      <c r="C6" t="s">
        <v>419</v>
      </c>
      <c r="D6" t="s">
        <v>416</v>
      </c>
      <c r="E6" t="s">
        <v>417</v>
      </c>
      <c r="F6" t="s">
        <v>418</v>
      </c>
      <c r="G6" s="178">
        <f>VLOOKUP(A6,'Инвест политика'!$A$26:$H$130,8,FALSE)</f>
        <v>0</v>
      </c>
      <c r="H6" s="178" t="str">
        <f t="shared" si="0"/>
        <v>Ошибка, не численные значения</v>
      </c>
    </row>
    <row r="7" spans="1:8" x14ac:dyDescent="0.25">
      <c r="A7" s="176" t="str">
        <f>'Инвест политика'!A30</f>
        <v>MAGN</v>
      </c>
      <c r="B7" t="s">
        <v>414</v>
      </c>
      <c r="C7" t="s">
        <v>419</v>
      </c>
      <c r="D7" t="s">
        <v>416</v>
      </c>
      <c r="E7" t="s">
        <v>417</v>
      </c>
      <c r="F7" t="s">
        <v>418</v>
      </c>
      <c r="G7" s="178">
        <f>VLOOKUP(A7,'Инвест политика'!$A$26:$H$130,8,FALSE)</f>
        <v>0</v>
      </c>
      <c r="H7" s="178" t="str">
        <f t="shared" si="0"/>
        <v>Ошибка, не численные значения</v>
      </c>
    </row>
    <row r="8" spans="1:8" x14ac:dyDescent="0.25">
      <c r="A8" s="176" t="str">
        <f>'Инвест политика'!A31</f>
        <v>NLMK</v>
      </c>
      <c r="B8" t="s">
        <v>414</v>
      </c>
      <c r="C8" t="s">
        <v>419</v>
      </c>
      <c r="D8" t="s">
        <v>416</v>
      </c>
      <c r="E8" t="s">
        <v>417</v>
      </c>
      <c r="F8" t="s">
        <v>418</v>
      </c>
      <c r="G8" s="178">
        <f>VLOOKUP(A8,'Инвест политика'!$A$26:$H$130,8,FALSE)</f>
        <v>0</v>
      </c>
      <c r="H8" s="178" t="str">
        <f t="shared" si="0"/>
        <v>Ошибка, не численные значения</v>
      </c>
    </row>
    <row r="9" spans="1:8" x14ac:dyDescent="0.25">
      <c r="A9" s="176" t="str">
        <f>'Инвест политика'!A32</f>
        <v>RU000A101616</v>
      </c>
      <c r="B9" t="s">
        <v>349</v>
      </c>
      <c r="C9">
        <v>19.385999999999999</v>
      </c>
      <c r="D9">
        <v>150000000</v>
      </c>
      <c r="E9" t="s">
        <v>350</v>
      </c>
      <c r="F9">
        <v>8</v>
      </c>
      <c r="G9" s="178" t="str">
        <f>VLOOKUP(A9,'Инвест политика'!$A$26:$H$130,8,FALSE)</f>
        <v>BB+</v>
      </c>
      <c r="H9" s="178">
        <f t="shared" si="0"/>
        <v>1</v>
      </c>
    </row>
    <row r="10" spans="1:8" x14ac:dyDescent="0.25">
      <c r="A10" s="176" t="str">
        <f>'Инвест политика'!A33</f>
        <v>XS2159874002</v>
      </c>
      <c r="B10" t="s">
        <v>449</v>
      </c>
      <c r="C10">
        <v>7.6219999999999999</v>
      </c>
      <c r="D10">
        <v>1500000000</v>
      </c>
      <c r="E10" t="s">
        <v>352</v>
      </c>
      <c r="F10">
        <v>10</v>
      </c>
      <c r="G10" s="178" t="str">
        <f>VLOOKUP(A10,'Инвест политика'!$A$26:$H$130,8,FALSE)</f>
        <v>BBB</v>
      </c>
      <c r="H10" s="178">
        <f>Эшелонирование(F10,G10,C10)</f>
        <v>1</v>
      </c>
    </row>
    <row r="11" spans="1:8" x14ac:dyDescent="0.25">
      <c r="A11" s="176" t="str">
        <f>'Инвест политика'!A34</f>
        <v>XS2134628069</v>
      </c>
      <c r="B11" t="s">
        <v>351</v>
      </c>
      <c r="C11">
        <v>3.7890000000000001</v>
      </c>
      <c r="D11">
        <v>500000000</v>
      </c>
      <c r="E11" t="s">
        <v>352</v>
      </c>
      <c r="F11">
        <v>10</v>
      </c>
      <c r="G11" s="178" t="str">
        <f>VLOOKUP(A11,'Инвест политика'!$A$26:$H$130,8,FALSE)</f>
        <v>BBB-</v>
      </c>
      <c r="H11" s="178">
        <f t="shared" si="0"/>
        <v>1</v>
      </c>
    </row>
    <row r="12" spans="1:8" x14ac:dyDescent="0.25">
      <c r="A12" s="176" t="str">
        <f>'Инвест политика'!A35</f>
        <v>XS2291819980</v>
      </c>
      <c r="B12" t="s">
        <v>420</v>
      </c>
      <c r="C12">
        <v>6.7869999999999999</v>
      </c>
      <c r="D12">
        <v>2000000000</v>
      </c>
      <c r="E12" t="s">
        <v>352</v>
      </c>
      <c r="F12">
        <v>8</v>
      </c>
      <c r="G12" s="178" t="str">
        <f>VLOOKUP(A12,'Инвест политика'!$A$26:$H$130,8,FALSE)</f>
        <v>BBB</v>
      </c>
      <c r="H12" s="178">
        <f t="shared" si="0"/>
        <v>1</v>
      </c>
    </row>
    <row r="13" spans="1:8" x14ac:dyDescent="0.25">
      <c r="A13" s="176" t="str">
        <f>'Инвест политика'!A36</f>
        <v>XS0810596832</v>
      </c>
      <c r="B13" t="s">
        <v>450</v>
      </c>
      <c r="C13">
        <v>1.4079999999999999</v>
      </c>
      <c r="D13">
        <v>2250000000</v>
      </c>
      <c r="E13" t="s">
        <v>352</v>
      </c>
      <c r="F13">
        <v>10</v>
      </c>
      <c r="G13" s="178" t="str">
        <f>VLOOKUP(A13,'Инвест политика'!$A$26:$H$130,8,FALSE)</f>
        <v>BBB-</v>
      </c>
      <c r="H13" s="178">
        <f t="shared" si="0"/>
        <v>1</v>
      </c>
    </row>
    <row r="14" spans="1:8" x14ac:dyDescent="0.25">
      <c r="A14" s="176" t="str">
        <f>'Инвест политика'!A37</f>
        <v>XS2252958751</v>
      </c>
      <c r="B14" t="s">
        <v>467</v>
      </c>
      <c r="C14">
        <v>5.6319999999999997</v>
      </c>
      <c r="D14">
        <v>1250000000</v>
      </c>
      <c r="E14" t="s">
        <v>352</v>
      </c>
      <c r="F14">
        <v>9</v>
      </c>
      <c r="G14" s="178" t="str">
        <f>VLOOKUP(A14,'Инвест политика'!$A$26:$H$130,8,FALSE)</f>
        <v>BB+</v>
      </c>
      <c r="H14" s="178">
        <f t="shared" si="0"/>
        <v>1</v>
      </c>
    </row>
    <row r="15" spans="1:8" x14ac:dyDescent="0.25">
      <c r="A15" s="176" t="str">
        <f>'Инвест политика'!A38</f>
        <v>XS2120091991</v>
      </c>
      <c r="B15" t="s">
        <v>694</v>
      </c>
      <c r="C15">
        <v>4.0780000000000003</v>
      </c>
      <c r="D15">
        <v>500000000</v>
      </c>
      <c r="E15" t="s">
        <v>352</v>
      </c>
      <c r="F15">
        <v>10</v>
      </c>
      <c r="G15" s="178" t="str">
        <f>VLOOKUP(A15,'Инвест политика'!$A$26:$H$130,8,FALSE)</f>
        <v>B</v>
      </c>
      <c r="H15" s="178">
        <f t="shared" si="0"/>
        <v>2</v>
      </c>
    </row>
    <row r="16" spans="1:8" x14ac:dyDescent="0.25">
      <c r="A16" s="176" t="str">
        <f>'Инвест политика'!A39</f>
        <v>XS1449458915</v>
      </c>
      <c r="B16" t="s">
        <v>353</v>
      </c>
      <c r="C16">
        <v>9.1999999999999998E-2</v>
      </c>
      <c r="D16">
        <v>254701000</v>
      </c>
      <c r="E16" t="s">
        <v>352</v>
      </c>
      <c r="F16">
        <v>10</v>
      </c>
      <c r="G16" s="178" t="str">
        <f>VLOOKUP(A16,'Инвест политика'!$A$26:$H$130,8,FALSE)</f>
        <v>BB</v>
      </c>
      <c r="H16" s="178">
        <f t="shared" si="0"/>
        <v>2</v>
      </c>
    </row>
    <row r="17" spans="1:8" x14ac:dyDescent="0.25">
      <c r="A17" s="176" t="str">
        <f>'Инвест политика'!A40</f>
        <v>XS1433454243</v>
      </c>
      <c r="B17" t="s">
        <v>451</v>
      </c>
      <c r="C17">
        <v>1.9259999999999999</v>
      </c>
      <c r="D17">
        <v>498427000</v>
      </c>
      <c r="E17" t="s">
        <v>352</v>
      </c>
      <c r="F17">
        <v>10</v>
      </c>
      <c r="G17" s="178" t="str">
        <f>VLOOKUP(A17,'Инвест политика'!$A$26:$H$130,8,FALSE)</f>
        <v>BB+</v>
      </c>
      <c r="H17" s="178">
        <f t="shared" si="0"/>
        <v>1</v>
      </c>
    </row>
    <row r="18" spans="1:8" x14ac:dyDescent="0.25">
      <c r="A18" s="176" t="str">
        <f>'Инвест политика'!A41</f>
        <v>CH0385518086</v>
      </c>
      <c r="B18" t="s">
        <v>354</v>
      </c>
      <c r="C18">
        <v>1.367</v>
      </c>
      <c r="D18">
        <v>165000000</v>
      </c>
      <c r="E18" t="s">
        <v>355</v>
      </c>
      <c r="F18">
        <v>9</v>
      </c>
      <c r="G18" s="178" t="str">
        <f>VLOOKUP(A18,'Инвест политика'!$A$26:$H$130,8,FALSE)</f>
        <v>BB</v>
      </c>
      <c r="H18" s="178">
        <f t="shared" si="0"/>
        <v>2</v>
      </c>
    </row>
    <row r="19" spans="1:8" x14ac:dyDescent="0.25">
      <c r="A19" s="176" t="str">
        <f>'Инвест политика'!A42</f>
        <v>XS1759468967</v>
      </c>
      <c r="B19" t="s">
        <v>357</v>
      </c>
      <c r="C19">
        <v>1.5589999999999999</v>
      </c>
      <c r="D19">
        <v>500000000</v>
      </c>
      <c r="E19" t="s">
        <v>352</v>
      </c>
      <c r="F19">
        <v>8</v>
      </c>
      <c r="G19" s="178" t="str">
        <f>VLOOKUP(A19,'Инвест политика'!$A$26:$H$130,8,FALSE)</f>
        <v>B+</v>
      </c>
      <c r="H19" s="178">
        <f t="shared" si="0"/>
        <v>2</v>
      </c>
    </row>
    <row r="20" spans="1:8" x14ac:dyDescent="0.25">
      <c r="A20" s="176" t="str">
        <f>'Инвест политика'!A43</f>
        <v>XS1400710726</v>
      </c>
      <c r="B20" t="s">
        <v>358</v>
      </c>
      <c r="C20">
        <v>1.538</v>
      </c>
      <c r="D20">
        <v>700000000</v>
      </c>
      <c r="E20" t="s">
        <v>352</v>
      </c>
      <c r="F20">
        <v>10</v>
      </c>
      <c r="G20" s="178" t="str">
        <f>VLOOKUP(A20,'Инвест политика'!$A$26:$H$130,8,FALSE)</f>
        <v>BB</v>
      </c>
      <c r="H20" s="178">
        <f t="shared" si="0"/>
        <v>2</v>
      </c>
    </row>
    <row r="21" spans="1:8" x14ac:dyDescent="0.25">
      <c r="A21" s="176" t="str">
        <f>'Инвест политика'!A44</f>
        <v>XS1772800204</v>
      </c>
      <c r="B21" t="s">
        <v>359</v>
      </c>
      <c r="C21">
        <v>1.36</v>
      </c>
      <c r="D21">
        <v>204719000</v>
      </c>
      <c r="E21" t="s">
        <v>352</v>
      </c>
      <c r="F21">
        <v>10</v>
      </c>
      <c r="G21" s="178" t="str">
        <f>VLOOKUP(A21,'Инвест политика'!$A$26:$H$130,8,FALSE)</f>
        <v>BB</v>
      </c>
      <c r="H21" s="178">
        <f t="shared" si="0"/>
        <v>2</v>
      </c>
    </row>
    <row r="22" spans="1:8" x14ac:dyDescent="0.25">
      <c r="A22" s="176" t="str">
        <f>'Инвест политика'!A45</f>
        <v>XS2010044548</v>
      </c>
      <c r="B22" t="s">
        <v>360</v>
      </c>
      <c r="C22">
        <v>2.8220000000000001</v>
      </c>
      <c r="D22">
        <v>300000000</v>
      </c>
      <c r="E22" t="s">
        <v>352</v>
      </c>
      <c r="F22">
        <v>9</v>
      </c>
      <c r="G22" s="178" t="str">
        <f>VLOOKUP(A22,'Инвест политика'!$A$26:$H$130,8,FALSE)</f>
        <v>BB-</v>
      </c>
      <c r="H22" s="178">
        <f t="shared" si="0"/>
        <v>2</v>
      </c>
    </row>
    <row r="23" spans="1:8" x14ac:dyDescent="0.25">
      <c r="A23" s="176" t="str">
        <f>'Инвест политика'!A46</f>
        <v>XS2010044381</v>
      </c>
      <c r="B23" t="s">
        <v>361</v>
      </c>
      <c r="C23">
        <v>4.1850000000000005</v>
      </c>
      <c r="D23">
        <v>550000000</v>
      </c>
      <c r="E23" t="s">
        <v>352</v>
      </c>
      <c r="F23">
        <v>10</v>
      </c>
      <c r="G23" s="178" t="str">
        <f>VLOOKUP(A23,'Инвест политика'!$A$26:$H$130,8,FALSE)</f>
        <v>BB</v>
      </c>
      <c r="H23" s="178">
        <f t="shared" si="0"/>
        <v>2</v>
      </c>
    </row>
    <row r="24" spans="1:8" x14ac:dyDescent="0.25">
      <c r="A24" s="176" t="str">
        <f>'Инвест политика'!A47</f>
        <v>RU000A101616</v>
      </c>
      <c r="B24" t="s">
        <v>349</v>
      </c>
      <c r="C24">
        <v>19.385999999999999</v>
      </c>
      <c r="D24">
        <v>150000000</v>
      </c>
      <c r="E24" t="s">
        <v>350</v>
      </c>
      <c r="F24">
        <v>8</v>
      </c>
      <c r="G24" s="178" t="str">
        <f>VLOOKUP(A24,'Инвест политика'!$A$26:$H$130,8,FALSE)</f>
        <v>BB+</v>
      </c>
      <c r="H24" s="178">
        <f t="shared" si="0"/>
        <v>1</v>
      </c>
    </row>
    <row r="25" spans="1:8" x14ac:dyDescent="0.25">
      <c r="A25" s="176" t="str">
        <f>'Инвест политика'!A48</f>
        <v>XS2063279959</v>
      </c>
      <c r="B25" t="s">
        <v>362</v>
      </c>
      <c r="C25">
        <v>3.4609999999999999</v>
      </c>
      <c r="D25">
        <v>850000000</v>
      </c>
      <c r="E25" t="s">
        <v>352</v>
      </c>
      <c r="F25">
        <v>9</v>
      </c>
      <c r="G25" s="178" t="str">
        <f>VLOOKUP(A25,'Инвест политика'!$A$26:$H$130,8,FALSE)</f>
        <v>BB</v>
      </c>
      <c r="H25" s="178">
        <f t="shared" si="0"/>
        <v>2</v>
      </c>
    </row>
    <row r="26" spans="1:8" x14ac:dyDescent="0.25">
      <c r="A26" s="176" t="str">
        <f>'Инвест политика'!A49</f>
        <v>XS2124187571</v>
      </c>
      <c r="B26" t="s">
        <v>364</v>
      </c>
      <c r="C26">
        <v>7.569</v>
      </c>
      <c r="D26">
        <v>2000000000</v>
      </c>
      <c r="E26" t="s">
        <v>352</v>
      </c>
      <c r="F26">
        <v>10</v>
      </c>
      <c r="G26" s="178" t="str">
        <f>VLOOKUP(A26,'Инвест политика'!$A$26:$H$130,8,FALSE)</f>
        <v>BBB</v>
      </c>
      <c r="H26" s="178">
        <f t="shared" si="0"/>
        <v>1</v>
      </c>
    </row>
    <row r="27" spans="1:8" x14ac:dyDescent="0.25">
      <c r="A27" s="176" t="str">
        <f>'Инвест политика'!A50</f>
        <v>XS0841671000</v>
      </c>
      <c r="B27" t="s">
        <v>365</v>
      </c>
      <c r="C27">
        <v>1.2949999999999999</v>
      </c>
      <c r="D27">
        <v>634051000</v>
      </c>
      <c r="E27" t="s">
        <v>352</v>
      </c>
      <c r="F27">
        <v>10</v>
      </c>
      <c r="G27" s="178" t="str">
        <f>VLOOKUP(A27,'Инвест политика'!$A$26:$H$130,8,FALSE)</f>
        <v>BBB</v>
      </c>
      <c r="H27" s="178">
        <f t="shared" si="0"/>
        <v>1</v>
      </c>
    </row>
    <row r="28" spans="1:8" x14ac:dyDescent="0.25">
      <c r="A28" s="176" t="str">
        <f>'Инвест политика'!A51</f>
        <v>XS0800817073</v>
      </c>
      <c r="B28" t="s">
        <v>366</v>
      </c>
      <c r="C28">
        <v>1.0110000000000001</v>
      </c>
      <c r="D28">
        <v>1000000000</v>
      </c>
      <c r="E28" t="s">
        <v>352</v>
      </c>
      <c r="F28">
        <v>10</v>
      </c>
      <c r="G28" s="178" t="str">
        <f>VLOOKUP(A28,'Инвест политика'!$A$26:$H$130,8,FALSE)</f>
        <v>BBB-</v>
      </c>
      <c r="H28" s="178">
        <f t="shared" si="0"/>
        <v>1</v>
      </c>
    </row>
    <row r="29" spans="1:8" x14ac:dyDescent="0.25">
      <c r="A29" s="176" t="str">
        <f>'Инвест политика'!A52</f>
        <v>XS0830192711</v>
      </c>
      <c r="B29" t="s">
        <v>367</v>
      </c>
      <c r="C29">
        <v>1.2270000000000001</v>
      </c>
      <c r="D29">
        <v>1500000000</v>
      </c>
      <c r="E29" t="s">
        <v>352</v>
      </c>
      <c r="F29">
        <v>10</v>
      </c>
      <c r="G29" s="178" t="str">
        <f>VLOOKUP(A29,'Инвест политика'!$A$26:$H$130,8,FALSE)</f>
        <v>BBB</v>
      </c>
      <c r="H29" s="178">
        <f t="shared" si="0"/>
        <v>1</v>
      </c>
    </row>
    <row r="30" spans="1:8" x14ac:dyDescent="0.25">
      <c r="A30" s="176" t="str">
        <f>'Инвест политика'!A53</f>
        <v>XS2183144810</v>
      </c>
      <c r="B30" t="s">
        <v>368</v>
      </c>
      <c r="C30">
        <v>1.96</v>
      </c>
      <c r="D30">
        <v>350000000</v>
      </c>
      <c r="E30" t="s">
        <v>350</v>
      </c>
      <c r="F30">
        <v>10</v>
      </c>
      <c r="G30" s="178" t="str">
        <f>VLOOKUP(A30,'Инвест политика'!$A$26:$H$130,8,FALSE)</f>
        <v>BB</v>
      </c>
      <c r="H30" s="178">
        <f t="shared" si="0"/>
        <v>2</v>
      </c>
    </row>
    <row r="31" spans="1:8" x14ac:dyDescent="0.25">
      <c r="A31" s="176" t="str">
        <f>'Инвест политика'!A54</f>
        <v>XS0861981180</v>
      </c>
      <c r="B31" t="s">
        <v>369</v>
      </c>
      <c r="C31">
        <v>0.71199999999999997</v>
      </c>
      <c r="D31">
        <v>2000000000</v>
      </c>
      <c r="E31" t="s">
        <v>352</v>
      </c>
      <c r="F31">
        <v>10</v>
      </c>
      <c r="G31" s="178" t="str">
        <f>VLOOKUP(A31,'Инвест политика'!$A$26:$H$130,8,FALSE)</f>
        <v>BBB-</v>
      </c>
      <c r="H31" s="178">
        <f t="shared" si="0"/>
        <v>1</v>
      </c>
    </row>
    <row r="32" spans="1:8" x14ac:dyDescent="0.25">
      <c r="A32" s="176" t="str">
        <f>'Инвест политика'!A55</f>
        <v>XS1622146758</v>
      </c>
      <c r="B32" t="s">
        <v>468</v>
      </c>
      <c r="C32">
        <v>0.56200000000000006</v>
      </c>
      <c r="D32">
        <v>500000000</v>
      </c>
      <c r="E32" t="s">
        <v>352</v>
      </c>
      <c r="F32">
        <v>10</v>
      </c>
      <c r="G32" s="178" t="str">
        <f>VLOOKUP(A32,'Инвест политика'!$A$26:$H$130,8,FALSE)</f>
        <v>BBB-</v>
      </c>
      <c r="H32" s="178">
        <f t="shared" si="0"/>
        <v>1</v>
      </c>
    </row>
    <row r="33" spans="1:8" x14ac:dyDescent="0.25">
      <c r="A33" s="176" t="str">
        <f>'Инвест политика'!A56</f>
        <v>XS1567051443</v>
      </c>
      <c r="B33" t="s">
        <v>370</v>
      </c>
      <c r="C33">
        <v>0.19700000000000001</v>
      </c>
      <c r="D33">
        <v>500000000</v>
      </c>
      <c r="E33" t="s">
        <v>352</v>
      </c>
      <c r="F33">
        <v>10</v>
      </c>
      <c r="G33" s="178" t="str">
        <f>VLOOKUP(A33,'Инвест политика'!$A$26:$H$130,8,FALSE)</f>
        <v>BBB</v>
      </c>
      <c r="H33" s="178">
        <f t="shared" si="0"/>
        <v>1</v>
      </c>
    </row>
    <row r="34" spans="1:8" x14ac:dyDescent="0.25">
      <c r="A34" s="176" t="str">
        <f>'Инвест политика'!A57</f>
        <v>XS0743596040</v>
      </c>
      <c r="B34" t="s">
        <v>371</v>
      </c>
      <c r="C34">
        <v>0.627</v>
      </c>
      <c r="D34">
        <v>1500000000</v>
      </c>
      <c r="E34" t="s">
        <v>352</v>
      </c>
      <c r="F34">
        <v>10</v>
      </c>
      <c r="G34" s="178" t="str">
        <f>VLOOKUP(A34,'Инвест политика'!$A$26:$H$130,8,FALSE)</f>
        <v>BBB-</v>
      </c>
      <c r="H34" s="178">
        <f t="shared" si="0"/>
        <v>1</v>
      </c>
    </row>
    <row r="35" spans="1:8" x14ac:dyDescent="0.25">
      <c r="A35" s="176" t="str">
        <f>'Инвест политика'!A58</f>
        <v>XS1634369067</v>
      </c>
      <c r="B35" t="s">
        <v>372</v>
      </c>
      <c r="C35">
        <v>1.6040000000000001</v>
      </c>
      <c r="D35">
        <v>800000000</v>
      </c>
      <c r="E35" t="s">
        <v>352</v>
      </c>
      <c r="F35">
        <v>10</v>
      </c>
      <c r="G35" s="178" t="str">
        <f>VLOOKUP(A35,'Инвест политика'!$A$26:$H$130,8,FALSE)</f>
        <v>B</v>
      </c>
      <c r="H35" s="178">
        <f t="shared" si="0"/>
        <v>2</v>
      </c>
    </row>
    <row r="36" spans="1:8" x14ac:dyDescent="0.25">
      <c r="A36" s="176" t="str">
        <f>'Инвест политика'!A59</f>
        <v>XS2243631095</v>
      </c>
      <c r="B36" t="s">
        <v>469</v>
      </c>
      <c r="C36">
        <v>3.9430000000000001</v>
      </c>
      <c r="D36">
        <v>1400000000</v>
      </c>
      <c r="E36" t="s">
        <v>352</v>
      </c>
      <c r="F36">
        <v>9</v>
      </c>
      <c r="G36" s="178" t="str">
        <f>VLOOKUP(A36,'Инвест политика'!$A$26:$H$130,8,FALSE)</f>
        <v>BB+</v>
      </c>
      <c r="H36" s="178">
        <f t="shared" si="0"/>
        <v>1</v>
      </c>
    </row>
    <row r="37" spans="1:8" x14ac:dyDescent="0.25">
      <c r="A37" s="176" t="str">
        <f>'Инвест политика'!A60</f>
        <v>XS1951067039</v>
      </c>
      <c r="B37" t="s">
        <v>356</v>
      </c>
      <c r="C37">
        <v>2.5430000000000001</v>
      </c>
      <c r="D37">
        <v>327228000</v>
      </c>
      <c r="E37" t="s">
        <v>350</v>
      </c>
      <c r="F37">
        <v>10</v>
      </c>
      <c r="G37" s="178" t="str">
        <f>VLOOKUP(A37,'Инвест политика'!$A$26:$H$130,8,FALSE)</f>
        <v>BB-</v>
      </c>
      <c r="H37" s="178">
        <f t="shared" si="0"/>
        <v>2</v>
      </c>
    </row>
    <row r="38" spans="1:8" x14ac:dyDescent="0.25">
      <c r="A38" s="176" t="str">
        <f>'Инвест политика'!A61</f>
        <v>XS2099763075</v>
      </c>
      <c r="B38" t="s">
        <v>363</v>
      </c>
      <c r="C38">
        <v>3.3210000000000002</v>
      </c>
      <c r="D38">
        <v>541000000</v>
      </c>
      <c r="E38" t="s">
        <v>352</v>
      </c>
      <c r="F38">
        <v>9</v>
      </c>
      <c r="G38" s="178" t="str">
        <f>VLOOKUP(A38,'Инвест политика'!$A$26:$H$130,8,FALSE)</f>
        <v>BB-</v>
      </c>
      <c r="H38" s="178">
        <f t="shared" si="0"/>
        <v>2</v>
      </c>
    </row>
    <row r="39" spans="1:8" x14ac:dyDescent="0.25">
      <c r="A39" s="176" t="str">
        <f>'Инвест политика'!A62</f>
        <v>XS1533915721</v>
      </c>
      <c r="B39" t="s">
        <v>695</v>
      </c>
      <c r="C39">
        <v>1.6870000000000001</v>
      </c>
      <c r="D39">
        <v>750000000</v>
      </c>
      <c r="E39" t="s">
        <v>352</v>
      </c>
      <c r="F39">
        <v>10</v>
      </c>
      <c r="G39" s="178" t="str">
        <f>VLOOKUP(A39,'Инвест политика'!$A$26:$H$130,8,FALSE)</f>
        <v>BB+</v>
      </c>
      <c r="H39" s="178">
        <f t="shared" si="0"/>
        <v>1</v>
      </c>
    </row>
    <row r="40" spans="1:8" x14ac:dyDescent="0.25">
      <c r="A40" s="176" t="str">
        <f>'Инвест политика'!A63</f>
        <v>RU000A0JV508</v>
      </c>
      <c r="B40" t="s">
        <v>374</v>
      </c>
      <c r="C40">
        <v>8.7270000000000003</v>
      </c>
      <c r="D40">
        <v>147163642.56</v>
      </c>
      <c r="E40" t="s">
        <v>373</v>
      </c>
      <c r="F40" t="s">
        <v>421</v>
      </c>
      <c r="G40" s="178" t="str">
        <f>VLOOKUP(A40,'Инвест политика'!$A$26:$H$130,8,FALSE)</f>
        <v>BBB-</v>
      </c>
      <c r="H40" s="178" t="str">
        <f t="shared" si="0"/>
        <v>Ошибка, не численные значения</v>
      </c>
    </row>
    <row r="41" spans="1:8" x14ac:dyDescent="0.25">
      <c r="A41" s="176" t="str">
        <f>'Инвест политика'!A64</f>
        <v>RU000A0JTX09</v>
      </c>
      <c r="B41" t="s">
        <v>422</v>
      </c>
      <c r="C41">
        <v>0</v>
      </c>
      <c r="D41">
        <v>5000000000</v>
      </c>
      <c r="E41" t="s">
        <v>373</v>
      </c>
      <c r="F41" t="s">
        <v>421</v>
      </c>
      <c r="G41" s="178" t="str">
        <f>VLOOKUP(A41,'Инвест политика'!$A$26:$H$130,8,FALSE)</f>
        <v>D</v>
      </c>
      <c r="H41" s="178" t="str">
        <f>Эшелонирование(F41,G41,C41)</f>
        <v>Ошибка, не численные значения</v>
      </c>
    </row>
    <row r="42" spans="1:8" x14ac:dyDescent="0.25">
      <c r="A42" s="176" t="str">
        <f>'Инвест политика'!A65</f>
        <v>RU000A0JWV63</v>
      </c>
      <c r="B42" t="s">
        <v>375</v>
      </c>
      <c r="C42">
        <v>3.9330000000000003</v>
      </c>
      <c r="D42">
        <v>5000000000</v>
      </c>
      <c r="E42" t="s">
        <v>373</v>
      </c>
      <c r="F42">
        <v>7</v>
      </c>
      <c r="G42" s="178" t="str">
        <f>VLOOKUP(A42,'Инвест политика'!$A$26:$H$130,8,FALSE)</f>
        <v>BB+</v>
      </c>
      <c r="H42" s="178">
        <f t="shared" si="0"/>
        <v>2</v>
      </c>
    </row>
    <row r="43" spans="1:8" x14ac:dyDescent="0.25">
      <c r="A43" s="176" t="str">
        <f>'Инвест политика'!A66</f>
        <v>RU000A0JVUK8</v>
      </c>
      <c r="B43" t="s">
        <v>376</v>
      </c>
      <c r="C43">
        <v>0.78700000000000003</v>
      </c>
      <c r="D43">
        <v>5000000000</v>
      </c>
      <c r="E43" t="s">
        <v>373</v>
      </c>
      <c r="F43">
        <v>9</v>
      </c>
      <c r="G43" s="178" t="str">
        <f>VLOOKUP(A43,'Инвест политика'!$A$26:$H$130,8,FALSE)</f>
        <v>BB-</v>
      </c>
      <c r="H43" s="178">
        <f t="shared" si="0"/>
        <v>2</v>
      </c>
    </row>
    <row r="44" spans="1:8" x14ac:dyDescent="0.25">
      <c r="A44" s="176" t="str">
        <f>'Инвест политика'!A67</f>
        <v>RU000A0JWYQ5</v>
      </c>
      <c r="B44" t="s">
        <v>377</v>
      </c>
      <c r="C44">
        <v>4.5940000000000003</v>
      </c>
      <c r="D44">
        <v>6500000000</v>
      </c>
      <c r="E44" t="s">
        <v>373</v>
      </c>
      <c r="F44">
        <v>8</v>
      </c>
      <c r="G44" s="178" t="str">
        <f>VLOOKUP(A44,'Инвест политика'!$A$26:$H$130,8,FALSE)</f>
        <v>BB-</v>
      </c>
      <c r="H44" s="178">
        <f t="shared" si="0"/>
        <v>2</v>
      </c>
    </row>
    <row r="45" spans="1:8" x14ac:dyDescent="0.25">
      <c r="A45" s="176" t="str">
        <f>'Инвест политика'!A68</f>
        <v>RU000A100V79</v>
      </c>
      <c r="B45" t="s">
        <v>378</v>
      </c>
      <c r="C45">
        <v>6.0380000000000003</v>
      </c>
      <c r="D45">
        <v>10000000000</v>
      </c>
      <c r="E45" t="s">
        <v>373</v>
      </c>
      <c r="F45">
        <v>8</v>
      </c>
      <c r="G45" s="178" t="str">
        <f>VLOOKUP(A45,'Инвест политика'!$A$26:$H$130,8,FALSE)</f>
        <v>BB-</v>
      </c>
      <c r="H45" s="178">
        <f t="shared" si="0"/>
        <v>2</v>
      </c>
    </row>
    <row r="46" spans="1:8" x14ac:dyDescent="0.25">
      <c r="A46" s="176" t="str">
        <f>'Инвест политика'!A69</f>
        <v>RU000A0JXVE5</v>
      </c>
      <c r="B46" t="s">
        <v>379</v>
      </c>
      <c r="C46">
        <v>0.99</v>
      </c>
      <c r="D46">
        <v>20000000000</v>
      </c>
      <c r="E46" t="s">
        <v>373</v>
      </c>
      <c r="F46">
        <v>9</v>
      </c>
      <c r="G46" s="178" t="str">
        <f>VLOOKUP(A46,'Инвест политика'!$A$26:$H$130,8,FALSE)</f>
        <v>BB+</v>
      </c>
      <c r="H46" s="178">
        <f t="shared" si="0"/>
        <v>1</v>
      </c>
    </row>
    <row r="47" spans="1:8" x14ac:dyDescent="0.25">
      <c r="A47" s="176" t="str">
        <f>'Инвест политика'!A70</f>
        <v>RU000A0JX2F6</v>
      </c>
      <c r="B47" t="s">
        <v>380</v>
      </c>
      <c r="C47">
        <v>1.429</v>
      </c>
      <c r="D47">
        <v>5000000000</v>
      </c>
      <c r="E47" t="s">
        <v>373</v>
      </c>
      <c r="F47">
        <v>7</v>
      </c>
      <c r="G47" s="178" t="str">
        <f>VLOOKUP(A47,'Инвест политика'!$A$26:$H$130,8,FALSE)</f>
        <v>BBB-</v>
      </c>
      <c r="H47" s="178">
        <f t="shared" si="0"/>
        <v>2</v>
      </c>
    </row>
    <row r="48" spans="1:8" x14ac:dyDescent="0.25">
      <c r="A48" s="176" t="str">
        <f>'Инвест политика'!A71</f>
        <v>RU000A0JWNB0</v>
      </c>
      <c r="B48" t="s">
        <v>381</v>
      </c>
      <c r="C48">
        <v>0.10100000000000001</v>
      </c>
      <c r="D48">
        <v>7000000000</v>
      </c>
      <c r="E48" t="s">
        <v>373</v>
      </c>
      <c r="F48">
        <v>7</v>
      </c>
      <c r="G48" s="178" t="str">
        <f>VLOOKUP(A48,'Инвест политика'!$A$26:$H$130,8,FALSE)</f>
        <v>BBB-</v>
      </c>
      <c r="H48" s="178">
        <f t="shared" si="0"/>
        <v>2</v>
      </c>
    </row>
    <row r="49" spans="1:8" x14ac:dyDescent="0.25">
      <c r="A49" s="176" t="str">
        <f>'Инвест политика'!A72</f>
        <v>RU000A0JTM36</v>
      </c>
      <c r="B49" t="s">
        <v>423</v>
      </c>
      <c r="C49">
        <v>1.5509999999999999</v>
      </c>
      <c r="D49">
        <v>10000000000</v>
      </c>
      <c r="E49" t="s">
        <v>373</v>
      </c>
      <c r="F49">
        <v>9</v>
      </c>
      <c r="G49" s="178" t="str">
        <f>VLOOKUP(A49,'Инвест политика'!$A$26:$H$130,8,FALSE)</f>
        <v>BBB-</v>
      </c>
      <c r="H49" s="178">
        <f t="shared" si="0"/>
        <v>1</v>
      </c>
    </row>
    <row r="50" spans="1:8" x14ac:dyDescent="0.25">
      <c r="A50" s="176" t="str">
        <f>'Инвест политика'!A73</f>
        <v>RU000A0JTM51</v>
      </c>
      <c r="B50" t="s">
        <v>423</v>
      </c>
      <c r="C50">
        <v>1.548</v>
      </c>
      <c r="D50">
        <v>5000000000</v>
      </c>
      <c r="E50" t="s">
        <v>373</v>
      </c>
      <c r="F50">
        <v>9</v>
      </c>
      <c r="G50" s="178" t="str">
        <f>VLOOKUP(A50,'Инвест политика'!$A$26:$H$130,8,FALSE)</f>
        <v>BBB-</v>
      </c>
      <c r="H50" s="178">
        <f t="shared" si="0"/>
        <v>1</v>
      </c>
    </row>
    <row r="51" spans="1:8" x14ac:dyDescent="0.25">
      <c r="A51" s="176" t="str">
        <f>'Инвест политика'!A74</f>
        <v>RU000A101MZ4</v>
      </c>
      <c r="B51" t="s">
        <v>382</v>
      </c>
      <c r="C51">
        <v>1.804</v>
      </c>
      <c r="D51">
        <v>7000000000</v>
      </c>
      <c r="E51" t="s">
        <v>373</v>
      </c>
      <c r="F51">
        <v>7</v>
      </c>
      <c r="G51" s="178" t="str">
        <f>VLOOKUP(A51,'Инвест политика'!$A$26:$H$130,8,FALSE)</f>
        <v>A-</v>
      </c>
      <c r="H51" s="178">
        <f t="shared" si="0"/>
        <v>3</v>
      </c>
    </row>
    <row r="52" spans="1:8" x14ac:dyDescent="0.25">
      <c r="A52" s="176" t="str">
        <f>'Инвест политика'!A75</f>
        <v>RU000A0ZZZN8</v>
      </c>
      <c r="B52" t="s">
        <v>383</v>
      </c>
      <c r="C52">
        <v>0.497</v>
      </c>
      <c r="D52">
        <v>1650000000</v>
      </c>
      <c r="E52" t="s">
        <v>373</v>
      </c>
      <c r="F52">
        <v>8</v>
      </c>
      <c r="G52" s="178" t="str">
        <f>VLOOKUP(A52,'Инвест политика'!$A$26:$H$130,8,FALSE)</f>
        <v>BB+</v>
      </c>
      <c r="H52" s="178">
        <f t="shared" si="0"/>
        <v>1</v>
      </c>
    </row>
    <row r="53" spans="1:8" x14ac:dyDescent="0.25">
      <c r="A53" s="176" t="str">
        <f>'Инвест политика'!A76</f>
        <v>RU000A1023K1</v>
      </c>
      <c r="B53" t="s">
        <v>384</v>
      </c>
      <c r="C53">
        <v>6.8520000000000003</v>
      </c>
      <c r="D53">
        <v>10000000000</v>
      </c>
      <c r="E53" t="s">
        <v>373</v>
      </c>
      <c r="F53">
        <v>9</v>
      </c>
      <c r="G53" s="178" t="str">
        <f>VLOOKUP(A53,'Инвест политика'!$A$26:$H$130,8,FALSE)</f>
        <v>BB-</v>
      </c>
      <c r="H53" s="178">
        <f t="shared" si="0"/>
        <v>2</v>
      </c>
    </row>
    <row r="54" spans="1:8" x14ac:dyDescent="0.25">
      <c r="A54" s="176" t="str">
        <f>'Инвест политика'!A77</f>
        <v>RU000A1023H7</v>
      </c>
      <c r="B54" t="s">
        <v>385</v>
      </c>
      <c r="C54">
        <v>1.905</v>
      </c>
      <c r="D54">
        <v>7000000000</v>
      </c>
      <c r="E54" t="s">
        <v>373</v>
      </c>
      <c r="F54" t="s">
        <v>421</v>
      </c>
      <c r="G54" s="178" t="str">
        <f>VLOOKUP(A54,'Инвест политика'!$A$26:$H$130,8,FALSE)</f>
        <v>A-</v>
      </c>
      <c r="H54" s="178" t="str">
        <f t="shared" si="0"/>
        <v>Ошибка, не численные значения</v>
      </c>
    </row>
    <row r="55" spans="1:8" x14ac:dyDescent="0.25">
      <c r="A55" s="176" t="str">
        <f>'Инвест политика'!A78</f>
        <v>RU000A102GY7</v>
      </c>
      <c r="B55" t="s">
        <v>386</v>
      </c>
      <c r="C55">
        <v>2.3180000000000001</v>
      </c>
      <c r="D55">
        <v>4000000000</v>
      </c>
      <c r="E55" t="s">
        <v>373</v>
      </c>
      <c r="F55">
        <v>7</v>
      </c>
      <c r="G55" s="178" t="str">
        <f>VLOOKUP(A55,'Инвест политика'!$A$26:$H$130,8,FALSE)</f>
        <v>BB+</v>
      </c>
      <c r="H55" s="178">
        <f t="shared" si="0"/>
        <v>2</v>
      </c>
    </row>
    <row r="56" spans="1:8" x14ac:dyDescent="0.25">
      <c r="A56" s="176" t="str">
        <f>'Инвест политика'!A79</f>
        <v>RU000A102RF3</v>
      </c>
      <c r="B56" t="s">
        <v>452</v>
      </c>
      <c r="C56">
        <v>2.4369999999999998</v>
      </c>
      <c r="D56">
        <v>5000000000</v>
      </c>
      <c r="E56" t="s">
        <v>373</v>
      </c>
      <c r="F56">
        <v>8</v>
      </c>
      <c r="G56" s="178" t="str">
        <f>VLOOKUP(A56,'Инвест политика'!$A$26:$H$130,8,FALSE)</f>
        <v>BB-</v>
      </c>
      <c r="H56" s="178">
        <f t="shared" si="0"/>
        <v>2</v>
      </c>
    </row>
    <row r="57" spans="1:8" x14ac:dyDescent="0.25">
      <c r="A57" s="176" t="str">
        <f>'Инвест политика'!A80</f>
        <v>RU000A102SV8</v>
      </c>
      <c r="B57" t="s">
        <v>470</v>
      </c>
      <c r="C57">
        <v>7.1150000000000002</v>
      </c>
      <c r="D57">
        <v>5000000000</v>
      </c>
      <c r="E57" t="s">
        <v>373</v>
      </c>
      <c r="F57">
        <v>9</v>
      </c>
      <c r="G57" s="178" t="str">
        <f>VLOOKUP(A57,'Инвест политика'!$A$26:$H$130,8,FALSE)</f>
        <v>BB-</v>
      </c>
      <c r="H57" s="178">
        <f t="shared" si="0"/>
        <v>2</v>
      </c>
    </row>
    <row r="58" spans="1:8" x14ac:dyDescent="0.25">
      <c r="A58" s="176" t="str">
        <f>'Инвест политика'!A81</f>
        <v>RU000A0JW1P8</v>
      </c>
      <c r="B58" t="s">
        <v>387</v>
      </c>
      <c r="C58">
        <v>1.4339999999999999</v>
      </c>
      <c r="D58">
        <v>4000000000</v>
      </c>
      <c r="E58" t="s">
        <v>373</v>
      </c>
      <c r="F58">
        <v>8</v>
      </c>
      <c r="G58" s="178" t="str">
        <f>VLOOKUP(A58,'Инвест политика'!$A$26:$H$130,8,FALSE)</f>
        <v>BB+</v>
      </c>
      <c r="H58" s="178">
        <f t="shared" si="0"/>
        <v>1</v>
      </c>
    </row>
    <row r="59" spans="1:8" x14ac:dyDescent="0.25">
      <c r="A59" s="176" t="str">
        <f>'Инвест политика'!A82</f>
        <v>RU000A0JV508</v>
      </c>
      <c r="B59" t="s">
        <v>374</v>
      </c>
      <c r="C59">
        <v>8.7270000000000003</v>
      </c>
      <c r="D59">
        <v>147163642.56</v>
      </c>
      <c r="E59" t="s">
        <v>373</v>
      </c>
      <c r="F59" t="s">
        <v>421</v>
      </c>
      <c r="G59" s="178" t="str">
        <f>VLOOKUP(A59,'Инвест политика'!$A$26:$H$130,8,FALSE)</f>
        <v>BBB-</v>
      </c>
      <c r="H59" s="178" t="str">
        <f t="shared" si="0"/>
        <v>Ошибка, не численные значения</v>
      </c>
    </row>
    <row r="60" spans="1:8" x14ac:dyDescent="0.25">
      <c r="A60" s="176" t="str">
        <f>'Инвест политика'!A83</f>
        <v>RU000A0JWV63</v>
      </c>
      <c r="B60" t="s">
        <v>375</v>
      </c>
      <c r="C60">
        <v>3.9330000000000003</v>
      </c>
      <c r="D60">
        <v>5000000000</v>
      </c>
      <c r="E60" t="s">
        <v>373</v>
      </c>
      <c r="F60">
        <v>7</v>
      </c>
      <c r="G60" s="178" t="str">
        <f>VLOOKUP(A60,'Инвест политика'!$A$26:$H$130,8,FALSE)</f>
        <v>BB+</v>
      </c>
      <c r="H60" s="178">
        <f t="shared" si="0"/>
        <v>2</v>
      </c>
    </row>
    <row r="61" spans="1:8" x14ac:dyDescent="0.25">
      <c r="A61" s="176" t="str">
        <f>'Инвест политика'!A84</f>
        <v>RU000A0ZYNY4</v>
      </c>
      <c r="B61" t="s">
        <v>471</v>
      </c>
      <c r="C61">
        <v>8.0590000000000011</v>
      </c>
      <c r="D61">
        <v>10000000000</v>
      </c>
      <c r="E61" t="s">
        <v>373</v>
      </c>
      <c r="F61">
        <v>8</v>
      </c>
      <c r="G61" s="178" t="str">
        <f>VLOOKUP(A61,'Инвест политика'!$A$26:$H$130,8,FALSE)</f>
        <v>BB+</v>
      </c>
      <c r="H61" s="178">
        <f t="shared" si="0"/>
        <v>1</v>
      </c>
    </row>
    <row r="62" spans="1:8" x14ac:dyDescent="0.25">
      <c r="A62" s="176" t="str">
        <f>'Инвест политика'!A85</f>
        <v>RU000A0ZYR91</v>
      </c>
      <c r="B62" t="s">
        <v>487</v>
      </c>
      <c r="C62">
        <v>8.141</v>
      </c>
      <c r="D62">
        <v>10000000000</v>
      </c>
      <c r="E62" t="s">
        <v>373</v>
      </c>
      <c r="F62">
        <v>9</v>
      </c>
      <c r="G62" s="178" t="str">
        <f>VLOOKUP(A62,'Инвест политика'!$A$26:$H$130,8,FALSE)</f>
        <v>BB+</v>
      </c>
      <c r="H62" s="178">
        <f t="shared" si="0"/>
        <v>1</v>
      </c>
    </row>
    <row r="63" spans="1:8" x14ac:dyDescent="0.25">
      <c r="A63" s="176" t="str">
        <f>'Инвест политика'!A86</f>
        <v>RU000A0JVUK8</v>
      </c>
      <c r="B63" t="s">
        <v>376</v>
      </c>
      <c r="C63">
        <v>0.78700000000000003</v>
      </c>
      <c r="D63">
        <v>5000000000</v>
      </c>
      <c r="E63" t="s">
        <v>373</v>
      </c>
      <c r="F63">
        <v>9</v>
      </c>
      <c r="G63" s="178" t="str">
        <f>VLOOKUP(A63,'Инвест политика'!$A$26:$H$130,8,FALSE)</f>
        <v>BB-</v>
      </c>
      <c r="H63" s="178">
        <f t="shared" si="0"/>
        <v>2</v>
      </c>
    </row>
    <row r="64" spans="1:8" x14ac:dyDescent="0.25">
      <c r="A64" s="176" t="str">
        <f>'Инвест политика'!A87</f>
        <v>RU000A0ZZ1J8</v>
      </c>
      <c r="B64" t="s">
        <v>388</v>
      </c>
      <c r="C64">
        <v>7.8310000000000004</v>
      </c>
      <c r="D64">
        <v>10000000000</v>
      </c>
      <c r="E64" t="s">
        <v>373</v>
      </c>
      <c r="F64">
        <v>9</v>
      </c>
      <c r="G64" s="178" t="str">
        <f>VLOOKUP(A64,'Инвест политика'!$A$26:$H$130,8,FALSE)</f>
        <v>BB+</v>
      </c>
      <c r="H64" s="178">
        <f t="shared" si="0"/>
        <v>1</v>
      </c>
    </row>
    <row r="65" spans="1:8" x14ac:dyDescent="0.25">
      <c r="A65" s="176" t="str">
        <f>'Инвест политика'!A88</f>
        <v>RU000A0ZZAW2</v>
      </c>
      <c r="B65" t="s">
        <v>389</v>
      </c>
      <c r="C65">
        <v>2.1999999999999999E-2</v>
      </c>
      <c r="D65">
        <v>6000000000</v>
      </c>
      <c r="E65" t="s">
        <v>373</v>
      </c>
      <c r="F65">
        <v>9</v>
      </c>
      <c r="G65" s="178" t="str">
        <f>VLOOKUP(A65,'Инвест политика'!$A$26:$H$130,8,FALSE)</f>
        <v>BB-</v>
      </c>
      <c r="H65" s="178">
        <f t="shared" si="0"/>
        <v>2</v>
      </c>
    </row>
    <row r="66" spans="1:8" x14ac:dyDescent="0.25">
      <c r="A66" s="176" t="str">
        <f>'Инвест политика'!A89</f>
        <v>RU000A0JWYQ5</v>
      </c>
      <c r="B66" t="s">
        <v>377</v>
      </c>
      <c r="C66">
        <v>4.5940000000000003</v>
      </c>
      <c r="D66">
        <v>6500000000</v>
      </c>
      <c r="E66" t="s">
        <v>373</v>
      </c>
      <c r="F66">
        <v>8</v>
      </c>
      <c r="G66" s="178" t="str">
        <f>VLOOKUP(A66,'Инвест политика'!$A$26:$H$130,8,FALSE)</f>
        <v>BB-</v>
      </c>
      <c r="H66" s="178">
        <f t="shared" si="0"/>
        <v>2</v>
      </c>
    </row>
    <row r="67" spans="1:8" x14ac:dyDescent="0.25">
      <c r="A67" s="176" t="str">
        <f>'Инвест политика'!A90</f>
        <v>RU000A0JVA10</v>
      </c>
      <c r="B67" t="s">
        <v>390</v>
      </c>
      <c r="C67">
        <v>2.069</v>
      </c>
      <c r="D67">
        <v>5000000000</v>
      </c>
      <c r="E67" t="s">
        <v>373</v>
      </c>
      <c r="F67">
        <v>8</v>
      </c>
      <c r="G67" s="178" t="str">
        <f>VLOOKUP(A67,'Инвест политика'!$A$26:$H$130,8,FALSE)</f>
        <v>BB+</v>
      </c>
      <c r="H67" s="178">
        <f t="shared" si="0"/>
        <v>1</v>
      </c>
    </row>
    <row r="68" spans="1:8" x14ac:dyDescent="0.25">
      <c r="A68" s="176" t="str">
        <f>'Инвест политика'!A91</f>
        <v>RU000A0JWPA7</v>
      </c>
      <c r="B68" t="s">
        <v>391</v>
      </c>
      <c r="C68">
        <v>0.12</v>
      </c>
      <c r="D68">
        <v>7000000000</v>
      </c>
      <c r="E68" t="s">
        <v>373</v>
      </c>
      <c r="F68">
        <v>8</v>
      </c>
      <c r="G68" s="178" t="str">
        <f>VLOOKUP(A68,'Инвест политика'!$A$26:$H$130,8,FALSE)</f>
        <v>BB+</v>
      </c>
      <c r="H68" s="178">
        <f t="shared" ref="H68:H131" si="1">Эшелонирование(F68,G68,C68)</f>
        <v>1</v>
      </c>
    </row>
    <row r="69" spans="1:8" x14ac:dyDescent="0.25">
      <c r="A69" s="176" t="str">
        <f>'Инвест политика'!A92</f>
        <v>RU000A0JVVA7</v>
      </c>
      <c r="B69" t="s">
        <v>392</v>
      </c>
      <c r="C69">
        <v>1.2410000000000001</v>
      </c>
      <c r="D69">
        <v>9000000000</v>
      </c>
      <c r="E69" t="s">
        <v>373</v>
      </c>
      <c r="F69">
        <v>7</v>
      </c>
      <c r="G69" s="178" t="str">
        <f>VLOOKUP(A69,'Инвест политика'!$A$26:$H$130,8,FALSE)</f>
        <v>BBB</v>
      </c>
      <c r="H69" s="178">
        <f t="shared" si="1"/>
        <v>3</v>
      </c>
    </row>
    <row r="70" spans="1:8" x14ac:dyDescent="0.25">
      <c r="A70" s="176" t="str">
        <f>'Инвест политика'!A93</f>
        <v>RU000A0JTVJ2</v>
      </c>
      <c r="B70" t="s">
        <v>393</v>
      </c>
      <c r="C70">
        <v>0.80700000000000005</v>
      </c>
      <c r="D70">
        <v>10000000000</v>
      </c>
      <c r="E70" t="s">
        <v>373</v>
      </c>
      <c r="F70">
        <v>8</v>
      </c>
      <c r="G70" s="178" t="str">
        <f>VLOOKUP(A70,'Инвест политика'!$A$26:$H$130,8,FALSE)</f>
        <v>BB+</v>
      </c>
      <c r="H70" s="178">
        <f t="shared" si="1"/>
        <v>1</v>
      </c>
    </row>
    <row r="71" spans="1:8" x14ac:dyDescent="0.25">
      <c r="A71" s="176" t="str">
        <f>'Инвест политика'!A94</f>
        <v>RU000A100VX2</v>
      </c>
      <c r="B71" t="s">
        <v>394</v>
      </c>
      <c r="C71">
        <v>6.1610000000000005</v>
      </c>
      <c r="D71">
        <v>7000000000</v>
      </c>
      <c r="E71" t="s">
        <v>373</v>
      </c>
      <c r="F71">
        <v>6</v>
      </c>
      <c r="G71" s="178" t="str">
        <f>VLOOKUP(A71,'Инвест политика'!$A$26:$H$130,8,FALSE)</f>
        <v>BBB-</v>
      </c>
      <c r="H71" s="178">
        <f t="shared" si="1"/>
        <v>2</v>
      </c>
    </row>
    <row r="72" spans="1:8" x14ac:dyDescent="0.25">
      <c r="A72" s="176" t="str">
        <f>'Инвест политика'!A95</f>
        <v>RU000A1008V9</v>
      </c>
      <c r="B72" t="s">
        <v>395</v>
      </c>
      <c r="C72">
        <v>0</v>
      </c>
      <c r="D72">
        <v>13400000000</v>
      </c>
      <c r="E72" t="s">
        <v>373</v>
      </c>
      <c r="F72">
        <v>8</v>
      </c>
      <c r="G72" s="178" t="str">
        <f>VLOOKUP(A72,'Инвест политика'!$A$26:$H$130,8,FALSE)</f>
        <v>BBB</v>
      </c>
      <c r="H72" s="178">
        <f t="shared" si="1"/>
        <v>2</v>
      </c>
    </row>
    <row r="73" spans="1:8" x14ac:dyDescent="0.25">
      <c r="A73" s="176" t="str">
        <f>'Инвест политика'!A96</f>
        <v>RU000A0JXVE5</v>
      </c>
      <c r="B73" t="s">
        <v>379</v>
      </c>
      <c r="C73">
        <v>0.99</v>
      </c>
      <c r="D73">
        <v>20000000000</v>
      </c>
      <c r="E73" t="s">
        <v>373</v>
      </c>
      <c r="F73">
        <v>9</v>
      </c>
      <c r="G73" s="178" t="str">
        <f>VLOOKUP(A73,'Инвест политика'!$A$26:$H$130,8,FALSE)</f>
        <v>BB+</v>
      </c>
      <c r="H73" s="178">
        <f t="shared" si="1"/>
        <v>1</v>
      </c>
    </row>
    <row r="74" spans="1:8" x14ac:dyDescent="0.25">
      <c r="A74" s="176" t="str">
        <f>'Инвест политика'!A97</f>
        <v>RU000A101D13</v>
      </c>
      <c r="B74" t="s">
        <v>396</v>
      </c>
      <c r="C74">
        <v>1.5130000000000001</v>
      </c>
      <c r="D74">
        <v>10000000000</v>
      </c>
      <c r="E74" t="s">
        <v>373</v>
      </c>
      <c r="F74">
        <v>8</v>
      </c>
      <c r="G74" s="178" t="str">
        <f>VLOOKUP(A74,'Инвест политика'!$A$26:$H$130,8,FALSE)</f>
        <v>BB-</v>
      </c>
      <c r="H74" s="178">
        <f t="shared" si="1"/>
        <v>2</v>
      </c>
    </row>
    <row r="75" spans="1:8" x14ac:dyDescent="0.25">
      <c r="A75" s="176" t="str">
        <f>'Инвест политика'!A98</f>
        <v>RU000A0JX1S1</v>
      </c>
      <c r="B75" t="s">
        <v>397</v>
      </c>
      <c r="C75">
        <v>1.444</v>
      </c>
      <c r="D75">
        <v>15000000000</v>
      </c>
      <c r="E75" t="s">
        <v>373</v>
      </c>
      <c r="F75">
        <v>9</v>
      </c>
      <c r="G75" s="178" t="str">
        <f>VLOOKUP(A75,'Инвест политика'!$A$26:$H$130,8,FALSE)</f>
        <v>BBB</v>
      </c>
      <c r="H75" s="178">
        <f t="shared" si="1"/>
        <v>1</v>
      </c>
    </row>
    <row r="76" spans="1:8" x14ac:dyDescent="0.25">
      <c r="A76" s="176" t="str">
        <f>'Инвест политика'!A99</f>
        <v>RU000A101KK0</v>
      </c>
      <c r="B76" t="s">
        <v>398</v>
      </c>
      <c r="C76">
        <v>2.5129999999999999</v>
      </c>
      <c r="D76">
        <v>6500000000</v>
      </c>
      <c r="E76" t="s">
        <v>373</v>
      </c>
      <c r="F76">
        <v>7</v>
      </c>
      <c r="G76" s="178" t="str">
        <f>VLOOKUP(A76,'Инвест политика'!$A$26:$H$130,8,FALSE)</f>
        <v>BBB</v>
      </c>
      <c r="H76" s="178">
        <f t="shared" si="1"/>
        <v>3</v>
      </c>
    </row>
    <row r="77" spans="1:8" x14ac:dyDescent="0.25">
      <c r="A77" s="176" t="str">
        <f>'Инвест политика'!A100</f>
        <v>XS1946883342</v>
      </c>
      <c r="B77" t="s">
        <v>399</v>
      </c>
      <c r="C77">
        <v>1.0740000000000001</v>
      </c>
      <c r="D77">
        <v>10000000000</v>
      </c>
      <c r="E77" t="s">
        <v>373</v>
      </c>
      <c r="F77">
        <v>8</v>
      </c>
      <c r="G77" s="178" t="str">
        <f>VLOOKUP(A77,'Инвест политика'!$A$26:$H$130,8,FALSE)</f>
        <v>BB+</v>
      </c>
      <c r="H77" s="178">
        <f t="shared" si="1"/>
        <v>1</v>
      </c>
    </row>
    <row r="78" spans="1:8" x14ac:dyDescent="0.25">
      <c r="A78" s="176" t="str">
        <f>'Инвест политика'!A101</f>
        <v>RU000A101MZ4</v>
      </c>
      <c r="B78" t="s">
        <v>382</v>
      </c>
      <c r="C78">
        <v>1.804</v>
      </c>
      <c r="D78">
        <v>7000000000</v>
      </c>
      <c r="E78" t="s">
        <v>373</v>
      </c>
      <c r="F78">
        <v>7</v>
      </c>
      <c r="G78" s="178" t="str">
        <f>VLOOKUP(A78,'Инвест политика'!$A$26:$H$130,8,FALSE)</f>
        <v>A-</v>
      </c>
      <c r="H78" s="178">
        <f t="shared" si="1"/>
        <v>3</v>
      </c>
    </row>
    <row r="79" spans="1:8" x14ac:dyDescent="0.25">
      <c r="A79" s="176" t="str">
        <f>'Инвест политика'!A102</f>
        <v>RU000A101S81</v>
      </c>
      <c r="B79" t="s">
        <v>400</v>
      </c>
      <c r="C79">
        <v>6.8260000000000005</v>
      </c>
      <c r="D79">
        <v>10000000000</v>
      </c>
      <c r="E79" t="s">
        <v>373</v>
      </c>
      <c r="F79">
        <v>7</v>
      </c>
      <c r="G79" s="178" t="str">
        <f>VLOOKUP(A79,'Инвест политика'!$A$26:$H$130,8,FALSE)</f>
        <v>BB-</v>
      </c>
      <c r="H79" s="178">
        <f t="shared" si="1"/>
        <v>2</v>
      </c>
    </row>
    <row r="80" spans="1:8" x14ac:dyDescent="0.25">
      <c r="A80" s="176" t="str">
        <f>'Инвест политика'!A103</f>
        <v>RU000A0ZZZN8</v>
      </c>
      <c r="B80" t="s">
        <v>383</v>
      </c>
      <c r="C80">
        <v>0.497</v>
      </c>
      <c r="D80">
        <v>1650000000</v>
      </c>
      <c r="E80" t="s">
        <v>373</v>
      </c>
      <c r="F80">
        <v>8</v>
      </c>
      <c r="G80" s="178" t="str">
        <f>VLOOKUP(A80,'Инвест политика'!$A$26:$H$130,8,FALSE)</f>
        <v>BB+</v>
      </c>
      <c r="H80" s="178">
        <f t="shared" si="1"/>
        <v>1</v>
      </c>
    </row>
    <row r="81" spans="1:8" x14ac:dyDescent="0.25">
      <c r="A81" s="176" t="str">
        <f>'Инвест политика'!A104</f>
        <v>XS1691350455</v>
      </c>
      <c r="B81" t="s">
        <v>401</v>
      </c>
      <c r="C81">
        <v>0.995</v>
      </c>
      <c r="D81">
        <v>20000000000</v>
      </c>
      <c r="E81" t="s">
        <v>373</v>
      </c>
      <c r="F81">
        <v>10</v>
      </c>
      <c r="G81" s="178" t="str">
        <f>VLOOKUP(A81,'Инвест политика'!$A$26:$H$130,8,FALSE)</f>
        <v>BBB-</v>
      </c>
      <c r="H81" s="178">
        <f t="shared" si="1"/>
        <v>1</v>
      </c>
    </row>
    <row r="82" spans="1:8" x14ac:dyDescent="0.25">
      <c r="A82" s="176" t="str">
        <f>'Инвест политика'!A105</f>
        <v>RU000A0JTLJ3</v>
      </c>
      <c r="B82" t="s">
        <v>402</v>
      </c>
      <c r="C82">
        <v>1.506</v>
      </c>
      <c r="D82">
        <v>5000000000</v>
      </c>
      <c r="E82" t="s">
        <v>373</v>
      </c>
      <c r="F82">
        <v>9</v>
      </c>
      <c r="G82" s="178" t="str">
        <f>VLOOKUP(A82,'Инвест политика'!$A$26:$H$130,8,FALSE)</f>
        <v>BB+</v>
      </c>
      <c r="H82" s="178">
        <f t="shared" si="1"/>
        <v>1</v>
      </c>
    </row>
    <row r="83" spans="1:8" x14ac:dyDescent="0.25">
      <c r="A83" s="176" t="str">
        <f>'Инвест политика'!A106</f>
        <v>RU000A0JTLL9</v>
      </c>
      <c r="B83" t="s">
        <v>402</v>
      </c>
      <c r="C83">
        <v>1.506</v>
      </c>
      <c r="D83">
        <v>5000000000</v>
      </c>
      <c r="E83" t="s">
        <v>373</v>
      </c>
      <c r="F83">
        <v>8</v>
      </c>
      <c r="G83" s="178" t="str">
        <f>VLOOKUP(A83,'Инвест политика'!$A$26:$H$130,8,FALSE)</f>
        <v>BB+</v>
      </c>
      <c r="H83" s="178">
        <f t="shared" si="1"/>
        <v>1</v>
      </c>
    </row>
    <row r="84" spans="1:8" x14ac:dyDescent="0.25">
      <c r="A84" s="176" t="str">
        <f>'Инвест политика'!A107</f>
        <v>RU000A0JRMB2</v>
      </c>
      <c r="B84" t="s">
        <v>472</v>
      </c>
      <c r="C84">
        <v>4.1000000000000002E-2</v>
      </c>
      <c r="D84">
        <v>5000000000</v>
      </c>
      <c r="E84" t="s">
        <v>373</v>
      </c>
      <c r="F84">
        <v>8</v>
      </c>
      <c r="G84" s="178" t="str">
        <f>VLOOKUP(A84,'Инвест политика'!$A$26:$H$130,8,FALSE)</f>
        <v>BB+</v>
      </c>
      <c r="H84" s="178">
        <f t="shared" si="1"/>
        <v>1</v>
      </c>
    </row>
    <row r="85" spans="1:8" x14ac:dyDescent="0.25">
      <c r="A85" s="176" t="str">
        <f>'Инвест политика'!A108</f>
        <v>RU000A0JRL96</v>
      </c>
      <c r="B85" t="s">
        <v>473</v>
      </c>
      <c r="C85">
        <v>0</v>
      </c>
      <c r="D85">
        <v>10000000000</v>
      </c>
      <c r="E85" t="s">
        <v>373</v>
      </c>
      <c r="F85">
        <v>8</v>
      </c>
      <c r="G85" s="178" t="str">
        <f>VLOOKUP(A85,'Инвест политика'!$A$26:$H$130,8,FALSE)</f>
        <v>BBB-</v>
      </c>
      <c r="H85" s="178">
        <f t="shared" si="1"/>
        <v>1</v>
      </c>
    </row>
    <row r="86" spans="1:8" x14ac:dyDescent="0.25">
      <c r="A86" s="176" t="str">
        <f>'Инвест политика'!A109</f>
        <v>RU000A102Y58</v>
      </c>
      <c r="B86" t="s">
        <v>488</v>
      </c>
      <c r="C86">
        <v>2.4390000000000001</v>
      </c>
      <c r="D86">
        <v>6000000000</v>
      </c>
      <c r="E86" t="s">
        <v>373</v>
      </c>
      <c r="F86">
        <v>7</v>
      </c>
      <c r="G86" s="178" t="str">
        <f>VLOOKUP(A86,'Инвест политика'!$A$26:$H$130,8,FALSE)</f>
        <v>B+</v>
      </c>
      <c r="H86" s="178">
        <f t="shared" si="1"/>
        <v>3</v>
      </c>
    </row>
    <row r="87" spans="1:8" x14ac:dyDescent="0.25">
      <c r="A87" s="176" t="str">
        <f>'Инвест политика'!A110</f>
        <v>RU000A0JS5R1</v>
      </c>
      <c r="B87" t="s">
        <v>489</v>
      </c>
      <c r="C87">
        <v>0.73599999999999999</v>
      </c>
      <c r="D87">
        <v>5000000000</v>
      </c>
      <c r="E87" t="s">
        <v>373</v>
      </c>
      <c r="F87">
        <v>6</v>
      </c>
      <c r="G87" s="178" t="str">
        <f>VLOOKUP(A87,'Инвест политика'!$A$26:$H$130,8,FALSE)</f>
        <v>BB</v>
      </c>
      <c r="H87" s="178">
        <f t="shared" si="1"/>
        <v>3</v>
      </c>
    </row>
    <row r="88" spans="1:8" x14ac:dyDescent="0.25">
      <c r="A88" s="176" t="str">
        <f>'Инвест политика'!A111</f>
        <v>RU000A0JS603</v>
      </c>
      <c r="B88" t="s">
        <v>490</v>
      </c>
      <c r="C88">
        <v>1.1080000000000001</v>
      </c>
      <c r="D88">
        <v>5000000000</v>
      </c>
      <c r="E88" t="s">
        <v>373</v>
      </c>
      <c r="F88">
        <v>6</v>
      </c>
      <c r="G88" s="178" t="str">
        <f>VLOOKUP(A88,'Инвест политика'!$A$26:$H$130,8,FALSE)</f>
        <v>BB</v>
      </c>
      <c r="H88" s="178">
        <f t="shared" si="1"/>
        <v>3</v>
      </c>
    </row>
    <row r="89" spans="1:8" x14ac:dyDescent="0.25">
      <c r="A89" s="176" t="str">
        <f>'Инвест политика'!A112</f>
        <v>RU000A0ZYZ26</v>
      </c>
      <c r="B89" t="s">
        <v>403</v>
      </c>
      <c r="C89">
        <v>6.0990000000000002</v>
      </c>
      <c r="D89">
        <v>276950000000</v>
      </c>
      <c r="E89" t="s">
        <v>373</v>
      </c>
      <c r="F89">
        <v>8</v>
      </c>
      <c r="G89" s="178" t="str">
        <f>VLOOKUP(A89,'Инвест политика'!$A$26:$H$130,8,FALSE)</f>
        <v>BBB-</v>
      </c>
      <c r="H89" s="178">
        <f t="shared" si="1"/>
        <v>1</v>
      </c>
    </row>
    <row r="90" spans="1:8" x14ac:dyDescent="0.25">
      <c r="A90" s="176" t="str">
        <f>'Инвест политика'!A113</f>
        <v>RU000A1007F4</v>
      </c>
      <c r="B90" t="s">
        <v>405</v>
      </c>
      <c r="C90">
        <v>2.7450000000000001</v>
      </c>
      <c r="D90">
        <v>400000000000</v>
      </c>
      <c r="E90" t="s">
        <v>373</v>
      </c>
      <c r="F90">
        <v>9</v>
      </c>
      <c r="G90" s="178" t="str">
        <f>VLOOKUP(A90,'Инвест политика'!$A$26:$H$130,8,FALSE)</f>
        <v>BBB-</v>
      </c>
      <c r="H90" s="178">
        <f t="shared" si="1"/>
        <v>1</v>
      </c>
    </row>
    <row r="91" spans="1:8" x14ac:dyDescent="0.25">
      <c r="A91" s="176" t="str">
        <f>'Инвест политика'!A114</f>
        <v>RU000A100EG3</v>
      </c>
      <c r="B91" t="s">
        <v>406</v>
      </c>
      <c r="C91">
        <v>3.8490000000000002</v>
      </c>
      <c r="D91">
        <v>450000000000</v>
      </c>
      <c r="E91" t="s">
        <v>373</v>
      </c>
      <c r="F91">
        <v>10</v>
      </c>
      <c r="G91" s="178" t="str">
        <f>VLOOKUP(A91,'Инвест политика'!$A$26:$H$130,8,FALSE)</f>
        <v>BBB-</v>
      </c>
      <c r="H91" s="178">
        <f t="shared" si="1"/>
        <v>1</v>
      </c>
    </row>
    <row r="92" spans="1:8" x14ac:dyDescent="0.25">
      <c r="A92" s="176" t="str">
        <f>'Инвест политика'!A115</f>
        <v>RU000A1014N4</v>
      </c>
      <c r="B92" t="s">
        <v>407</v>
      </c>
      <c r="C92">
        <v>5.2690000000000001</v>
      </c>
      <c r="D92">
        <v>450000000000</v>
      </c>
      <c r="E92" t="s">
        <v>373</v>
      </c>
      <c r="F92">
        <v>9</v>
      </c>
      <c r="G92" s="178" t="str">
        <f>VLOOKUP(A92,'Инвест политика'!$A$26:$H$130,8,FALSE)</f>
        <v>BBB-</v>
      </c>
      <c r="H92" s="178">
        <f t="shared" si="1"/>
        <v>1</v>
      </c>
    </row>
    <row r="93" spans="1:8" x14ac:dyDescent="0.25">
      <c r="A93" s="176" t="str">
        <f>'Инвест политика'!A116</f>
        <v>RU000A0JWM07</v>
      </c>
      <c r="B93" t="s">
        <v>408</v>
      </c>
      <c r="C93">
        <v>4.367</v>
      </c>
      <c r="D93">
        <v>350000000000</v>
      </c>
      <c r="E93" t="s">
        <v>373</v>
      </c>
      <c r="F93">
        <v>10</v>
      </c>
      <c r="G93" s="178" t="str">
        <f>VLOOKUP(A93,'Инвест политика'!$A$26:$H$130,8,FALSE)</f>
        <v>BBB-</v>
      </c>
      <c r="H93" s="178">
        <f t="shared" si="1"/>
        <v>1</v>
      </c>
    </row>
    <row r="94" spans="1:8" x14ac:dyDescent="0.25">
      <c r="A94" s="176" t="str">
        <f>'Инвест политика'!A117</f>
        <v>RU000A0JV4M0</v>
      </c>
      <c r="B94" t="s">
        <v>453</v>
      </c>
      <c r="C94">
        <v>4.8870000000000005</v>
      </c>
      <c r="D94">
        <v>190287001000</v>
      </c>
      <c r="E94" t="s">
        <v>373</v>
      </c>
      <c r="F94">
        <v>9</v>
      </c>
      <c r="G94" s="178" t="str">
        <f>VLOOKUP(A94,'Инвест политика'!$A$26:$H$130,8,FALSE)</f>
        <v>BBB-</v>
      </c>
      <c r="H94" s="178">
        <f t="shared" si="1"/>
        <v>1</v>
      </c>
    </row>
    <row r="95" spans="1:8" x14ac:dyDescent="0.25">
      <c r="A95" s="176" t="str">
        <f>'Инвест политика'!A118</f>
        <v>BANEP</v>
      </c>
      <c r="B95" t="s">
        <v>414</v>
      </c>
      <c r="C95" t="s">
        <v>419</v>
      </c>
      <c r="D95" t="s">
        <v>416</v>
      </c>
      <c r="E95" t="s">
        <v>417</v>
      </c>
      <c r="F95" t="s">
        <v>418</v>
      </c>
      <c r="G95" s="178">
        <f>VLOOKUP(A95,'Инвест политика'!$A$26:$H$130,8,FALSE)</f>
        <v>0</v>
      </c>
      <c r="H95" s="178" t="str">
        <f t="shared" si="1"/>
        <v>Ошибка, не численные значения</v>
      </c>
    </row>
    <row r="96" spans="1:8" x14ac:dyDescent="0.25">
      <c r="A96" s="176" t="str">
        <f>'Инвест политика'!A119</f>
        <v>TRNFP</v>
      </c>
      <c r="B96" t="s">
        <v>414</v>
      </c>
      <c r="C96" t="s">
        <v>419</v>
      </c>
      <c r="D96" t="s">
        <v>416</v>
      </c>
      <c r="E96" t="s">
        <v>417</v>
      </c>
      <c r="F96" t="s">
        <v>418</v>
      </c>
      <c r="G96" s="178">
        <f>VLOOKUP(A96,'Инвест политика'!$A$26:$H$130,8,FALSE)</f>
        <v>0</v>
      </c>
      <c r="H96" s="178" t="str">
        <f t="shared" si="1"/>
        <v>Ошибка, не численные значения</v>
      </c>
    </row>
    <row r="97" spans="1:8" x14ac:dyDescent="0.25">
      <c r="A97" s="176" t="str">
        <f>'Инвест политика'!A120</f>
        <v>RU000A102CL3</v>
      </c>
      <c r="B97" t="s">
        <v>409</v>
      </c>
      <c r="C97">
        <v>10.281000000000001</v>
      </c>
      <c r="D97">
        <v>1250000000</v>
      </c>
      <c r="E97" t="s">
        <v>350</v>
      </c>
      <c r="F97">
        <v>8</v>
      </c>
      <c r="G97" s="178" t="str">
        <f>VLOOKUP(A97,'Инвест политика'!$A$26:$H$130,8,FALSE)</f>
        <v>BBB-</v>
      </c>
      <c r="H97" s="178">
        <f t="shared" si="1"/>
        <v>1</v>
      </c>
    </row>
    <row r="98" spans="1:8" x14ac:dyDescent="0.25">
      <c r="A98" s="176" t="str">
        <f>'Инвест политика'!A121</f>
        <v>RU000A102CL3</v>
      </c>
      <c r="B98" t="s">
        <v>409</v>
      </c>
      <c r="C98">
        <v>10.281000000000001</v>
      </c>
      <c r="D98">
        <v>1250000000</v>
      </c>
      <c r="E98" t="s">
        <v>350</v>
      </c>
      <c r="F98">
        <v>8</v>
      </c>
      <c r="G98" s="178" t="str">
        <f>VLOOKUP(A98,'Инвест политика'!$A$26:$H$130,8,FALSE)</f>
        <v>BBB-</v>
      </c>
      <c r="H98" s="178">
        <f t="shared" si="1"/>
        <v>1</v>
      </c>
    </row>
    <row r="99" spans="1:8" x14ac:dyDescent="0.25">
      <c r="A99" s="176">
        <f>'Инвест политика'!A122</f>
        <v>0</v>
      </c>
      <c r="B99" t="s">
        <v>424</v>
      </c>
      <c r="C99" t="s">
        <v>419</v>
      </c>
      <c r="D99">
        <v>0</v>
      </c>
      <c r="E99" t="s">
        <v>373</v>
      </c>
      <c r="F99" t="s">
        <v>421</v>
      </c>
      <c r="G99" s="178" t="e">
        <f>VLOOKUP(A99,'Инвест политика'!$A$26:$H$130,8,FALSE)</f>
        <v>#N/A</v>
      </c>
      <c r="H99" s="178" t="str">
        <f t="shared" si="1"/>
        <v>Ошибка, не численные значения</v>
      </c>
    </row>
    <row r="100" spans="1:8" x14ac:dyDescent="0.25">
      <c r="A100" s="176">
        <f>'Инвест политика'!A123</f>
        <v>0</v>
      </c>
      <c r="B100" t="s">
        <v>424</v>
      </c>
      <c r="C100" t="s">
        <v>419</v>
      </c>
      <c r="D100">
        <v>0</v>
      </c>
      <c r="E100" t="s">
        <v>373</v>
      </c>
      <c r="F100" t="s">
        <v>421</v>
      </c>
      <c r="G100" s="178" t="e">
        <f>VLOOKUP(A100,'Инвест политика'!$A$26:$H$130,8,FALSE)</f>
        <v>#N/A</v>
      </c>
      <c r="H100" s="178" t="str">
        <f t="shared" si="1"/>
        <v>Ошибка, не численные значения</v>
      </c>
    </row>
    <row r="101" spans="1:8" x14ac:dyDescent="0.25">
      <c r="A101" s="176">
        <f>'Инвест политика'!A124</f>
        <v>0</v>
      </c>
      <c r="B101" t="s">
        <v>424</v>
      </c>
      <c r="C101" t="s">
        <v>419</v>
      </c>
      <c r="D101">
        <v>0</v>
      </c>
      <c r="E101" t="s">
        <v>373</v>
      </c>
      <c r="F101" t="s">
        <v>421</v>
      </c>
      <c r="G101" s="178" t="e">
        <f>VLOOKUP(A101,'Инвест политика'!$A$26:$H$130,8,FALSE)</f>
        <v>#N/A</v>
      </c>
      <c r="H101" s="178" t="str">
        <f t="shared" si="1"/>
        <v>Ошибка, не численные значения</v>
      </c>
    </row>
    <row r="102" spans="1:8" x14ac:dyDescent="0.25">
      <c r="A102" s="176">
        <f>'Инвест политика'!A125</f>
        <v>0</v>
      </c>
      <c r="B102" t="s">
        <v>424</v>
      </c>
      <c r="C102" t="s">
        <v>419</v>
      </c>
      <c r="D102">
        <v>0</v>
      </c>
      <c r="E102" t="s">
        <v>373</v>
      </c>
      <c r="F102" t="s">
        <v>421</v>
      </c>
      <c r="G102" s="178" t="e">
        <f>VLOOKUP(A102,'Инвест политика'!$A$26:$H$130,8,FALSE)</f>
        <v>#N/A</v>
      </c>
      <c r="H102" s="178" t="str">
        <f t="shared" si="1"/>
        <v>Ошибка, не численные значения</v>
      </c>
    </row>
    <row r="103" spans="1:8" x14ac:dyDescent="0.25">
      <c r="A103" s="176">
        <f>'Инвест политика'!A126</f>
        <v>0</v>
      </c>
      <c r="B103" t="s">
        <v>424</v>
      </c>
      <c r="C103" t="s">
        <v>419</v>
      </c>
      <c r="D103">
        <v>0</v>
      </c>
      <c r="E103" t="s">
        <v>373</v>
      </c>
      <c r="F103" t="s">
        <v>421</v>
      </c>
      <c r="G103" s="178" t="e">
        <f>VLOOKUP(A103,'Инвест политика'!$A$26:$H$130,8,FALSE)</f>
        <v>#N/A</v>
      </c>
      <c r="H103" s="178" t="str">
        <f t="shared" si="1"/>
        <v>Ошибка, не численные значения</v>
      </c>
    </row>
    <row r="104" spans="1:8" x14ac:dyDescent="0.25">
      <c r="A104" s="176">
        <f>'Инвест политика'!A127</f>
        <v>0</v>
      </c>
      <c r="B104" t="s">
        <v>424</v>
      </c>
      <c r="C104" t="s">
        <v>419</v>
      </c>
      <c r="D104">
        <v>0</v>
      </c>
      <c r="E104" t="s">
        <v>373</v>
      </c>
      <c r="F104" t="s">
        <v>421</v>
      </c>
      <c r="G104" s="178" t="e">
        <f>VLOOKUP(A104,'Инвест политика'!$A$26:$H$130,8,FALSE)</f>
        <v>#N/A</v>
      </c>
      <c r="H104" s="178" t="str">
        <f t="shared" si="1"/>
        <v>Ошибка, не численные значения</v>
      </c>
    </row>
    <row r="105" spans="1:8" x14ac:dyDescent="0.25">
      <c r="A105" s="176">
        <f>'Инвест политика'!A128</f>
        <v>0</v>
      </c>
      <c r="B105" t="s">
        <v>424</v>
      </c>
      <c r="C105" t="s">
        <v>419</v>
      </c>
      <c r="D105">
        <v>0</v>
      </c>
      <c r="E105" t="s">
        <v>373</v>
      </c>
      <c r="F105" t="s">
        <v>421</v>
      </c>
      <c r="G105" s="178" t="e">
        <f>VLOOKUP(A105,'Инвест политика'!$A$26:$H$130,8,FALSE)</f>
        <v>#N/A</v>
      </c>
      <c r="H105" s="178" t="str">
        <f t="shared" si="1"/>
        <v>Ошибка, не численные значения</v>
      </c>
    </row>
    <row r="106" spans="1:8" x14ac:dyDescent="0.25">
      <c r="A106" s="176">
        <f>'Инвест политика'!A129</f>
        <v>0</v>
      </c>
      <c r="B106" t="s">
        <v>424</v>
      </c>
      <c r="C106" t="s">
        <v>419</v>
      </c>
      <c r="D106">
        <v>0</v>
      </c>
      <c r="E106" t="s">
        <v>373</v>
      </c>
      <c r="F106" t="s">
        <v>421</v>
      </c>
      <c r="G106" s="178" t="e">
        <f>VLOOKUP(A106,'Инвест политика'!$A$26:$H$130,8,FALSE)</f>
        <v>#N/A</v>
      </c>
      <c r="H106" s="178" t="str">
        <f t="shared" si="1"/>
        <v>Ошибка, не численные значения</v>
      </c>
    </row>
    <row r="107" spans="1:8" x14ac:dyDescent="0.25">
      <c r="A107" s="176">
        <f>'Инвест политика'!A130</f>
        <v>0</v>
      </c>
      <c r="B107" t="s">
        <v>424</v>
      </c>
      <c r="C107" t="s">
        <v>419</v>
      </c>
      <c r="D107">
        <v>0</v>
      </c>
      <c r="E107" t="s">
        <v>373</v>
      </c>
      <c r="F107" t="s">
        <v>421</v>
      </c>
      <c r="G107" s="178" t="e">
        <f>VLOOKUP(A107,'Инвест политика'!$A$26:$H$130,8,FALSE)</f>
        <v>#N/A</v>
      </c>
      <c r="H107" s="178" t="str">
        <f t="shared" si="1"/>
        <v>Ошибка, не численные значения</v>
      </c>
    </row>
    <row r="108" spans="1:8" x14ac:dyDescent="0.25">
      <c r="A108" s="176">
        <f>'Инвест политика'!A131</f>
        <v>0</v>
      </c>
      <c r="B108" t="s">
        <v>424</v>
      </c>
      <c r="C108" t="s">
        <v>419</v>
      </c>
      <c r="D108">
        <v>0</v>
      </c>
      <c r="E108" t="s">
        <v>373</v>
      </c>
      <c r="F108" t="s">
        <v>421</v>
      </c>
      <c r="G108" s="178" t="e">
        <f>VLOOKUP(A108,'Инвест политика'!$A$26:$H$130,8,FALSE)</f>
        <v>#N/A</v>
      </c>
      <c r="H108" s="178" t="str">
        <f t="shared" si="1"/>
        <v>Ошибка, не численные значения</v>
      </c>
    </row>
    <row r="109" spans="1:8" x14ac:dyDescent="0.25">
      <c r="A109" s="176">
        <f>'Инвест политика'!A132</f>
        <v>0</v>
      </c>
      <c r="B109" t="s">
        <v>424</v>
      </c>
      <c r="C109" t="s">
        <v>419</v>
      </c>
      <c r="D109">
        <v>0</v>
      </c>
      <c r="E109" t="s">
        <v>373</v>
      </c>
      <c r="F109" t="s">
        <v>421</v>
      </c>
      <c r="G109" s="178" t="e">
        <f>VLOOKUP(A109,'Инвест политика'!$A$26:$H$130,8,FALSE)</f>
        <v>#N/A</v>
      </c>
      <c r="H109" s="178" t="str">
        <f t="shared" si="1"/>
        <v>Ошибка, не численные значения</v>
      </c>
    </row>
    <row r="110" spans="1:8" x14ac:dyDescent="0.25">
      <c r="A110" s="176">
        <f>'Инвест политика'!A133</f>
        <v>0</v>
      </c>
      <c r="B110" t="s">
        <v>424</v>
      </c>
      <c r="C110" t="s">
        <v>419</v>
      </c>
      <c r="D110">
        <v>0</v>
      </c>
      <c r="E110" t="s">
        <v>373</v>
      </c>
      <c r="F110" t="s">
        <v>421</v>
      </c>
      <c r="G110" s="178" t="e">
        <f>VLOOKUP(A110,'Инвест политика'!$A$26:$H$130,8,FALSE)</f>
        <v>#N/A</v>
      </c>
      <c r="H110" s="178" t="str">
        <f t="shared" si="1"/>
        <v>Ошибка, не численные значения</v>
      </c>
    </row>
    <row r="111" spans="1:8" x14ac:dyDescent="0.25">
      <c r="A111" s="176">
        <f>'Инвест политика'!A134</f>
        <v>0</v>
      </c>
      <c r="B111" t="s">
        <v>424</v>
      </c>
      <c r="C111" t="s">
        <v>419</v>
      </c>
      <c r="D111">
        <v>0</v>
      </c>
      <c r="E111" t="s">
        <v>373</v>
      </c>
      <c r="F111" t="s">
        <v>421</v>
      </c>
      <c r="G111" s="178" t="e">
        <f>VLOOKUP(A111,'Инвест политика'!$A$26:$H$130,8,FALSE)</f>
        <v>#N/A</v>
      </c>
      <c r="H111" s="178" t="str">
        <f t="shared" si="1"/>
        <v>Ошибка, не численные значения</v>
      </c>
    </row>
    <row r="112" spans="1:8" x14ac:dyDescent="0.25">
      <c r="A112" s="176">
        <f>'Инвест политика'!A135</f>
        <v>0</v>
      </c>
      <c r="B112" t="s">
        <v>424</v>
      </c>
      <c r="C112" t="s">
        <v>419</v>
      </c>
      <c r="D112">
        <v>0</v>
      </c>
      <c r="E112" t="s">
        <v>373</v>
      </c>
      <c r="F112" t="s">
        <v>421</v>
      </c>
      <c r="G112" s="178" t="e">
        <f>VLOOKUP(A112,'Инвест политика'!$A$26:$H$130,8,FALSE)</f>
        <v>#N/A</v>
      </c>
      <c r="H112" s="178" t="str">
        <f t="shared" si="1"/>
        <v>Ошибка, не численные значения</v>
      </c>
    </row>
    <row r="113" spans="1:8" x14ac:dyDescent="0.25">
      <c r="A113" s="176">
        <f>'Инвест политика'!A136</f>
        <v>0</v>
      </c>
      <c r="B113" t="s">
        <v>424</v>
      </c>
      <c r="C113" t="s">
        <v>419</v>
      </c>
      <c r="D113">
        <v>0</v>
      </c>
      <c r="E113" t="s">
        <v>373</v>
      </c>
      <c r="F113" t="s">
        <v>421</v>
      </c>
      <c r="G113" s="178" t="e">
        <f>VLOOKUP(A113,'Инвест политика'!$A$26:$H$130,8,FALSE)</f>
        <v>#N/A</v>
      </c>
      <c r="H113" s="178" t="str">
        <f t="shared" si="1"/>
        <v>Ошибка, не численные значения</v>
      </c>
    </row>
    <row r="114" spans="1:8" x14ac:dyDescent="0.25">
      <c r="A114" s="176">
        <f>'Инвест политика'!A137</f>
        <v>0</v>
      </c>
      <c r="B114" t="s">
        <v>424</v>
      </c>
      <c r="C114" t="s">
        <v>419</v>
      </c>
      <c r="D114">
        <v>0</v>
      </c>
      <c r="E114" t="s">
        <v>373</v>
      </c>
      <c r="F114" t="s">
        <v>421</v>
      </c>
      <c r="G114" s="178" t="e">
        <f>VLOOKUP(A114,'Инвест политика'!$A$26:$H$130,8,FALSE)</f>
        <v>#N/A</v>
      </c>
      <c r="H114" s="178" t="str">
        <f t="shared" si="1"/>
        <v>Ошибка, не численные значения</v>
      </c>
    </row>
    <row r="115" spans="1:8" x14ac:dyDescent="0.25">
      <c r="A115" s="176">
        <f>'Инвест политика'!A138</f>
        <v>0</v>
      </c>
      <c r="B115" t="s">
        <v>424</v>
      </c>
      <c r="C115" t="s">
        <v>419</v>
      </c>
      <c r="D115">
        <v>0</v>
      </c>
      <c r="E115" t="s">
        <v>373</v>
      </c>
      <c r="F115" t="s">
        <v>421</v>
      </c>
      <c r="G115" s="178" t="e">
        <f>VLOOKUP(A115,'Инвест политика'!$A$26:$H$130,8,FALSE)</f>
        <v>#N/A</v>
      </c>
      <c r="H115" s="178" t="str">
        <f t="shared" si="1"/>
        <v>Ошибка, не численные значения</v>
      </c>
    </row>
    <row r="116" spans="1:8" x14ac:dyDescent="0.25">
      <c r="A116" s="176">
        <f>'Инвест политика'!A139</f>
        <v>0</v>
      </c>
      <c r="B116" t="s">
        <v>424</v>
      </c>
      <c r="C116" t="s">
        <v>419</v>
      </c>
      <c r="D116">
        <v>0</v>
      </c>
      <c r="E116" t="s">
        <v>373</v>
      </c>
      <c r="F116" t="s">
        <v>421</v>
      </c>
      <c r="G116" s="178" t="e">
        <f>VLOOKUP(A116,'Инвест политика'!$A$26:$H$130,8,FALSE)</f>
        <v>#N/A</v>
      </c>
      <c r="H116" s="178" t="str">
        <f t="shared" si="1"/>
        <v>Ошибка, не численные значения</v>
      </c>
    </row>
    <row r="117" spans="1:8" x14ac:dyDescent="0.25">
      <c r="A117" s="176">
        <f>'Инвест политика'!A140</f>
        <v>0</v>
      </c>
      <c r="B117" t="s">
        <v>424</v>
      </c>
      <c r="C117" t="s">
        <v>419</v>
      </c>
      <c r="D117">
        <v>0</v>
      </c>
      <c r="E117" t="s">
        <v>373</v>
      </c>
      <c r="F117" t="s">
        <v>421</v>
      </c>
      <c r="G117" s="178" t="e">
        <f>VLOOKUP(A117,'Инвест политика'!$A$26:$H$130,8,FALSE)</f>
        <v>#N/A</v>
      </c>
      <c r="H117" s="178" t="str">
        <f t="shared" si="1"/>
        <v>Ошибка, не численные значения</v>
      </c>
    </row>
    <row r="118" spans="1:8" x14ac:dyDescent="0.25">
      <c r="A118" s="176">
        <f>'Инвест политика'!A141</f>
        <v>0</v>
      </c>
      <c r="B118" t="s">
        <v>424</v>
      </c>
      <c r="C118" t="s">
        <v>419</v>
      </c>
      <c r="D118">
        <v>0</v>
      </c>
      <c r="E118" t="s">
        <v>373</v>
      </c>
      <c r="F118" t="s">
        <v>421</v>
      </c>
      <c r="G118" s="178" t="e">
        <f>VLOOKUP(A118,'Инвест политика'!$A$26:$H$130,8,FALSE)</f>
        <v>#N/A</v>
      </c>
      <c r="H118" s="178" t="str">
        <f t="shared" si="1"/>
        <v>Ошибка, не численные значения</v>
      </c>
    </row>
    <row r="119" spans="1:8" x14ac:dyDescent="0.25">
      <c r="A119" s="176">
        <f>'Инвест политика'!A142</f>
        <v>0</v>
      </c>
      <c r="B119" t="s">
        <v>424</v>
      </c>
      <c r="C119" t="s">
        <v>419</v>
      </c>
      <c r="D119">
        <v>0</v>
      </c>
      <c r="E119" t="s">
        <v>373</v>
      </c>
      <c r="F119" t="s">
        <v>421</v>
      </c>
      <c r="G119" s="178" t="e">
        <f>VLOOKUP(A119,'Инвест политика'!$A$26:$H$130,8,FALSE)</f>
        <v>#N/A</v>
      </c>
      <c r="H119" s="178" t="str">
        <f t="shared" si="1"/>
        <v>Ошибка, не численные значения</v>
      </c>
    </row>
    <row r="120" spans="1:8" x14ac:dyDescent="0.25">
      <c r="A120" s="176">
        <f>'Инвест политика'!A143</f>
        <v>0</v>
      </c>
      <c r="B120" t="s">
        <v>424</v>
      </c>
      <c r="C120" t="s">
        <v>419</v>
      </c>
      <c r="D120">
        <v>0</v>
      </c>
      <c r="E120" t="s">
        <v>373</v>
      </c>
      <c r="F120" t="s">
        <v>421</v>
      </c>
      <c r="G120" s="178" t="e">
        <f>VLOOKUP(A120,'Инвест политика'!$A$26:$H$130,8,FALSE)</f>
        <v>#N/A</v>
      </c>
      <c r="H120" s="178" t="str">
        <f t="shared" si="1"/>
        <v>Ошибка, не численные значения</v>
      </c>
    </row>
    <row r="121" spans="1:8" x14ac:dyDescent="0.25">
      <c r="A121" s="176">
        <f>'Инвест политика'!A144</f>
        <v>0</v>
      </c>
      <c r="B121" t="s">
        <v>424</v>
      </c>
      <c r="C121" t="s">
        <v>419</v>
      </c>
      <c r="D121">
        <v>0</v>
      </c>
      <c r="E121" t="s">
        <v>373</v>
      </c>
      <c r="F121" t="s">
        <v>421</v>
      </c>
      <c r="G121" s="178" t="e">
        <f>VLOOKUP(A121,'Инвест политика'!$A$26:$H$130,8,FALSE)</f>
        <v>#N/A</v>
      </c>
      <c r="H121" s="178" t="str">
        <f t="shared" si="1"/>
        <v>Ошибка, не численные значения</v>
      </c>
    </row>
    <row r="122" spans="1:8" x14ac:dyDescent="0.25">
      <c r="A122" s="176">
        <f>'Инвест политика'!A145</f>
        <v>0</v>
      </c>
      <c r="B122" t="s">
        <v>424</v>
      </c>
      <c r="C122" t="s">
        <v>419</v>
      </c>
      <c r="D122">
        <v>0</v>
      </c>
      <c r="E122" t="s">
        <v>373</v>
      </c>
      <c r="F122" t="s">
        <v>421</v>
      </c>
      <c r="G122" s="178" t="e">
        <f>VLOOKUP(A122,'Инвест политика'!$A$26:$H$130,8,FALSE)</f>
        <v>#N/A</v>
      </c>
      <c r="H122" s="178" t="str">
        <f t="shared" si="1"/>
        <v>Ошибка, не численные значения</v>
      </c>
    </row>
    <row r="123" spans="1:8" x14ac:dyDescent="0.25">
      <c r="A123" s="176">
        <f>'Инвест политика'!A146</f>
        <v>0</v>
      </c>
      <c r="B123" t="s">
        <v>424</v>
      </c>
      <c r="C123" t="s">
        <v>419</v>
      </c>
      <c r="D123">
        <v>0</v>
      </c>
      <c r="E123" t="s">
        <v>373</v>
      </c>
      <c r="F123" t="s">
        <v>421</v>
      </c>
      <c r="G123" s="178" t="e">
        <f>VLOOKUP(A123,'Инвест политика'!$A$26:$H$130,8,FALSE)</f>
        <v>#N/A</v>
      </c>
      <c r="H123" s="178" t="str">
        <f t="shared" si="1"/>
        <v>Ошибка, не численные значения</v>
      </c>
    </row>
    <row r="124" spans="1:8" x14ac:dyDescent="0.25">
      <c r="A124" s="176">
        <f>'Инвест политика'!A147</f>
        <v>0</v>
      </c>
      <c r="B124" t="s">
        <v>424</v>
      </c>
      <c r="C124" t="s">
        <v>419</v>
      </c>
      <c r="D124">
        <v>0</v>
      </c>
      <c r="E124" t="s">
        <v>373</v>
      </c>
      <c r="F124" t="s">
        <v>421</v>
      </c>
      <c r="G124" s="178" t="e">
        <f>VLOOKUP(A124,'Инвест политика'!$A$26:$H$130,8,FALSE)</f>
        <v>#N/A</v>
      </c>
      <c r="H124" s="178" t="str">
        <f t="shared" si="1"/>
        <v>Ошибка, не численные значения</v>
      </c>
    </row>
    <row r="125" spans="1:8" x14ac:dyDescent="0.25">
      <c r="A125" s="176">
        <f>'Инвест политика'!A148</f>
        <v>0</v>
      </c>
      <c r="B125" t="s">
        <v>424</v>
      </c>
      <c r="C125" t="s">
        <v>419</v>
      </c>
      <c r="D125">
        <v>0</v>
      </c>
      <c r="E125" t="s">
        <v>373</v>
      </c>
      <c r="F125" t="s">
        <v>421</v>
      </c>
      <c r="G125" s="178" t="e">
        <f>VLOOKUP(A125,'Инвест политика'!$A$26:$H$130,8,FALSE)</f>
        <v>#N/A</v>
      </c>
      <c r="H125" s="178" t="str">
        <f t="shared" si="1"/>
        <v>Ошибка, не численные значения</v>
      </c>
    </row>
    <row r="126" spans="1:8" x14ac:dyDescent="0.25">
      <c r="A126" s="176">
        <f>'Инвест политика'!A149</f>
        <v>0</v>
      </c>
      <c r="B126" t="s">
        <v>424</v>
      </c>
      <c r="C126" t="s">
        <v>419</v>
      </c>
      <c r="D126">
        <v>0</v>
      </c>
      <c r="E126" t="s">
        <v>373</v>
      </c>
      <c r="F126" t="s">
        <v>421</v>
      </c>
      <c r="G126" s="178" t="e">
        <f>VLOOKUP(A126,'Инвест политика'!$A$26:$H$130,8,FALSE)</f>
        <v>#N/A</v>
      </c>
      <c r="H126" s="178" t="str">
        <f t="shared" si="1"/>
        <v>Ошибка, не численные значения</v>
      </c>
    </row>
    <row r="127" spans="1:8" x14ac:dyDescent="0.25">
      <c r="A127" s="176">
        <f>'Инвест политика'!A150</f>
        <v>0</v>
      </c>
      <c r="B127" t="s">
        <v>424</v>
      </c>
      <c r="C127" t="s">
        <v>419</v>
      </c>
      <c r="D127">
        <v>0</v>
      </c>
      <c r="E127" t="s">
        <v>373</v>
      </c>
      <c r="F127" t="s">
        <v>421</v>
      </c>
      <c r="G127" s="178" t="e">
        <f>VLOOKUP(A127,'Инвест политика'!$A$26:$H$130,8,FALSE)</f>
        <v>#N/A</v>
      </c>
      <c r="H127" s="178" t="str">
        <f t="shared" si="1"/>
        <v>Ошибка, не численные значения</v>
      </c>
    </row>
    <row r="128" spans="1:8" x14ac:dyDescent="0.25">
      <c r="A128" s="176">
        <f>'Инвест политика'!A151</f>
        <v>0</v>
      </c>
      <c r="B128" t="s">
        <v>424</v>
      </c>
      <c r="C128" t="s">
        <v>419</v>
      </c>
      <c r="D128">
        <v>0</v>
      </c>
      <c r="E128" t="s">
        <v>373</v>
      </c>
      <c r="F128" t="s">
        <v>421</v>
      </c>
      <c r="G128" s="178" t="e">
        <f>VLOOKUP(A128,'Инвест политика'!$A$26:$H$130,8,FALSE)</f>
        <v>#N/A</v>
      </c>
      <c r="H128" s="178" t="str">
        <f t="shared" si="1"/>
        <v>Ошибка, не численные значения</v>
      </c>
    </row>
    <row r="129" spans="1:8" x14ac:dyDescent="0.25">
      <c r="A129" s="176">
        <f>'Инвест политика'!A152</f>
        <v>0</v>
      </c>
      <c r="B129" t="s">
        <v>424</v>
      </c>
      <c r="C129" t="s">
        <v>419</v>
      </c>
      <c r="D129">
        <v>0</v>
      </c>
      <c r="E129" t="s">
        <v>373</v>
      </c>
      <c r="F129" t="s">
        <v>421</v>
      </c>
      <c r="G129" s="178" t="e">
        <f>VLOOKUP(A129,'Инвест политика'!$A$26:$H$130,8,FALSE)</f>
        <v>#N/A</v>
      </c>
      <c r="H129" s="178" t="str">
        <f t="shared" si="1"/>
        <v>Ошибка, не численные значения</v>
      </c>
    </row>
    <row r="130" spans="1:8" x14ac:dyDescent="0.25">
      <c r="A130" s="176">
        <f>'Инвест политика'!A153</f>
        <v>0</v>
      </c>
      <c r="B130" t="s">
        <v>424</v>
      </c>
      <c r="C130" t="s">
        <v>419</v>
      </c>
      <c r="D130">
        <v>0</v>
      </c>
      <c r="E130" t="s">
        <v>373</v>
      </c>
      <c r="F130" t="s">
        <v>421</v>
      </c>
      <c r="G130" s="178" t="e">
        <f>VLOOKUP(A130,'Инвест политика'!$A$26:$H$130,8,FALSE)</f>
        <v>#N/A</v>
      </c>
      <c r="H130" s="178" t="str">
        <f t="shared" si="1"/>
        <v>Ошибка, не численные значения</v>
      </c>
    </row>
    <row r="131" spans="1:8" x14ac:dyDescent="0.25">
      <c r="A131" s="176">
        <f>'Инвест политика'!A154</f>
        <v>0</v>
      </c>
      <c r="B131" t="s">
        <v>424</v>
      </c>
      <c r="C131" t="s">
        <v>419</v>
      </c>
      <c r="D131">
        <v>0</v>
      </c>
      <c r="E131" t="s">
        <v>373</v>
      </c>
      <c r="F131" t="s">
        <v>421</v>
      </c>
      <c r="G131" s="178" t="e">
        <f>VLOOKUP(A131,'Инвест политика'!$A$26:$H$130,8,FALSE)</f>
        <v>#N/A</v>
      </c>
      <c r="H131" s="178" t="str">
        <f t="shared" si="1"/>
        <v>Ошибка, не численные значения</v>
      </c>
    </row>
    <row r="132" spans="1:8" x14ac:dyDescent="0.25">
      <c r="A132" s="176">
        <f>'Инвест политика'!A155</f>
        <v>0</v>
      </c>
      <c r="B132" t="s">
        <v>424</v>
      </c>
      <c r="C132" t="s">
        <v>419</v>
      </c>
      <c r="D132">
        <v>0</v>
      </c>
      <c r="E132" t="s">
        <v>373</v>
      </c>
      <c r="F132" t="s">
        <v>421</v>
      </c>
      <c r="G132" s="178" t="e">
        <f>VLOOKUP(A132,'Инвест политика'!$A$26:$H$130,8,FALSE)</f>
        <v>#N/A</v>
      </c>
      <c r="H132" s="178" t="str">
        <f t="shared" ref="H132:H161" si="2">Эшелонирование(F132,G132,C132)</f>
        <v>Ошибка, не численные значения</v>
      </c>
    </row>
    <row r="133" spans="1:8" x14ac:dyDescent="0.25">
      <c r="A133" s="176">
        <f>'Инвест политика'!A156</f>
        <v>0</v>
      </c>
      <c r="B133" t="s">
        <v>424</v>
      </c>
      <c r="C133" t="s">
        <v>419</v>
      </c>
      <c r="D133">
        <v>0</v>
      </c>
      <c r="E133" t="s">
        <v>373</v>
      </c>
      <c r="F133" t="s">
        <v>421</v>
      </c>
      <c r="G133" s="178" t="e">
        <f>VLOOKUP(A133,'Инвест политика'!$A$26:$H$130,8,FALSE)</f>
        <v>#N/A</v>
      </c>
      <c r="H133" s="178" t="str">
        <f t="shared" si="2"/>
        <v>Ошибка, не численные значения</v>
      </c>
    </row>
    <row r="134" spans="1:8" x14ac:dyDescent="0.25">
      <c r="A134" s="176">
        <f>'Инвест политика'!A157</f>
        <v>0</v>
      </c>
      <c r="B134" t="s">
        <v>424</v>
      </c>
      <c r="C134" t="s">
        <v>419</v>
      </c>
      <c r="D134">
        <v>0</v>
      </c>
      <c r="E134" t="s">
        <v>373</v>
      </c>
      <c r="F134" t="s">
        <v>421</v>
      </c>
      <c r="G134" s="178" t="e">
        <f>VLOOKUP(A134,'Инвест политика'!$A$26:$H$130,8,FALSE)</f>
        <v>#N/A</v>
      </c>
      <c r="H134" s="178" t="str">
        <f t="shared" si="2"/>
        <v>Ошибка, не численные значения</v>
      </c>
    </row>
    <row r="135" spans="1:8" x14ac:dyDescent="0.25">
      <c r="A135" s="176">
        <f>'Инвест политика'!A158</f>
        <v>0</v>
      </c>
      <c r="B135" t="s">
        <v>424</v>
      </c>
      <c r="C135" t="s">
        <v>419</v>
      </c>
      <c r="D135">
        <v>0</v>
      </c>
      <c r="E135" t="s">
        <v>373</v>
      </c>
      <c r="F135" t="s">
        <v>421</v>
      </c>
      <c r="G135" s="178" t="e">
        <f>VLOOKUP(A135,'Инвест политика'!$A$26:$H$130,8,FALSE)</f>
        <v>#N/A</v>
      </c>
      <c r="H135" s="178" t="str">
        <f t="shared" si="2"/>
        <v>Ошибка, не численные значения</v>
      </c>
    </row>
    <row r="136" spans="1:8" x14ac:dyDescent="0.25">
      <c r="A136" s="176">
        <f>'Инвест политика'!A159</f>
        <v>0</v>
      </c>
      <c r="B136" t="s">
        <v>424</v>
      </c>
      <c r="C136" t="s">
        <v>419</v>
      </c>
      <c r="D136">
        <v>0</v>
      </c>
      <c r="E136" t="s">
        <v>373</v>
      </c>
      <c r="F136" t="s">
        <v>421</v>
      </c>
      <c r="G136" s="178" t="e">
        <f>VLOOKUP(A136,'Инвест политика'!$A$26:$H$130,8,FALSE)</f>
        <v>#N/A</v>
      </c>
      <c r="H136" s="178" t="str">
        <f t="shared" si="2"/>
        <v>Ошибка, не численные значения</v>
      </c>
    </row>
    <row r="137" spans="1:8" x14ac:dyDescent="0.25">
      <c r="A137" s="176">
        <f>'Инвест политика'!A160</f>
        <v>0</v>
      </c>
      <c r="B137" t="s">
        <v>424</v>
      </c>
      <c r="C137" t="s">
        <v>419</v>
      </c>
      <c r="D137">
        <v>0</v>
      </c>
      <c r="E137" t="s">
        <v>373</v>
      </c>
      <c r="F137" t="s">
        <v>421</v>
      </c>
      <c r="G137" s="178" t="e">
        <f>VLOOKUP(A137,'Инвест политика'!$A$26:$H$130,8,FALSE)</f>
        <v>#N/A</v>
      </c>
      <c r="H137" s="178" t="str">
        <f t="shared" si="2"/>
        <v>Ошибка, не численные значения</v>
      </c>
    </row>
    <row r="138" spans="1:8" x14ac:dyDescent="0.25">
      <c r="A138" s="176">
        <f>'Инвест политика'!A161</f>
        <v>0</v>
      </c>
      <c r="B138" t="s">
        <v>424</v>
      </c>
      <c r="C138" t="s">
        <v>419</v>
      </c>
      <c r="D138">
        <v>0</v>
      </c>
      <c r="E138" t="s">
        <v>373</v>
      </c>
      <c r="F138" t="s">
        <v>421</v>
      </c>
      <c r="G138" s="178" t="e">
        <f>VLOOKUP(A138,'Инвест политика'!$A$26:$H$130,8,FALSE)</f>
        <v>#N/A</v>
      </c>
      <c r="H138" s="178" t="str">
        <f t="shared" si="2"/>
        <v>Ошибка, не численные значения</v>
      </c>
    </row>
    <row r="139" spans="1:8" x14ac:dyDescent="0.25">
      <c r="A139" s="176">
        <f>'Инвест политика'!A162</f>
        <v>0</v>
      </c>
      <c r="B139" t="s">
        <v>424</v>
      </c>
      <c r="C139" t="s">
        <v>419</v>
      </c>
      <c r="D139">
        <v>0</v>
      </c>
      <c r="E139" t="s">
        <v>373</v>
      </c>
      <c r="F139" t="s">
        <v>421</v>
      </c>
      <c r="G139" s="178" t="e">
        <f>VLOOKUP(A139,'Инвест политика'!$A$26:$H$130,8,FALSE)</f>
        <v>#N/A</v>
      </c>
      <c r="H139" s="178" t="str">
        <f t="shared" si="2"/>
        <v>Ошибка, не численные значения</v>
      </c>
    </row>
    <row r="140" spans="1:8" x14ac:dyDescent="0.25">
      <c r="A140" s="176">
        <f>'Инвест политика'!A163</f>
        <v>0</v>
      </c>
      <c r="B140" t="s">
        <v>424</v>
      </c>
      <c r="C140" t="s">
        <v>419</v>
      </c>
      <c r="D140">
        <v>0</v>
      </c>
      <c r="E140" t="s">
        <v>373</v>
      </c>
      <c r="F140" t="s">
        <v>421</v>
      </c>
      <c r="G140" s="178" t="e">
        <f>VLOOKUP(A140,'Инвест политика'!$A$26:$H$130,8,FALSE)</f>
        <v>#N/A</v>
      </c>
      <c r="H140" s="178" t="str">
        <f t="shared" si="2"/>
        <v>Ошибка, не численные значения</v>
      </c>
    </row>
    <row r="141" spans="1:8" x14ac:dyDescent="0.25">
      <c r="A141" s="176">
        <f>'Инвест политика'!A164</f>
        <v>0</v>
      </c>
      <c r="B141" t="s">
        <v>424</v>
      </c>
      <c r="C141" t="s">
        <v>419</v>
      </c>
      <c r="D141">
        <v>0</v>
      </c>
      <c r="E141" t="s">
        <v>373</v>
      </c>
      <c r="F141" t="s">
        <v>421</v>
      </c>
      <c r="G141" s="178" t="e">
        <f>VLOOKUP(A141,'Инвест политика'!$A$26:$H$130,8,FALSE)</f>
        <v>#N/A</v>
      </c>
      <c r="H141" s="178" t="str">
        <f t="shared" si="2"/>
        <v>Ошибка, не численные значения</v>
      </c>
    </row>
    <row r="142" spans="1:8" x14ac:dyDescent="0.25">
      <c r="A142" s="176">
        <f>'Инвест политика'!A165</f>
        <v>0</v>
      </c>
      <c r="B142" t="s">
        <v>424</v>
      </c>
      <c r="C142" t="s">
        <v>419</v>
      </c>
      <c r="D142">
        <v>0</v>
      </c>
      <c r="E142" t="s">
        <v>373</v>
      </c>
      <c r="F142" t="s">
        <v>421</v>
      </c>
      <c r="G142" s="178" t="e">
        <f>VLOOKUP(A142,'Инвест политика'!$A$26:$H$130,8,FALSE)</f>
        <v>#N/A</v>
      </c>
      <c r="H142" s="178" t="str">
        <f t="shared" si="2"/>
        <v>Ошибка, не численные значения</v>
      </c>
    </row>
    <row r="143" spans="1:8" x14ac:dyDescent="0.25">
      <c r="A143" s="176">
        <f>'Инвест политика'!A166</f>
        <v>0</v>
      </c>
      <c r="B143" t="s">
        <v>424</v>
      </c>
      <c r="C143" t="s">
        <v>419</v>
      </c>
      <c r="D143">
        <v>0</v>
      </c>
      <c r="E143" t="s">
        <v>373</v>
      </c>
      <c r="F143" t="s">
        <v>421</v>
      </c>
      <c r="G143" s="178" t="e">
        <f>VLOOKUP(A143,'Инвест политика'!$A$26:$H$130,8,FALSE)</f>
        <v>#N/A</v>
      </c>
      <c r="H143" s="178" t="str">
        <f t="shared" si="2"/>
        <v>Ошибка, не численные значения</v>
      </c>
    </row>
    <row r="144" spans="1:8" x14ac:dyDescent="0.25">
      <c r="A144" s="176">
        <f>'Инвест политика'!A167</f>
        <v>0</v>
      </c>
      <c r="B144" t="s">
        <v>424</v>
      </c>
      <c r="C144" t="s">
        <v>419</v>
      </c>
      <c r="D144">
        <v>0</v>
      </c>
      <c r="E144" t="s">
        <v>373</v>
      </c>
      <c r="F144" t="s">
        <v>421</v>
      </c>
      <c r="G144" s="178" t="e">
        <f>VLOOKUP(A144,'Инвест политика'!$A$26:$H$130,8,FALSE)</f>
        <v>#N/A</v>
      </c>
      <c r="H144" s="178" t="str">
        <f t="shared" si="2"/>
        <v>Ошибка, не численные значения</v>
      </c>
    </row>
    <row r="145" spans="1:8" x14ac:dyDescent="0.25">
      <c r="A145" s="176">
        <f>'Инвест политика'!A168</f>
        <v>0</v>
      </c>
      <c r="B145" t="s">
        <v>424</v>
      </c>
      <c r="C145" t="s">
        <v>419</v>
      </c>
      <c r="D145">
        <v>0</v>
      </c>
      <c r="E145" t="s">
        <v>373</v>
      </c>
      <c r="F145" t="s">
        <v>421</v>
      </c>
      <c r="G145" s="178" t="e">
        <f>VLOOKUP(A145,'Инвест политика'!$A$26:$H$130,8,FALSE)</f>
        <v>#N/A</v>
      </c>
      <c r="H145" s="178" t="str">
        <f t="shared" si="2"/>
        <v>Ошибка, не численные значения</v>
      </c>
    </row>
    <row r="146" spans="1:8" x14ac:dyDescent="0.25">
      <c r="A146" s="176">
        <f>'Инвест политика'!A169</f>
        <v>0</v>
      </c>
      <c r="B146" t="s">
        <v>424</v>
      </c>
      <c r="C146" t="s">
        <v>419</v>
      </c>
      <c r="D146">
        <v>0</v>
      </c>
      <c r="E146" t="s">
        <v>373</v>
      </c>
      <c r="F146" t="s">
        <v>421</v>
      </c>
      <c r="G146" s="178" t="e">
        <f>VLOOKUP(A146,'Инвест политика'!$A$26:$H$130,8,FALSE)</f>
        <v>#N/A</v>
      </c>
      <c r="H146" s="178" t="str">
        <f t="shared" si="2"/>
        <v>Ошибка, не численные значения</v>
      </c>
    </row>
    <row r="147" spans="1:8" x14ac:dyDescent="0.25">
      <c r="A147" s="176">
        <f>'Инвест политика'!A170</f>
        <v>0</v>
      </c>
      <c r="B147" t="s">
        <v>424</v>
      </c>
      <c r="C147" t="s">
        <v>419</v>
      </c>
      <c r="D147">
        <v>0</v>
      </c>
      <c r="E147" t="s">
        <v>373</v>
      </c>
      <c r="F147" t="s">
        <v>421</v>
      </c>
      <c r="G147" s="178" t="e">
        <f>VLOOKUP(A147,'Инвест политика'!$A$26:$H$130,8,FALSE)</f>
        <v>#N/A</v>
      </c>
      <c r="H147" s="178" t="str">
        <f t="shared" si="2"/>
        <v>Ошибка, не численные значения</v>
      </c>
    </row>
    <row r="148" spans="1:8" x14ac:dyDescent="0.25">
      <c r="A148" s="176">
        <f>'Инвест политика'!A171</f>
        <v>0</v>
      </c>
      <c r="B148" t="s">
        <v>424</v>
      </c>
      <c r="C148" t="s">
        <v>419</v>
      </c>
      <c r="D148">
        <v>0</v>
      </c>
      <c r="E148" t="s">
        <v>373</v>
      </c>
      <c r="F148" t="s">
        <v>421</v>
      </c>
      <c r="G148" s="178" t="e">
        <f>VLOOKUP(A148,'Инвест политика'!$A$26:$H$130,8,FALSE)</f>
        <v>#N/A</v>
      </c>
      <c r="H148" s="178" t="str">
        <f t="shared" si="2"/>
        <v>Ошибка, не численные значения</v>
      </c>
    </row>
    <row r="149" spans="1:8" x14ac:dyDescent="0.25">
      <c r="A149" s="176">
        <f>'Инвест политика'!A172</f>
        <v>0</v>
      </c>
      <c r="B149" t="s">
        <v>424</v>
      </c>
      <c r="C149" t="s">
        <v>419</v>
      </c>
      <c r="D149">
        <v>0</v>
      </c>
      <c r="E149" t="s">
        <v>373</v>
      </c>
      <c r="F149" t="s">
        <v>421</v>
      </c>
      <c r="G149" s="178" t="e">
        <f>VLOOKUP(A149,'Инвест политика'!$A$26:$H$130,8,FALSE)</f>
        <v>#N/A</v>
      </c>
      <c r="H149" s="178" t="str">
        <f t="shared" si="2"/>
        <v>Ошибка, не численные значения</v>
      </c>
    </row>
    <row r="150" spans="1:8" x14ac:dyDescent="0.25">
      <c r="A150" s="176">
        <f>'Инвест политика'!A173</f>
        <v>0</v>
      </c>
      <c r="B150" t="s">
        <v>424</v>
      </c>
      <c r="C150" t="s">
        <v>419</v>
      </c>
      <c r="D150">
        <v>0</v>
      </c>
      <c r="E150" t="s">
        <v>373</v>
      </c>
      <c r="F150" t="s">
        <v>421</v>
      </c>
      <c r="G150" s="178" t="e">
        <f>VLOOKUP(A150,'Инвест политика'!$A$26:$H$130,8,FALSE)</f>
        <v>#N/A</v>
      </c>
      <c r="H150" s="178" t="str">
        <f t="shared" si="2"/>
        <v>Ошибка, не численные значения</v>
      </c>
    </row>
    <row r="151" spans="1:8" x14ac:dyDescent="0.25">
      <c r="A151" s="176">
        <f>'Инвест политика'!A174</f>
        <v>0</v>
      </c>
      <c r="B151" t="s">
        <v>424</v>
      </c>
      <c r="C151" t="s">
        <v>419</v>
      </c>
      <c r="D151">
        <v>0</v>
      </c>
      <c r="E151" t="s">
        <v>373</v>
      </c>
      <c r="F151" t="s">
        <v>421</v>
      </c>
      <c r="G151" s="178" t="e">
        <f>VLOOKUP(A151,'Инвест политика'!$A$26:$H$130,8,FALSE)</f>
        <v>#N/A</v>
      </c>
      <c r="H151" s="178" t="str">
        <f t="shared" si="2"/>
        <v>Ошибка, не численные значения</v>
      </c>
    </row>
    <row r="152" spans="1:8" x14ac:dyDescent="0.25">
      <c r="A152" s="176">
        <f>'Инвест политика'!A175</f>
        <v>0</v>
      </c>
      <c r="B152" t="s">
        <v>424</v>
      </c>
      <c r="C152" t="s">
        <v>419</v>
      </c>
      <c r="D152">
        <v>0</v>
      </c>
      <c r="E152" t="s">
        <v>373</v>
      </c>
      <c r="F152" t="s">
        <v>421</v>
      </c>
      <c r="G152" s="178" t="e">
        <f>VLOOKUP(A152,'Инвест политика'!$A$26:$H$130,8,FALSE)</f>
        <v>#N/A</v>
      </c>
      <c r="H152" s="178" t="str">
        <f t="shared" si="2"/>
        <v>Ошибка, не численные значения</v>
      </c>
    </row>
    <row r="153" spans="1:8" x14ac:dyDescent="0.25">
      <c r="A153" s="176">
        <f>'Инвест политика'!A176</f>
        <v>0</v>
      </c>
      <c r="B153" t="s">
        <v>424</v>
      </c>
      <c r="C153" t="s">
        <v>419</v>
      </c>
      <c r="D153">
        <v>0</v>
      </c>
      <c r="E153" t="s">
        <v>373</v>
      </c>
      <c r="F153" t="s">
        <v>421</v>
      </c>
      <c r="G153" s="178" t="e">
        <f>VLOOKUP(A153,'Инвест политика'!$A$26:$H$130,8,FALSE)</f>
        <v>#N/A</v>
      </c>
      <c r="H153" s="178" t="str">
        <f t="shared" si="2"/>
        <v>Ошибка, не численные значения</v>
      </c>
    </row>
    <row r="154" spans="1:8" x14ac:dyDescent="0.25">
      <c r="A154" s="176">
        <f>'Инвест политика'!A177</f>
        <v>0</v>
      </c>
      <c r="B154" t="s">
        <v>424</v>
      </c>
      <c r="C154" t="s">
        <v>419</v>
      </c>
      <c r="D154">
        <v>0</v>
      </c>
      <c r="E154" t="s">
        <v>373</v>
      </c>
      <c r="F154" t="s">
        <v>421</v>
      </c>
      <c r="G154" s="178" t="e">
        <f>VLOOKUP(A154,'Инвест политика'!$A$26:$H$130,8,FALSE)</f>
        <v>#N/A</v>
      </c>
      <c r="H154" s="178" t="str">
        <f t="shared" si="2"/>
        <v>Ошибка, не численные значения</v>
      </c>
    </row>
    <row r="155" spans="1:8" x14ac:dyDescent="0.25">
      <c r="A155" s="176">
        <f>'Инвест политика'!A178</f>
        <v>0</v>
      </c>
      <c r="B155" t="s">
        <v>424</v>
      </c>
      <c r="C155" t="s">
        <v>419</v>
      </c>
      <c r="D155">
        <v>0</v>
      </c>
      <c r="E155" t="s">
        <v>373</v>
      </c>
      <c r="F155" t="s">
        <v>421</v>
      </c>
      <c r="G155" s="178" t="e">
        <f>VLOOKUP(A155,'Инвест политика'!$A$26:$H$130,8,FALSE)</f>
        <v>#N/A</v>
      </c>
      <c r="H155" s="178" t="str">
        <f t="shared" si="2"/>
        <v>Ошибка, не численные значения</v>
      </c>
    </row>
    <row r="156" spans="1:8" x14ac:dyDescent="0.25">
      <c r="A156" s="176">
        <f>'Инвест политика'!A179</f>
        <v>0</v>
      </c>
      <c r="B156" t="s">
        <v>424</v>
      </c>
      <c r="C156" t="s">
        <v>419</v>
      </c>
      <c r="D156">
        <v>0</v>
      </c>
      <c r="E156" t="s">
        <v>373</v>
      </c>
      <c r="F156" t="s">
        <v>421</v>
      </c>
      <c r="G156" s="178" t="e">
        <f>VLOOKUP(A156,'Инвест политика'!$A$26:$H$130,8,FALSE)</f>
        <v>#N/A</v>
      </c>
      <c r="H156" s="178" t="str">
        <f t="shared" si="2"/>
        <v>Ошибка, не численные значения</v>
      </c>
    </row>
    <row r="157" spans="1:8" x14ac:dyDescent="0.25">
      <c r="A157" s="176">
        <f>'Инвест политика'!A180</f>
        <v>0</v>
      </c>
      <c r="B157" t="s">
        <v>424</v>
      </c>
      <c r="C157" t="s">
        <v>419</v>
      </c>
      <c r="D157">
        <v>0</v>
      </c>
      <c r="E157" t="s">
        <v>373</v>
      </c>
      <c r="F157" t="s">
        <v>421</v>
      </c>
      <c r="G157" s="178" t="e">
        <f>VLOOKUP(A157,'Инвест политика'!$A$26:$H$130,8,FALSE)</f>
        <v>#N/A</v>
      </c>
      <c r="H157" s="178" t="str">
        <f t="shared" si="2"/>
        <v>Ошибка, не численные значения</v>
      </c>
    </row>
    <row r="158" spans="1:8" x14ac:dyDescent="0.25">
      <c r="A158" s="176">
        <f>'Инвест политика'!A181</f>
        <v>0</v>
      </c>
      <c r="B158" t="s">
        <v>424</v>
      </c>
      <c r="C158" t="s">
        <v>419</v>
      </c>
      <c r="D158">
        <v>0</v>
      </c>
      <c r="E158" t="s">
        <v>373</v>
      </c>
      <c r="F158" t="s">
        <v>421</v>
      </c>
      <c r="G158" s="178" t="e">
        <f>VLOOKUP(A158,'Инвест политика'!$A$26:$H$130,8,FALSE)</f>
        <v>#N/A</v>
      </c>
      <c r="H158" s="178" t="str">
        <f t="shared" si="2"/>
        <v>Ошибка, не численные значения</v>
      </c>
    </row>
    <row r="159" spans="1:8" x14ac:dyDescent="0.25">
      <c r="A159" s="176">
        <f>'Инвест политика'!A182</f>
        <v>0</v>
      </c>
      <c r="B159" t="s">
        <v>424</v>
      </c>
      <c r="C159" t="s">
        <v>419</v>
      </c>
      <c r="D159">
        <v>0</v>
      </c>
      <c r="E159" t="s">
        <v>373</v>
      </c>
      <c r="F159" t="s">
        <v>421</v>
      </c>
      <c r="G159" s="178" t="e">
        <f>VLOOKUP(A159,'Инвест политика'!$A$26:$H$130,8,FALSE)</f>
        <v>#N/A</v>
      </c>
      <c r="H159" s="178" t="str">
        <f t="shared" si="2"/>
        <v>Ошибка, не численные значения</v>
      </c>
    </row>
    <row r="160" spans="1:8" x14ac:dyDescent="0.25">
      <c r="A160" s="176">
        <f>'Инвест политика'!A183</f>
        <v>0</v>
      </c>
      <c r="B160" t="s">
        <v>424</v>
      </c>
      <c r="C160" t="s">
        <v>419</v>
      </c>
      <c r="D160">
        <v>0</v>
      </c>
      <c r="E160" t="s">
        <v>373</v>
      </c>
      <c r="F160" t="s">
        <v>421</v>
      </c>
      <c r="G160" s="178" t="e">
        <f>VLOOKUP(A160,'Инвест политика'!$A$26:$H$130,8,FALSE)</f>
        <v>#N/A</v>
      </c>
      <c r="H160" s="178" t="str">
        <f t="shared" si="2"/>
        <v>Ошибка, не численные значения</v>
      </c>
    </row>
    <row r="161" spans="1:8" x14ac:dyDescent="0.25">
      <c r="A161" s="176">
        <f>'Инвест политика'!A184</f>
        <v>0</v>
      </c>
      <c r="B161" t="s">
        <v>424</v>
      </c>
      <c r="C161" t="s">
        <v>419</v>
      </c>
      <c r="D161">
        <v>0</v>
      </c>
      <c r="E161" t="s">
        <v>373</v>
      </c>
      <c r="F161" t="s">
        <v>421</v>
      </c>
      <c r="G161" s="178" t="e">
        <f>VLOOKUP(A161,'Инвест политика'!$A$26:$H$130,8,FALSE)</f>
        <v>#N/A</v>
      </c>
      <c r="H161" s="178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2"/>
  <sheetViews>
    <sheetView topLeftCell="A25" workbookViewId="0">
      <selection activeCell="F3" sqref="F3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hidden="1" customWidth="1"/>
    <col min="8" max="8" width="20.28515625" hidden="1" customWidth="1"/>
    <col min="9" max="9" width="18.140625" customWidth="1"/>
    <col min="10" max="10" width="24.140625" hidden="1" customWidth="1"/>
    <col min="11" max="11" width="21.140625" customWidth="1"/>
  </cols>
  <sheetData>
    <row r="1" spans="1:11" x14ac:dyDescent="0.25">
      <c r="A1" t="s">
        <v>19</v>
      </c>
      <c r="G1" t="s">
        <v>19</v>
      </c>
    </row>
    <row r="2" spans="1:11" ht="156" customHeight="1" x14ac:dyDescent="0.25">
      <c r="A2" s="5"/>
      <c r="B2" s="184" t="s">
        <v>435</v>
      </c>
      <c r="C2" s="184" t="s">
        <v>436</v>
      </c>
      <c r="D2" s="184" t="s">
        <v>437</v>
      </c>
      <c r="E2" s="184" t="s">
        <v>438</v>
      </c>
      <c r="F2" s="184" t="s">
        <v>439</v>
      </c>
      <c r="G2" s="184" t="s">
        <v>440</v>
      </c>
      <c r="H2" s="184" t="s">
        <v>476</v>
      </c>
      <c r="I2" s="184" t="s">
        <v>477</v>
      </c>
      <c r="J2" s="217" t="s">
        <v>478</v>
      </c>
      <c r="K2" s="189" t="s">
        <v>491</v>
      </c>
    </row>
    <row r="3" spans="1:11" x14ac:dyDescent="0.25">
      <c r="A3" s="5" t="s">
        <v>441</v>
      </c>
      <c r="B3" s="15">
        <v>17964.089510598817</v>
      </c>
      <c r="C3" s="15">
        <v>17479.938342013047</v>
      </c>
      <c r="D3" s="15">
        <v>2884.3065000000001</v>
      </c>
      <c r="E3" s="15">
        <v>3085.96</v>
      </c>
      <c r="F3" s="15">
        <v>11512.659</v>
      </c>
      <c r="G3" s="15">
        <v>15808.515864999999</v>
      </c>
      <c r="H3" s="15">
        <v>15479.185635</v>
      </c>
      <c r="I3" s="15">
        <v>15355.535384999999</v>
      </c>
      <c r="J3" s="218">
        <v>20010.22417275206</v>
      </c>
      <c r="K3" s="26">
        <v>22781.429500196231</v>
      </c>
    </row>
    <row r="4" spans="1:11" x14ac:dyDescent="0.25">
      <c r="A4" s="5" t="s">
        <v>425</v>
      </c>
      <c r="B4" s="15">
        <v>916.8516290459595</v>
      </c>
      <c r="C4" s="15">
        <v>588.46430723403364</v>
      </c>
      <c r="D4" s="15">
        <v>99.087716157416168</v>
      </c>
      <c r="E4" s="15">
        <v>117.93922089975614</v>
      </c>
      <c r="F4" s="15">
        <v>398.51551174570358</v>
      </c>
      <c r="G4" s="15">
        <v>498.71841491866803</v>
      </c>
      <c r="H4" s="15">
        <v>507</v>
      </c>
      <c r="I4" s="15">
        <v>501.08319123191905</v>
      </c>
      <c r="J4" s="218">
        <v>745.57405171516007</v>
      </c>
      <c r="K4" s="26">
        <v>817.87964110103769</v>
      </c>
    </row>
    <row r="5" spans="1:11" x14ac:dyDescent="0.25">
      <c r="A5" t="s">
        <v>425</v>
      </c>
      <c r="B5" s="185">
        <f>B4/B3</f>
        <v>5.1038023858933503E-2</v>
      </c>
      <c r="C5" s="185">
        <f t="shared" ref="C5:G5" si="0">C4/C3</f>
        <v>3.3665124883173025E-2</v>
      </c>
      <c r="D5" s="185">
        <f t="shared" si="0"/>
        <v>3.4354086903529903E-2</v>
      </c>
      <c r="E5" s="185">
        <f t="shared" si="0"/>
        <v>3.8218000524879177E-2</v>
      </c>
      <c r="F5" s="185">
        <f t="shared" si="0"/>
        <v>3.4615418709587731E-2</v>
      </c>
      <c r="G5" s="185">
        <f t="shared" si="0"/>
        <v>3.1547453232015847E-2</v>
      </c>
      <c r="H5" s="185">
        <f>H4/H3</f>
        <v>3.2753661074625393E-2</v>
      </c>
      <c r="I5" s="185">
        <f>I4/I3</f>
        <v>3.2632088603136586E-2</v>
      </c>
      <c r="J5" s="185">
        <f>J4/J3</f>
        <v>3.7259655128222345E-2</v>
      </c>
      <c r="K5" s="185">
        <f>K4/K3</f>
        <v>3.590115541669555E-2</v>
      </c>
    </row>
    <row r="6" spans="1:11" x14ac:dyDescent="0.25">
      <c r="B6" s="210" t="s">
        <v>426</v>
      </c>
      <c r="C6" s="210" t="s">
        <v>426</v>
      </c>
      <c r="D6" s="210" t="s">
        <v>426</v>
      </c>
      <c r="E6" s="210" t="s">
        <v>426</v>
      </c>
      <c r="F6" s="210" t="s">
        <v>426</v>
      </c>
      <c r="G6" s="210" t="s">
        <v>426</v>
      </c>
      <c r="H6" s="210" t="s">
        <v>426</v>
      </c>
      <c r="I6" s="210" t="s">
        <v>426</v>
      </c>
      <c r="J6" s="210" t="s">
        <v>426</v>
      </c>
      <c r="K6" t="s">
        <v>426</v>
      </c>
    </row>
    <row r="7" spans="1:11" x14ac:dyDescent="0.25">
      <c r="B7" s="210" t="s">
        <v>427</v>
      </c>
      <c r="C7" s="210" t="s">
        <v>429</v>
      </c>
      <c r="D7" s="210" t="s">
        <v>428</v>
      </c>
      <c r="E7" s="210" t="s">
        <v>428</v>
      </c>
      <c r="F7" s="210" t="s">
        <v>430</v>
      </c>
      <c r="G7" s="210" t="s">
        <v>430</v>
      </c>
      <c r="H7" s="210" t="s">
        <v>430</v>
      </c>
      <c r="I7" s="210" t="s">
        <v>430</v>
      </c>
      <c r="J7" s="210" t="s">
        <v>430</v>
      </c>
      <c r="K7" t="s">
        <v>430</v>
      </c>
    </row>
    <row r="8" spans="1:11" x14ac:dyDescent="0.25">
      <c r="B8" s="210" t="s">
        <v>428</v>
      </c>
      <c r="C8" s="210" t="s">
        <v>428</v>
      </c>
      <c r="D8" s="210" t="s">
        <v>430</v>
      </c>
      <c r="E8" s="210" t="s">
        <v>430</v>
      </c>
      <c r="F8" s="210" t="s">
        <v>431</v>
      </c>
      <c r="G8" s="210" t="s">
        <v>431</v>
      </c>
      <c r="H8" s="210" t="s">
        <v>431</v>
      </c>
      <c r="I8" s="210" t="s">
        <v>431</v>
      </c>
      <c r="J8" s="210" t="s">
        <v>475</v>
      </c>
      <c r="K8" t="s">
        <v>475</v>
      </c>
    </row>
    <row r="9" spans="1:11" x14ac:dyDescent="0.25">
      <c r="B9" s="210"/>
      <c r="C9" s="210" t="s">
        <v>430</v>
      </c>
      <c r="D9" s="210"/>
      <c r="E9" s="210"/>
      <c r="F9" s="210"/>
      <c r="G9" s="210" t="s">
        <v>432</v>
      </c>
      <c r="H9" s="210" t="s">
        <v>432</v>
      </c>
      <c r="I9" s="210" t="s">
        <v>432</v>
      </c>
      <c r="J9" s="210" t="s">
        <v>432</v>
      </c>
      <c r="K9" t="s">
        <v>432</v>
      </c>
    </row>
    <row r="10" spans="1:11" x14ac:dyDescent="0.25">
      <c r="B10" s="210"/>
      <c r="C10" s="210"/>
      <c r="D10" s="210"/>
      <c r="E10" s="210"/>
      <c r="F10" s="210"/>
      <c r="G10" s="210" t="s">
        <v>434</v>
      </c>
      <c r="H10" s="210" t="s">
        <v>434</v>
      </c>
      <c r="I10" s="210" t="s">
        <v>434</v>
      </c>
      <c r="J10" s="210" t="s">
        <v>434</v>
      </c>
      <c r="K10" t="s">
        <v>434</v>
      </c>
    </row>
    <row r="11" spans="1:11" x14ac:dyDescent="0.25">
      <c r="B11" s="183"/>
      <c r="C11" s="183"/>
      <c r="D11" s="183"/>
      <c r="E11" s="183"/>
      <c r="F11" s="183"/>
      <c r="J11" s="210" t="s">
        <v>144</v>
      </c>
      <c r="K11" t="s">
        <v>144</v>
      </c>
    </row>
    <row r="12" spans="1:11" x14ac:dyDescent="0.25">
      <c r="B12" s="183"/>
      <c r="C12" s="183"/>
      <c r="D12" s="183"/>
      <c r="E12" s="183"/>
      <c r="F12" s="183"/>
      <c r="J12" s="210" t="s">
        <v>474</v>
      </c>
      <c r="K12" t="s">
        <v>474</v>
      </c>
    </row>
    <row r="33" spans="1:4" x14ac:dyDescent="0.25">
      <c r="C33" t="s">
        <v>444</v>
      </c>
      <c r="D33" t="s">
        <v>445</v>
      </c>
    </row>
    <row r="34" spans="1:4" x14ac:dyDescent="0.25">
      <c r="A34" s="190" t="s">
        <v>426</v>
      </c>
      <c r="B34" s="191">
        <v>619970000</v>
      </c>
      <c r="C34" s="190" t="s">
        <v>81</v>
      </c>
      <c r="D34" s="190"/>
    </row>
    <row r="35" spans="1:4" x14ac:dyDescent="0.25">
      <c r="A35" s="190" t="s">
        <v>430</v>
      </c>
      <c r="B35" s="191">
        <v>743823000</v>
      </c>
      <c r="C35" s="190" t="s">
        <v>79</v>
      </c>
      <c r="D35" s="190" t="s">
        <v>81</v>
      </c>
    </row>
    <row r="36" spans="1:4" x14ac:dyDescent="0.25">
      <c r="A36" s="190" t="s">
        <v>475</v>
      </c>
      <c r="B36" s="191">
        <v>9916643000</v>
      </c>
      <c r="C36" s="190" t="s">
        <v>83</v>
      </c>
      <c r="D36" s="190"/>
    </row>
    <row r="37" spans="1:4" x14ac:dyDescent="0.25">
      <c r="A37" s="190" t="s">
        <v>432</v>
      </c>
      <c r="B37" s="191">
        <v>368192385</v>
      </c>
      <c r="C37" s="190" t="s">
        <v>77</v>
      </c>
      <c r="D37" s="190"/>
    </row>
    <row r="38" spans="1:4" x14ac:dyDescent="0.25">
      <c r="A38" s="190" t="s">
        <v>433</v>
      </c>
      <c r="B38" s="191">
        <v>3719115000</v>
      </c>
      <c r="C38" s="190" t="s">
        <v>81</v>
      </c>
      <c r="D38" s="190"/>
    </row>
    <row r="39" spans="1:4" x14ac:dyDescent="0.25">
      <c r="A39" s="190" t="s">
        <v>144</v>
      </c>
      <c r="B39" s="191">
        <v>2460599988</v>
      </c>
      <c r="C39" s="190" t="s">
        <v>83</v>
      </c>
      <c r="D39" s="190"/>
    </row>
    <row r="40" spans="1:4" x14ac:dyDescent="0.25">
      <c r="A40" s="190" t="s">
        <v>474</v>
      </c>
      <c r="B40" s="191">
        <v>2181880799.752059</v>
      </c>
      <c r="C40" s="190" t="s">
        <v>87</v>
      </c>
      <c r="D40" s="190"/>
    </row>
    <row r="41" spans="1:4" x14ac:dyDescent="0.25">
      <c r="A41" s="190"/>
      <c r="B41" s="191"/>
      <c r="C41" s="190"/>
      <c r="D41" s="190"/>
    </row>
    <row r="42" spans="1:4" x14ac:dyDescent="0.25">
      <c r="B42" s="2">
        <f>SUM(B34:B40)</f>
        <v>20010224172.75206</v>
      </c>
    </row>
    <row r="45" spans="1:4" x14ac:dyDescent="0.25">
      <c r="A45" t="s">
        <v>77</v>
      </c>
      <c r="B45" s="192">
        <f>SUMIF($C$34:$C$38,A45,$B$34:$B$38)</f>
        <v>368192385</v>
      </c>
      <c r="C45" s="216">
        <f>B45/$B$50</f>
        <v>1.8400212902230647E-2</v>
      </c>
    </row>
    <row r="46" spans="1:4" x14ac:dyDescent="0.25">
      <c r="A46" t="s">
        <v>79</v>
      </c>
      <c r="B46" s="192">
        <f t="shared" ref="B46:B47" si="1">SUMIF($C$34:$C$38,A46,$B$34:$B$38)</f>
        <v>743823000</v>
      </c>
      <c r="C46" s="216">
        <f t="shared" ref="C46:C49" si="2">B46/$B$50</f>
        <v>3.7172147277233628E-2</v>
      </c>
    </row>
    <row r="47" spans="1:4" x14ac:dyDescent="0.25">
      <c r="A47" t="s">
        <v>81</v>
      </c>
      <c r="B47" s="192">
        <f t="shared" si="1"/>
        <v>4339085000</v>
      </c>
      <c r="C47" s="216">
        <f t="shared" si="2"/>
        <v>0.21684339778204664</v>
      </c>
    </row>
    <row r="48" spans="1:4" x14ac:dyDescent="0.25">
      <c r="A48" t="s">
        <v>83</v>
      </c>
      <c r="B48" s="192">
        <f>SUMIF($C$34:$C$40,A48,$B$34:$B$40)</f>
        <v>12377242988</v>
      </c>
      <c r="C48" s="216">
        <f t="shared" si="2"/>
        <v>0.61854594337099444</v>
      </c>
    </row>
    <row r="49" spans="1:3" x14ac:dyDescent="0.25">
      <c r="A49" t="s">
        <v>87</v>
      </c>
      <c r="B49" s="192">
        <f>SUMIF($C$34:$C$40,A49,$B$34:$B$40)</f>
        <v>2181880799.752059</v>
      </c>
      <c r="C49" s="216">
        <f t="shared" si="2"/>
        <v>0.10903829866749459</v>
      </c>
    </row>
    <row r="50" spans="1:3" x14ac:dyDescent="0.25">
      <c r="B50" s="2">
        <f>SUM(B45:B49)</f>
        <v>20010224172.75206</v>
      </c>
      <c r="C50" s="22">
        <f>SUM(C45:C49)</f>
        <v>0.99999999999999989</v>
      </c>
    </row>
    <row r="51" spans="1:3" x14ac:dyDescent="0.25">
      <c r="A51" s="193" t="s">
        <v>14</v>
      </c>
      <c r="B51" s="194">
        <f>B50-B42</f>
        <v>0</v>
      </c>
    </row>
    <row r="52" spans="1:3" x14ac:dyDescent="0.25">
      <c r="A52" s="193"/>
      <c r="B52" s="193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H17" sqref="H17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460</v>
      </c>
    </row>
    <row r="2" spans="1:19" ht="15.75" thickBot="1" x14ac:dyDescent="0.3">
      <c r="A2" s="244" t="s">
        <v>42</v>
      </c>
      <c r="B2" s="245"/>
      <c r="C2" s="245"/>
      <c r="D2" s="245"/>
      <c r="E2" s="246"/>
      <c r="H2" s="244" t="s">
        <v>49</v>
      </c>
      <c r="I2" s="245"/>
      <c r="J2" s="245"/>
      <c r="K2" s="245"/>
      <c r="L2" s="246"/>
    </row>
    <row r="3" spans="1:19" x14ac:dyDescent="0.25">
      <c r="A3" s="243" t="s">
        <v>454</v>
      </c>
      <c r="B3" s="243"/>
      <c r="C3" s="243"/>
      <c r="D3" s="243"/>
      <c r="E3" s="243"/>
    </row>
    <row r="4" spans="1:19" ht="25.5" x14ac:dyDescent="0.25">
      <c r="A4" s="197" t="s">
        <v>44</v>
      </c>
      <c r="B4" s="197" t="s">
        <v>455</v>
      </c>
      <c r="C4" s="197" t="s">
        <v>102</v>
      </c>
      <c r="D4" s="198" t="s">
        <v>446</v>
      </c>
      <c r="E4" s="81" t="s">
        <v>164</v>
      </c>
    </row>
    <row r="5" spans="1:19" x14ac:dyDescent="0.25">
      <c r="A5" s="5"/>
      <c r="B5" s="5"/>
      <c r="C5" s="5"/>
      <c r="D5" s="199"/>
      <c r="E5" s="109" t="s">
        <v>77</v>
      </c>
    </row>
    <row r="8" spans="1:19" x14ac:dyDescent="0.25">
      <c r="A8" s="247" t="s">
        <v>456</v>
      </c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</row>
    <row r="9" spans="1:19" x14ac:dyDescent="0.25">
      <c r="A9" s="243" t="s">
        <v>457</v>
      </c>
      <c r="B9" s="243"/>
      <c r="C9" s="243"/>
      <c r="D9" s="243"/>
      <c r="E9" s="243"/>
      <c r="H9" s="243" t="s">
        <v>457</v>
      </c>
      <c r="I9" s="243"/>
      <c r="J9" s="243"/>
      <c r="K9" s="243"/>
      <c r="L9" s="243"/>
      <c r="O9" s="243" t="s">
        <v>458</v>
      </c>
      <c r="P9" s="243"/>
      <c r="Q9" s="243"/>
      <c r="R9" s="243"/>
      <c r="S9" s="243"/>
    </row>
    <row r="10" spans="1:19" ht="25.5" x14ac:dyDescent="0.25">
      <c r="A10" s="197" t="s">
        <v>44</v>
      </c>
      <c r="B10" s="197" t="s">
        <v>455</v>
      </c>
      <c r="C10" s="197" t="s">
        <v>102</v>
      </c>
      <c r="D10" s="198" t="str">
        <f>D4</f>
        <v>Вложения (руб) на 01.03.2021</v>
      </c>
      <c r="E10" s="81" t="s">
        <v>164</v>
      </c>
      <c r="H10" s="197" t="s">
        <v>44</v>
      </c>
      <c r="I10" s="197" t="s">
        <v>455</v>
      </c>
      <c r="J10" s="197" t="s">
        <v>102</v>
      </c>
      <c r="K10" s="198" t="str">
        <f>D4</f>
        <v>Вложения (руб) на 01.03.2021</v>
      </c>
      <c r="L10" s="81" t="s">
        <v>164</v>
      </c>
      <c r="O10" s="248" t="s">
        <v>42</v>
      </c>
      <c r="P10" s="248"/>
      <c r="Q10" s="200"/>
      <c r="R10" s="248" t="s">
        <v>49</v>
      </c>
      <c r="S10" s="248"/>
    </row>
    <row r="11" spans="1:19" x14ac:dyDescent="0.25">
      <c r="A11" s="197" t="s">
        <v>42</v>
      </c>
      <c r="B11" s="197" t="s">
        <v>447</v>
      </c>
      <c r="C11" s="197" t="s">
        <v>163</v>
      </c>
      <c r="D11" s="199"/>
      <c r="E11" s="109" t="s">
        <v>77</v>
      </c>
      <c r="H11" s="5"/>
      <c r="I11" s="5"/>
      <c r="J11" s="5"/>
      <c r="K11" s="5"/>
      <c r="L11" s="5"/>
      <c r="O11" s="157" t="s">
        <v>71</v>
      </c>
      <c r="P11" s="141">
        <f>SUMIF($E$23:$E$88,O11,$D$23:D$88)</f>
        <v>0</v>
      </c>
      <c r="Q11" s="200"/>
      <c r="R11" s="157" t="s">
        <v>71</v>
      </c>
      <c r="S11" s="141">
        <f>SUMIF($L$23:L$39,R11,$K$23:$K$39)</f>
        <v>0</v>
      </c>
    </row>
    <row r="12" spans="1:19" x14ac:dyDescent="0.25">
      <c r="A12" s="201"/>
      <c r="B12" s="201"/>
      <c r="C12" s="201"/>
      <c r="D12" s="202"/>
      <c r="E12" s="203"/>
      <c r="O12" s="140" t="s">
        <v>73</v>
      </c>
      <c r="P12" s="141">
        <f>SUMIF($E$23:$E$88,O12,$D$23:D$88)</f>
        <v>0</v>
      </c>
      <c r="Q12" s="200"/>
      <c r="R12" s="140" t="s">
        <v>73</v>
      </c>
      <c r="S12" s="141">
        <f>SUMIF($L$23:L$39,R12,$K$23:$K$39)</f>
        <v>0</v>
      </c>
    </row>
    <row r="13" spans="1:19" x14ac:dyDescent="0.25">
      <c r="O13" s="140" t="s">
        <v>75</v>
      </c>
      <c r="P13" s="141">
        <f>SUMIF($E$23:$E$88,O13,$D$23:D$88)</f>
        <v>0</v>
      </c>
      <c r="Q13" s="200"/>
      <c r="R13" s="140" t="s">
        <v>75</v>
      </c>
      <c r="S13" s="141">
        <f>SUMIF($L$23:L$39,R13,$K$23:$K$39)</f>
        <v>0</v>
      </c>
    </row>
    <row r="14" spans="1:19" x14ac:dyDescent="0.25">
      <c r="A14" s="201"/>
      <c r="B14" s="201"/>
      <c r="C14" s="201"/>
      <c r="D14" s="202"/>
      <c r="E14" s="203"/>
      <c r="O14" s="140" t="s">
        <v>77</v>
      </c>
      <c r="P14" s="141">
        <f>SUMIF($E$23:$E$88,O14,$D$23:D$88)</f>
        <v>0</v>
      </c>
      <c r="Q14" s="200"/>
      <c r="R14" s="140" t="s">
        <v>77</v>
      </c>
      <c r="S14" s="141">
        <f>SUMIF($L$23:L$39,R14,$K$23:$K$39)</f>
        <v>0</v>
      </c>
    </row>
    <row r="15" spans="1:19" x14ac:dyDescent="0.25">
      <c r="A15" s="243" t="s">
        <v>459</v>
      </c>
      <c r="B15" s="243"/>
      <c r="C15" s="243"/>
      <c r="D15" s="243"/>
      <c r="E15" s="243"/>
      <c r="H15" s="243" t="s">
        <v>459</v>
      </c>
      <c r="I15" s="243"/>
      <c r="J15" s="243"/>
      <c r="K15" s="243"/>
      <c r="L15" s="243"/>
      <c r="O15" s="157" t="s">
        <v>79</v>
      </c>
      <c r="P15" s="141">
        <f>SUMIF($E$23:$E$88,O15,$D$23:D$88)</f>
        <v>0</v>
      </c>
      <c r="Q15" s="200"/>
      <c r="R15" s="157" t="s">
        <v>79</v>
      </c>
      <c r="S15" s="141">
        <f>SUMIF($L$23:L$39,R15,$K$23:$K$39)</f>
        <v>0</v>
      </c>
    </row>
    <row r="16" spans="1:19" ht="25.5" x14ac:dyDescent="0.25">
      <c r="A16" s="197" t="s">
        <v>44</v>
      </c>
      <c r="B16" s="197" t="s">
        <v>455</v>
      </c>
      <c r="C16" s="197" t="s">
        <v>102</v>
      </c>
      <c r="D16" s="198" t="str">
        <f>D4</f>
        <v>Вложения (руб) на 01.03.2021</v>
      </c>
      <c r="E16" s="81" t="s">
        <v>164</v>
      </c>
      <c r="H16" s="197" t="s">
        <v>44</v>
      </c>
      <c r="I16" s="197" t="s">
        <v>455</v>
      </c>
      <c r="J16" s="197" t="s">
        <v>102</v>
      </c>
      <c r="K16" s="198" t="str">
        <f>D4</f>
        <v>Вложения (руб) на 01.03.2021</v>
      </c>
      <c r="L16" s="81" t="s">
        <v>164</v>
      </c>
      <c r="O16" s="158" t="s">
        <v>81</v>
      </c>
      <c r="P16" s="141">
        <f>SUMIF($E$23:$E$88,O16,$D$23:D$88)</f>
        <v>0</v>
      </c>
      <c r="Q16" s="200"/>
      <c r="R16" s="158" t="s">
        <v>81</v>
      </c>
      <c r="S16" s="141">
        <f>SUMIF($L$23:L$39,R16,$K$23:$K$39)</f>
        <v>0</v>
      </c>
    </row>
    <row r="17" spans="1:21" x14ac:dyDescent="0.25">
      <c r="A17" s="197"/>
      <c r="B17" s="197"/>
      <c r="C17" s="197"/>
      <c r="D17" s="199">
        <v>0</v>
      </c>
      <c r="E17" s="109"/>
      <c r="H17" s="197"/>
      <c r="I17" s="197"/>
      <c r="J17" s="197"/>
      <c r="K17" s="199"/>
      <c r="L17" s="109"/>
      <c r="O17" s="158" t="s">
        <v>83</v>
      </c>
      <c r="P17" s="141">
        <f>SUMIF($E$23:$E$88,O17,$D$23:D$88)</f>
        <v>0</v>
      </c>
      <c r="Q17" s="200"/>
      <c r="R17" s="158" t="s">
        <v>83</v>
      </c>
      <c r="S17" s="141">
        <f>SUMIF($L$23:L$39,R17,$K$23:$K$39)</f>
        <v>0</v>
      </c>
    </row>
    <row r="18" spans="1:21" x14ac:dyDescent="0.25">
      <c r="O18" s="157" t="s">
        <v>85</v>
      </c>
      <c r="P18" s="141">
        <f>SUMIF($E$23:$E$88,O18,$D$23:D$88)</f>
        <v>0</v>
      </c>
      <c r="Q18" s="200"/>
      <c r="R18" s="157" t="s">
        <v>85</v>
      </c>
      <c r="S18" s="141">
        <f>SUMIF($L$23:L$39,R18,$K$23:$K$39)</f>
        <v>0</v>
      </c>
    </row>
    <row r="19" spans="1:21" x14ac:dyDescent="0.25">
      <c r="O19" s="157" t="s">
        <v>87</v>
      </c>
      <c r="P19" s="141">
        <f>SUMIF($E$23:$E$88,O19,$D$23:D$88)</f>
        <v>0</v>
      </c>
      <c r="Q19" s="200"/>
      <c r="R19" s="157" t="s">
        <v>87</v>
      </c>
      <c r="S19" s="141">
        <f>SUMIF($L$23:L$39,R19,$K$23:$K$39)</f>
        <v>0</v>
      </c>
    </row>
    <row r="20" spans="1:21" x14ac:dyDescent="0.25">
      <c r="O20" s="157" t="s">
        <v>89</v>
      </c>
      <c r="P20" s="141">
        <f>SUMIF($E$23:$E$88,O20,$D$23:D$88)</f>
        <v>0</v>
      </c>
      <c r="Q20" s="200"/>
      <c r="R20" s="157" t="s">
        <v>89</v>
      </c>
      <c r="S20" s="141">
        <f>SUMIF($L$23:L$39,R20,$K$23:$K$39)</f>
        <v>0</v>
      </c>
    </row>
    <row r="21" spans="1:21" x14ac:dyDescent="0.25">
      <c r="A21" s="243" t="s">
        <v>458</v>
      </c>
      <c r="B21" s="243"/>
      <c r="C21" s="243"/>
      <c r="D21" s="243"/>
      <c r="E21" s="243"/>
      <c r="F21" s="80"/>
      <c r="G21" s="80"/>
      <c r="H21" s="243" t="s">
        <v>458</v>
      </c>
      <c r="I21" s="243"/>
      <c r="J21" s="243"/>
      <c r="K21" s="243"/>
      <c r="L21" s="243"/>
      <c r="M21" s="80"/>
      <c r="N21" s="200"/>
      <c r="O21" s="157" t="s">
        <v>116</v>
      </c>
      <c r="P21" s="141">
        <f>SUMIF($E$23:$E$88,O21,$D$23:D$88)</f>
        <v>0</v>
      </c>
      <c r="Q21" s="200"/>
      <c r="R21" s="157" t="s">
        <v>116</v>
      </c>
      <c r="S21" s="141">
        <f>SUMIF($L$23:L$39,R21,$K$23:$K$39)</f>
        <v>0</v>
      </c>
    </row>
    <row r="22" spans="1:21" ht="38.25" customHeight="1" x14ac:dyDescent="0.25">
      <c r="A22" s="197" t="s">
        <v>44</v>
      </c>
      <c r="B22" s="197" t="s">
        <v>455</v>
      </c>
      <c r="C22" s="197" t="s">
        <v>102</v>
      </c>
      <c r="D22" s="198" t="str">
        <f>D4</f>
        <v>Вложения (руб) на 01.03.2021</v>
      </c>
      <c r="E22" s="81" t="s">
        <v>164</v>
      </c>
      <c r="F22" s="203"/>
      <c r="G22" s="203"/>
      <c r="H22" s="197" t="s">
        <v>44</v>
      </c>
      <c r="I22" s="197" t="s">
        <v>455</v>
      </c>
      <c r="J22" s="197" t="s">
        <v>102</v>
      </c>
      <c r="K22" s="198" t="str">
        <f>D4</f>
        <v>Вложения (руб) на 01.03.2021</v>
      </c>
      <c r="L22" s="81" t="s">
        <v>164</v>
      </c>
      <c r="M22" s="203"/>
      <c r="N22" s="200"/>
      <c r="O22" s="157"/>
      <c r="P22" s="141">
        <f>SUM(P11:P21)</f>
        <v>0</v>
      </c>
      <c r="Q22" s="200"/>
      <c r="R22" s="157"/>
      <c r="S22" s="141">
        <f>SUM(S11:S21)</f>
        <v>0</v>
      </c>
    </row>
    <row r="23" spans="1:21" x14ac:dyDescent="0.25">
      <c r="A23" s="197"/>
      <c r="B23" s="197"/>
      <c r="C23" s="197"/>
      <c r="D23" s="199"/>
      <c r="E23" s="109"/>
      <c r="F23" s="204"/>
      <c r="G23" s="204"/>
      <c r="H23" s="197"/>
      <c r="I23" s="197"/>
      <c r="J23" s="197"/>
      <c r="K23" s="199"/>
      <c r="L23" s="109"/>
      <c r="M23" s="204"/>
      <c r="N23" s="200"/>
      <c r="O23" s="145" t="s">
        <v>14</v>
      </c>
      <c r="P23" s="141">
        <f ca="1">P22+D5+D11+D17-'портефль до погашения'!F3</f>
        <v>-62610899202.850006</v>
      </c>
      <c r="Q23" s="200"/>
      <c r="R23" s="145" t="s">
        <v>14</v>
      </c>
      <c r="S23" s="141">
        <f ca="1">S22+K11+K17-'портефль до погашения'!F4</f>
        <v>-3227712146.5462608</v>
      </c>
    </row>
    <row r="24" spans="1:21" x14ac:dyDescent="0.25">
      <c r="A24" s="197"/>
      <c r="B24" s="197"/>
      <c r="C24" s="197"/>
      <c r="D24" s="199"/>
      <c r="E24" s="109"/>
      <c r="F24" s="204"/>
      <c r="G24" s="204"/>
      <c r="H24" s="197"/>
      <c r="I24" s="197"/>
      <c r="J24" s="197"/>
      <c r="K24" s="199"/>
      <c r="L24" s="109"/>
      <c r="M24" s="204"/>
      <c r="N24" s="200"/>
      <c r="O24" s="200"/>
      <c r="P24" s="200"/>
      <c r="Q24" s="200"/>
      <c r="R24" s="200"/>
      <c r="S24" s="200"/>
    </row>
    <row r="25" spans="1:21" x14ac:dyDescent="0.25">
      <c r="A25" s="197"/>
      <c r="B25" s="197"/>
      <c r="C25" s="197"/>
      <c r="D25" s="199"/>
      <c r="E25" s="109"/>
      <c r="F25" s="204"/>
      <c r="G25" s="204"/>
      <c r="H25" s="197"/>
      <c r="I25" s="197"/>
      <c r="J25" s="197"/>
      <c r="K25" s="199"/>
      <c r="L25" s="109"/>
      <c r="M25" s="204"/>
      <c r="N25" s="200"/>
      <c r="O25" s="200"/>
      <c r="P25" s="200"/>
      <c r="Q25" s="200"/>
      <c r="R25" s="200"/>
      <c r="S25" s="200"/>
    </row>
    <row r="26" spans="1:21" x14ac:dyDescent="0.25">
      <c r="A26" s="197"/>
      <c r="B26" s="197"/>
      <c r="C26" s="197"/>
      <c r="D26" s="199"/>
      <c r="E26" s="109"/>
      <c r="F26" s="204"/>
      <c r="G26" s="204"/>
      <c r="H26" s="197"/>
      <c r="I26" s="197"/>
      <c r="J26" s="197"/>
      <c r="K26" s="199"/>
      <c r="L26" s="109"/>
      <c r="M26" s="204"/>
      <c r="N26" s="200"/>
      <c r="O26" s="200"/>
      <c r="P26" s="200"/>
      <c r="Q26" s="200"/>
      <c r="R26" s="200"/>
      <c r="S26" s="200"/>
    </row>
    <row r="27" spans="1:21" x14ac:dyDescent="0.25">
      <c r="A27" s="197"/>
      <c r="B27" s="197"/>
      <c r="C27" s="197"/>
      <c r="D27" s="199"/>
      <c r="E27" s="109"/>
      <c r="F27" s="204"/>
      <c r="G27" s="204"/>
      <c r="H27" s="197"/>
      <c r="I27" s="197"/>
      <c r="J27" s="197"/>
      <c r="K27" s="199"/>
      <c r="L27" s="109"/>
      <c r="M27" s="204"/>
      <c r="N27" s="200"/>
      <c r="O27" s="200"/>
      <c r="P27" s="200"/>
      <c r="Q27" s="200"/>
      <c r="R27" s="200"/>
      <c r="S27" s="200"/>
      <c r="T27" s="200"/>
      <c r="U27" s="200"/>
    </row>
    <row r="28" spans="1:21" x14ac:dyDescent="0.25">
      <c r="A28" s="197"/>
      <c r="B28" s="197"/>
      <c r="C28" s="197"/>
      <c r="D28" s="199"/>
      <c r="E28" s="109"/>
      <c r="F28" s="204"/>
      <c r="G28" s="204"/>
      <c r="H28" s="197"/>
      <c r="I28" s="197"/>
      <c r="J28" s="197"/>
      <c r="K28" s="199"/>
      <c r="L28" s="109"/>
      <c r="M28" s="204"/>
      <c r="N28" s="200"/>
      <c r="O28" s="200"/>
      <c r="P28" s="200"/>
      <c r="Q28" s="200"/>
      <c r="R28" s="200"/>
      <c r="S28" s="200"/>
      <c r="T28" s="200"/>
      <c r="U28" s="200"/>
    </row>
    <row r="29" spans="1:21" x14ac:dyDescent="0.25">
      <c r="A29" s="197"/>
      <c r="B29" s="197"/>
      <c r="C29" s="197"/>
      <c r="D29" s="199"/>
      <c r="E29" s="109"/>
      <c r="F29" s="204"/>
      <c r="G29" s="204"/>
      <c r="H29" s="197"/>
      <c r="I29" s="197"/>
      <c r="J29" s="197"/>
      <c r="K29" s="199"/>
      <c r="L29" s="109"/>
      <c r="M29" s="204"/>
      <c r="N29" s="200"/>
      <c r="O29" s="200"/>
      <c r="P29" s="200"/>
      <c r="Q29" s="200"/>
      <c r="R29" s="200"/>
      <c r="S29" s="200"/>
      <c r="T29" s="200"/>
      <c r="U29" s="200"/>
    </row>
    <row r="30" spans="1:21" x14ac:dyDescent="0.25">
      <c r="A30" s="197"/>
      <c r="B30" s="197"/>
      <c r="C30" s="197"/>
      <c r="D30" s="199"/>
      <c r="E30" s="109"/>
      <c r="F30" s="204"/>
      <c r="G30" s="204"/>
      <c r="H30" s="197"/>
      <c r="I30" s="197"/>
      <c r="J30" s="197"/>
      <c r="K30" s="199"/>
      <c r="L30" s="109"/>
      <c r="M30" s="204"/>
      <c r="N30" s="200"/>
      <c r="O30" s="200"/>
      <c r="P30" s="200"/>
      <c r="Q30" s="200"/>
      <c r="R30" s="200"/>
      <c r="S30" s="200"/>
      <c r="T30" s="200"/>
      <c r="U30" s="200"/>
    </row>
    <row r="31" spans="1:21" x14ac:dyDescent="0.25">
      <c r="A31" s="197"/>
      <c r="B31" s="197"/>
      <c r="C31" s="197"/>
      <c r="D31" s="199"/>
      <c r="E31" s="109"/>
      <c r="F31" s="204"/>
      <c r="G31" s="204"/>
      <c r="H31" s="204"/>
      <c r="I31" s="204"/>
      <c r="J31" s="204"/>
      <c r="K31" s="204"/>
      <c r="L31" s="204"/>
      <c r="M31" s="204"/>
      <c r="N31" s="200"/>
      <c r="O31" s="200"/>
      <c r="P31" s="200"/>
      <c r="Q31" s="200"/>
      <c r="R31" s="200"/>
      <c r="S31" s="200"/>
      <c r="T31" s="200"/>
      <c r="U31" s="200"/>
    </row>
    <row r="32" spans="1:21" x14ac:dyDescent="0.25">
      <c r="A32" s="197"/>
      <c r="B32" s="197"/>
      <c r="C32" s="197"/>
      <c r="D32" s="199"/>
      <c r="E32" s="109"/>
      <c r="F32" s="204"/>
      <c r="G32" s="204"/>
      <c r="H32" s="204"/>
      <c r="I32" s="204"/>
      <c r="J32" s="204"/>
      <c r="K32" s="204"/>
      <c r="L32" s="204"/>
      <c r="M32" s="204"/>
      <c r="N32" s="200"/>
      <c r="O32" s="200"/>
      <c r="P32" s="200"/>
      <c r="Q32" s="200"/>
      <c r="R32" s="200"/>
      <c r="S32" s="200"/>
      <c r="T32" s="200"/>
      <c r="U32" s="200"/>
    </row>
    <row r="33" spans="1:21" x14ac:dyDescent="0.25">
      <c r="A33" s="197"/>
      <c r="B33" s="197"/>
      <c r="C33" s="197"/>
      <c r="D33" s="199"/>
      <c r="E33" s="109"/>
      <c r="F33" s="204"/>
      <c r="G33" s="204"/>
      <c r="H33" s="204"/>
      <c r="I33" s="204"/>
      <c r="J33" s="204"/>
      <c r="K33" s="204"/>
      <c r="L33" s="204"/>
      <c r="M33" s="204"/>
      <c r="N33" s="200"/>
      <c r="O33" s="200"/>
      <c r="P33" s="200"/>
      <c r="Q33" s="200"/>
      <c r="R33" s="200"/>
      <c r="S33" s="200"/>
      <c r="T33" s="200"/>
      <c r="U33" s="200"/>
    </row>
    <row r="34" spans="1:21" x14ac:dyDescent="0.25">
      <c r="A34" s="197"/>
      <c r="B34" s="197"/>
      <c r="C34" s="197"/>
      <c r="D34" s="199"/>
      <c r="E34" s="109"/>
      <c r="F34" s="204"/>
      <c r="G34" s="204"/>
      <c r="H34" s="204"/>
      <c r="I34" s="204"/>
      <c r="J34" s="204"/>
      <c r="K34" s="204"/>
      <c r="L34" s="204"/>
      <c r="M34" s="204"/>
      <c r="N34" s="200"/>
      <c r="O34" s="200"/>
      <c r="P34" s="200"/>
      <c r="Q34" s="200"/>
      <c r="R34" s="200"/>
      <c r="S34" s="200"/>
      <c r="T34" s="200"/>
      <c r="U34" s="200"/>
    </row>
    <row r="35" spans="1:21" x14ac:dyDescent="0.25">
      <c r="A35" s="197"/>
      <c r="B35" s="197"/>
      <c r="C35" s="197"/>
      <c r="D35" s="199"/>
      <c r="E35" s="109"/>
      <c r="F35" s="204"/>
      <c r="G35" s="204"/>
      <c r="H35" s="204"/>
      <c r="I35" s="204"/>
      <c r="J35" s="204"/>
      <c r="K35" s="204"/>
      <c r="L35" s="204"/>
      <c r="M35" s="204"/>
      <c r="N35" s="200"/>
      <c r="O35" s="200"/>
      <c r="P35" s="200"/>
      <c r="Q35" s="200"/>
      <c r="R35" s="200"/>
      <c r="S35" s="200"/>
    </row>
    <row r="36" spans="1:21" x14ac:dyDescent="0.25">
      <c r="A36" s="197"/>
      <c r="B36" s="197"/>
      <c r="C36" s="197"/>
      <c r="D36" s="199"/>
      <c r="E36" s="109"/>
      <c r="F36" s="204"/>
      <c r="G36" s="204"/>
      <c r="H36" s="204"/>
      <c r="I36" s="204"/>
      <c r="J36" s="204"/>
      <c r="K36" s="204"/>
      <c r="L36" s="204"/>
      <c r="M36" s="204"/>
      <c r="N36" s="200"/>
      <c r="O36" s="200"/>
      <c r="P36" s="200"/>
      <c r="Q36" s="200"/>
      <c r="R36" s="200"/>
      <c r="S36" s="200"/>
    </row>
    <row r="37" spans="1:21" x14ac:dyDescent="0.25">
      <c r="A37" s="197"/>
      <c r="B37" s="197"/>
      <c r="C37" s="197"/>
      <c r="D37" s="199"/>
      <c r="E37" s="109"/>
      <c r="F37" s="204"/>
      <c r="G37" s="204"/>
      <c r="H37" s="204"/>
      <c r="I37" s="204"/>
      <c r="J37" s="204"/>
      <c r="K37" s="204"/>
      <c r="L37" s="204"/>
      <c r="M37" s="204"/>
      <c r="N37" s="200"/>
      <c r="O37" s="200"/>
      <c r="P37" s="200"/>
      <c r="Q37" s="200"/>
      <c r="R37" s="200"/>
      <c r="S37" s="200"/>
    </row>
    <row r="38" spans="1:21" x14ac:dyDescent="0.25">
      <c r="A38" s="197"/>
      <c r="B38" s="197"/>
      <c r="C38" s="197"/>
      <c r="D38" s="199"/>
      <c r="E38" s="109"/>
      <c r="F38" s="204"/>
      <c r="G38" s="204"/>
      <c r="H38" s="204"/>
      <c r="I38" s="204"/>
      <c r="J38" s="204"/>
      <c r="K38" s="204"/>
      <c r="L38" s="204"/>
      <c r="M38" s="204"/>
      <c r="N38" s="200"/>
      <c r="O38" s="200"/>
      <c r="P38" s="200"/>
      <c r="Q38" s="200"/>
      <c r="R38" s="200"/>
      <c r="S38" s="200"/>
    </row>
    <row r="39" spans="1:21" x14ac:dyDescent="0.25">
      <c r="A39" s="197"/>
      <c r="B39" s="197"/>
      <c r="C39" s="197"/>
      <c r="D39" s="199"/>
      <c r="E39" s="109"/>
      <c r="F39" s="204"/>
      <c r="G39" s="204"/>
      <c r="H39" s="204"/>
      <c r="I39" s="204"/>
      <c r="J39" s="204"/>
      <c r="K39" s="204"/>
      <c r="L39" s="204"/>
      <c r="M39" s="204"/>
      <c r="N39" s="200"/>
      <c r="O39" s="200"/>
      <c r="P39" s="200"/>
      <c r="Q39" s="200"/>
      <c r="R39" s="200"/>
      <c r="S39" s="200"/>
    </row>
    <row r="40" spans="1:21" x14ac:dyDescent="0.25">
      <c r="A40" s="197"/>
      <c r="B40" s="197"/>
      <c r="C40" s="197"/>
      <c r="D40" s="199"/>
      <c r="E40" s="109"/>
      <c r="F40" s="204"/>
      <c r="G40" s="204"/>
      <c r="H40" s="204"/>
      <c r="I40" s="204"/>
      <c r="J40" s="204"/>
      <c r="K40" s="204"/>
      <c r="L40" s="204"/>
      <c r="M40" s="204"/>
      <c r="N40" s="200"/>
      <c r="O40" s="200"/>
      <c r="P40" s="200"/>
      <c r="Q40" s="200"/>
      <c r="R40" s="200"/>
      <c r="S40" s="200"/>
    </row>
    <row r="41" spans="1:21" x14ac:dyDescent="0.25">
      <c r="A41" s="197"/>
      <c r="B41" s="197"/>
      <c r="C41" s="197"/>
      <c r="D41" s="199"/>
      <c r="E41" s="109"/>
      <c r="F41" s="204"/>
      <c r="G41" s="204"/>
      <c r="H41" s="204"/>
      <c r="I41" s="204"/>
      <c r="J41" s="204"/>
      <c r="K41" s="204"/>
      <c r="L41" s="204"/>
      <c r="M41" s="204"/>
      <c r="N41" s="200"/>
      <c r="O41" s="200"/>
      <c r="P41" s="200"/>
      <c r="Q41" s="200"/>
      <c r="R41" s="200"/>
      <c r="S41" s="200"/>
    </row>
    <row r="42" spans="1:21" x14ac:dyDescent="0.25">
      <c r="A42" s="197"/>
      <c r="B42" s="197"/>
      <c r="C42" s="197"/>
      <c r="D42" s="199"/>
      <c r="E42" s="109"/>
      <c r="F42" s="204"/>
      <c r="G42" s="204"/>
      <c r="H42" s="204"/>
      <c r="I42" s="204"/>
      <c r="J42" s="204"/>
      <c r="K42" s="204"/>
      <c r="L42" s="204"/>
      <c r="M42" s="204"/>
      <c r="N42" s="200"/>
      <c r="O42" s="200"/>
      <c r="P42" s="200"/>
      <c r="Q42" s="200"/>
      <c r="R42" s="200"/>
      <c r="S42" s="200"/>
    </row>
    <row r="43" spans="1:21" x14ac:dyDescent="0.25">
      <c r="A43" s="197"/>
      <c r="B43" s="197"/>
      <c r="C43" s="197"/>
      <c r="D43" s="199"/>
      <c r="E43" s="109"/>
      <c r="F43" s="204"/>
      <c r="G43" s="204"/>
      <c r="H43" s="204"/>
      <c r="I43" s="204"/>
      <c r="J43" s="204"/>
      <c r="K43" s="204"/>
      <c r="L43" s="204"/>
      <c r="M43" s="204"/>
      <c r="N43" s="200"/>
      <c r="O43" s="200"/>
      <c r="P43" s="200"/>
      <c r="Q43" s="200"/>
      <c r="R43" s="200"/>
      <c r="S43" s="200"/>
    </row>
    <row r="44" spans="1:21" x14ac:dyDescent="0.25">
      <c r="A44" s="197"/>
      <c r="B44" s="197"/>
      <c r="C44" s="197"/>
      <c r="D44" s="199"/>
      <c r="E44" s="109"/>
      <c r="F44" s="204"/>
      <c r="G44" s="204"/>
      <c r="H44" s="204"/>
      <c r="I44" s="204"/>
      <c r="J44" s="204"/>
      <c r="K44" s="204"/>
      <c r="L44" s="204"/>
      <c r="M44" s="204"/>
      <c r="N44" s="200"/>
      <c r="O44" s="200"/>
      <c r="P44" s="200"/>
      <c r="Q44" s="200"/>
      <c r="R44" s="200"/>
      <c r="S44" s="200"/>
    </row>
    <row r="45" spans="1:21" x14ac:dyDescent="0.25">
      <c r="A45" s="197"/>
      <c r="B45" s="197"/>
      <c r="C45" s="197"/>
      <c r="D45" s="199"/>
      <c r="E45" s="109"/>
      <c r="F45" s="204"/>
      <c r="G45" s="204"/>
      <c r="H45" s="204"/>
      <c r="I45" s="204"/>
      <c r="J45" s="204"/>
      <c r="K45" s="204"/>
      <c r="L45" s="204"/>
      <c r="M45" s="204"/>
      <c r="N45" s="200"/>
      <c r="O45" s="200"/>
      <c r="P45" s="200"/>
      <c r="Q45" s="200"/>
      <c r="R45" s="200"/>
      <c r="S45" s="200"/>
    </row>
    <row r="46" spans="1:21" x14ac:dyDescent="0.25">
      <c r="A46" s="197"/>
      <c r="B46" s="197"/>
      <c r="C46" s="197"/>
      <c r="D46" s="199"/>
      <c r="E46" s="109"/>
      <c r="F46" s="204"/>
      <c r="G46" s="204"/>
      <c r="H46" s="204"/>
      <c r="I46" s="204"/>
      <c r="J46" s="204"/>
      <c r="K46" s="204"/>
      <c r="L46" s="204"/>
      <c r="M46" s="204"/>
      <c r="N46" s="200"/>
      <c r="O46" s="200"/>
      <c r="P46" s="200"/>
      <c r="Q46" s="200"/>
      <c r="R46" s="200"/>
      <c r="S46" s="200"/>
    </row>
    <row r="47" spans="1:21" x14ac:dyDescent="0.25">
      <c r="A47" s="197"/>
      <c r="B47" s="197"/>
      <c r="C47" s="197"/>
      <c r="D47" s="199"/>
      <c r="E47" s="109"/>
      <c r="F47" s="204"/>
      <c r="G47" s="204"/>
      <c r="H47" s="204"/>
      <c r="I47" s="204"/>
      <c r="J47" s="204"/>
      <c r="K47" s="204"/>
      <c r="L47" s="204"/>
      <c r="M47" s="204"/>
      <c r="N47" s="200"/>
      <c r="O47" s="200"/>
      <c r="P47" s="200"/>
      <c r="Q47" s="200"/>
      <c r="R47" s="200"/>
      <c r="S47" s="200"/>
    </row>
    <row r="48" spans="1:21" x14ac:dyDescent="0.25">
      <c r="A48" s="197"/>
      <c r="B48" s="197"/>
      <c r="C48" s="197"/>
      <c r="D48" s="199"/>
      <c r="E48" s="109"/>
      <c r="F48" s="204"/>
      <c r="G48" s="204"/>
      <c r="H48" s="204"/>
      <c r="I48" s="204"/>
      <c r="J48" s="204"/>
      <c r="K48" s="204"/>
      <c r="L48" s="204"/>
      <c r="M48" s="204"/>
      <c r="N48" s="200"/>
      <c r="O48" s="200"/>
      <c r="P48" s="200"/>
      <c r="Q48" s="200"/>
      <c r="R48" s="200"/>
      <c r="S48" s="200"/>
    </row>
    <row r="49" spans="1:19" x14ac:dyDescent="0.25">
      <c r="A49" s="197"/>
      <c r="B49" s="197"/>
      <c r="C49" s="197"/>
      <c r="D49" s="199"/>
      <c r="E49" s="109"/>
      <c r="F49" s="204"/>
      <c r="G49" s="204"/>
      <c r="H49" s="204"/>
      <c r="I49" s="204"/>
      <c r="J49" s="204"/>
      <c r="K49" s="204"/>
      <c r="L49" s="204"/>
      <c r="M49" s="204"/>
      <c r="N49" s="200"/>
      <c r="O49" s="200"/>
      <c r="P49" s="200"/>
      <c r="Q49" s="200"/>
      <c r="R49" s="200"/>
      <c r="S49" s="200"/>
    </row>
    <row r="50" spans="1:19" x14ac:dyDescent="0.25">
      <c r="A50" s="197"/>
      <c r="B50" s="197"/>
      <c r="C50" s="197"/>
      <c r="D50" s="199"/>
      <c r="E50" s="109"/>
      <c r="F50" s="204"/>
      <c r="G50" s="204"/>
      <c r="H50" s="204"/>
      <c r="I50" s="204"/>
      <c r="J50" s="204"/>
      <c r="K50" s="204"/>
      <c r="L50" s="204"/>
      <c r="M50" s="204"/>
      <c r="N50" s="200"/>
      <c r="O50" s="200"/>
      <c r="P50" s="200"/>
      <c r="Q50" s="200"/>
      <c r="R50" s="200"/>
      <c r="S50" s="200"/>
    </row>
    <row r="51" spans="1:19" x14ac:dyDescent="0.25">
      <c r="A51" s="197"/>
      <c r="B51" s="197"/>
      <c r="C51" s="197"/>
      <c r="D51" s="199"/>
      <c r="E51" s="109"/>
      <c r="F51" s="204"/>
      <c r="G51" s="204"/>
      <c r="H51" s="204"/>
      <c r="I51" s="204"/>
      <c r="J51" s="204"/>
      <c r="K51" s="204"/>
      <c r="L51" s="204"/>
      <c r="M51" s="204"/>
      <c r="N51" s="200"/>
      <c r="O51" s="200"/>
      <c r="P51" s="200"/>
      <c r="Q51" s="200"/>
      <c r="R51" s="200"/>
      <c r="S51" s="200"/>
    </row>
    <row r="52" spans="1:19" x14ac:dyDescent="0.25">
      <c r="A52" s="197"/>
      <c r="B52" s="197"/>
      <c r="C52" s="197"/>
      <c r="D52" s="199"/>
      <c r="E52" s="109"/>
      <c r="F52" s="204"/>
      <c r="G52" s="204"/>
      <c r="H52" s="204"/>
      <c r="I52" s="204"/>
      <c r="J52" s="204"/>
      <c r="K52" s="204"/>
      <c r="L52" s="204"/>
      <c r="M52" s="204"/>
      <c r="N52" s="200"/>
      <c r="O52" s="200"/>
      <c r="P52" s="200"/>
      <c r="Q52" s="200"/>
      <c r="R52" s="200"/>
      <c r="S52" s="200"/>
    </row>
    <row r="53" spans="1:19" x14ac:dyDescent="0.25">
      <c r="A53" s="197"/>
      <c r="B53" s="197"/>
      <c r="C53" s="197"/>
      <c r="D53" s="199"/>
      <c r="E53" s="109"/>
      <c r="F53" s="204"/>
      <c r="G53" s="204"/>
      <c r="H53" s="204"/>
      <c r="I53" s="204"/>
      <c r="J53" s="204"/>
      <c r="K53" s="204"/>
      <c r="L53" s="204"/>
      <c r="M53" s="204"/>
      <c r="N53" s="200"/>
      <c r="O53" s="200"/>
      <c r="P53" s="200"/>
      <c r="Q53" s="200"/>
      <c r="R53" s="200"/>
      <c r="S53" s="200"/>
    </row>
    <row r="54" spans="1:19" x14ac:dyDescent="0.25">
      <c r="A54" s="197"/>
      <c r="B54" s="197"/>
      <c r="C54" s="197"/>
      <c r="D54" s="199"/>
      <c r="E54" s="109"/>
      <c r="F54" s="204"/>
      <c r="G54" s="204"/>
      <c r="H54" s="204"/>
      <c r="I54" s="204"/>
      <c r="J54" s="204"/>
      <c r="K54" s="204"/>
      <c r="L54" s="204"/>
      <c r="M54" s="204"/>
      <c r="N54" s="200"/>
      <c r="O54" s="200"/>
      <c r="P54" s="200"/>
      <c r="Q54" s="200"/>
      <c r="R54" s="200"/>
      <c r="S54" s="200"/>
    </row>
    <row r="55" spans="1:19" x14ac:dyDescent="0.25">
      <c r="A55" s="197"/>
      <c r="B55" s="197"/>
      <c r="C55" s="197"/>
      <c r="D55" s="199"/>
      <c r="E55" s="109"/>
      <c r="F55" s="204"/>
      <c r="G55" s="204"/>
      <c r="H55" s="204"/>
      <c r="I55" s="204"/>
      <c r="J55" s="204"/>
      <c r="K55" s="204"/>
      <c r="L55" s="204"/>
      <c r="M55" s="204"/>
      <c r="N55" s="200"/>
      <c r="O55" s="200"/>
      <c r="P55" s="200"/>
      <c r="Q55" s="200"/>
      <c r="R55" s="200"/>
      <c r="S55" s="200"/>
    </row>
    <row r="56" spans="1:19" x14ac:dyDescent="0.25">
      <c r="A56" s="197"/>
      <c r="B56" s="197"/>
      <c r="C56" s="197"/>
      <c r="D56" s="199"/>
      <c r="E56" s="109"/>
      <c r="F56" s="204"/>
      <c r="G56" s="204"/>
      <c r="H56" s="204"/>
      <c r="I56" s="204"/>
      <c r="J56" s="204"/>
      <c r="K56" s="204"/>
      <c r="L56" s="204"/>
      <c r="M56" s="204"/>
      <c r="N56" s="200"/>
      <c r="O56" s="200"/>
      <c r="P56" s="200"/>
      <c r="Q56" s="200"/>
      <c r="R56" s="200"/>
      <c r="S56" s="200"/>
    </row>
    <row r="57" spans="1:19" x14ac:dyDescent="0.25">
      <c r="A57" s="197"/>
      <c r="B57" s="197"/>
      <c r="C57" s="197"/>
      <c r="D57" s="199"/>
      <c r="E57" s="109"/>
      <c r="F57" s="204"/>
      <c r="G57" s="204"/>
      <c r="H57" s="204"/>
      <c r="I57" s="204"/>
      <c r="J57" s="204"/>
      <c r="K57" s="204"/>
      <c r="L57" s="204"/>
      <c r="M57" s="204"/>
      <c r="N57" s="200"/>
      <c r="O57" s="200"/>
      <c r="P57" s="200"/>
      <c r="Q57" s="200"/>
      <c r="R57" s="200"/>
      <c r="S57" s="200"/>
    </row>
    <row r="58" spans="1:19" x14ac:dyDescent="0.25">
      <c r="A58" s="197"/>
      <c r="B58" s="197"/>
      <c r="C58" s="197"/>
      <c r="D58" s="199"/>
      <c r="E58" s="109"/>
      <c r="F58" s="204"/>
      <c r="G58" s="204"/>
      <c r="H58" s="204"/>
      <c r="I58" s="204"/>
      <c r="J58" s="204"/>
      <c r="K58" s="204"/>
      <c r="L58" s="204"/>
      <c r="M58" s="204"/>
      <c r="N58" s="200"/>
      <c r="O58" s="200"/>
      <c r="P58" s="200"/>
      <c r="Q58" s="200"/>
      <c r="R58" s="200"/>
      <c r="S58" s="200"/>
    </row>
    <row r="59" spans="1:19" x14ac:dyDescent="0.25">
      <c r="A59" s="197"/>
      <c r="B59" s="197"/>
      <c r="C59" s="197"/>
      <c r="D59" s="199"/>
      <c r="E59" s="109"/>
      <c r="F59" s="204"/>
      <c r="G59" s="204"/>
      <c r="H59" s="204"/>
      <c r="I59" s="204"/>
      <c r="J59" s="204"/>
      <c r="K59" s="204"/>
      <c r="L59" s="204"/>
      <c r="M59" s="204"/>
      <c r="N59" s="200"/>
      <c r="O59" s="200"/>
      <c r="P59" s="200"/>
      <c r="Q59" s="200"/>
      <c r="R59" s="200"/>
      <c r="S59" s="200"/>
    </row>
    <row r="60" spans="1:19" x14ac:dyDescent="0.25">
      <c r="A60" s="197"/>
      <c r="B60" s="197"/>
      <c r="C60" s="197"/>
      <c r="D60" s="199"/>
      <c r="E60" s="109"/>
      <c r="F60" s="204"/>
      <c r="G60" s="204"/>
      <c r="H60" s="204"/>
      <c r="I60" s="204"/>
      <c r="J60" s="204"/>
      <c r="K60" s="204"/>
      <c r="L60" s="204"/>
      <c r="M60" s="204"/>
      <c r="N60" s="200"/>
      <c r="O60" s="200"/>
      <c r="P60" s="200"/>
      <c r="Q60" s="200"/>
      <c r="R60" s="200"/>
      <c r="S60" s="200"/>
    </row>
    <row r="61" spans="1:19" x14ac:dyDescent="0.25">
      <c r="A61" s="197"/>
      <c r="B61" s="197"/>
      <c r="C61" s="197"/>
      <c r="D61" s="199"/>
      <c r="E61" s="109"/>
      <c r="F61" s="204"/>
      <c r="G61" s="204"/>
      <c r="H61" s="204"/>
      <c r="I61" s="204"/>
      <c r="J61" s="204"/>
      <c r="K61" s="204"/>
      <c r="L61" s="204"/>
      <c r="M61" s="204"/>
      <c r="N61" s="200"/>
      <c r="O61" s="200"/>
      <c r="P61" s="200"/>
      <c r="Q61" s="200"/>
      <c r="R61" s="200"/>
      <c r="S61" s="200"/>
    </row>
    <row r="62" spans="1:19" x14ac:dyDescent="0.25">
      <c r="A62" s="197"/>
      <c r="B62" s="197"/>
      <c r="C62" s="197"/>
      <c r="D62" s="199"/>
      <c r="E62" s="109"/>
      <c r="F62" s="204"/>
      <c r="G62" s="204"/>
      <c r="H62" s="204"/>
      <c r="I62" s="204"/>
      <c r="J62" s="204"/>
      <c r="K62" s="204"/>
      <c r="L62" s="204"/>
      <c r="M62" s="204"/>
      <c r="N62" s="200"/>
      <c r="O62" s="200"/>
      <c r="P62" s="200"/>
      <c r="Q62" s="200"/>
      <c r="R62" s="200"/>
      <c r="S62" s="200"/>
    </row>
    <row r="63" spans="1:19" x14ac:dyDescent="0.25">
      <c r="A63" s="197"/>
      <c r="B63" s="197"/>
      <c r="C63" s="197"/>
      <c r="D63" s="199"/>
      <c r="E63" s="109"/>
      <c r="F63" s="204"/>
      <c r="G63" s="204"/>
      <c r="H63" s="204"/>
      <c r="I63" s="204"/>
      <c r="J63" s="204"/>
      <c r="K63" s="204"/>
      <c r="L63" s="204"/>
      <c r="M63" s="204"/>
      <c r="N63" s="200"/>
      <c r="O63" s="200"/>
      <c r="P63" s="200"/>
      <c r="Q63" s="200"/>
      <c r="R63" s="200"/>
      <c r="S63" s="200"/>
    </row>
    <row r="64" spans="1:19" x14ac:dyDescent="0.25">
      <c r="A64" s="197"/>
      <c r="B64" s="197"/>
      <c r="C64" s="197"/>
      <c r="D64" s="199"/>
      <c r="E64" s="109"/>
      <c r="F64" s="204"/>
      <c r="G64" s="204"/>
      <c r="H64" s="204"/>
      <c r="I64" s="204"/>
      <c r="J64" s="204"/>
      <c r="K64" s="204"/>
      <c r="L64" s="204"/>
      <c r="M64" s="204"/>
      <c r="N64" s="200"/>
      <c r="O64" s="200"/>
      <c r="P64" s="200"/>
      <c r="Q64" s="200"/>
      <c r="R64" s="200"/>
      <c r="S64" s="200"/>
    </row>
    <row r="65" spans="1:19" x14ac:dyDescent="0.25">
      <c r="A65" s="197"/>
      <c r="B65" s="197"/>
      <c r="C65" s="197"/>
      <c r="D65" s="199"/>
      <c r="E65" s="109"/>
      <c r="F65" s="204"/>
      <c r="G65" s="204"/>
      <c r="H65" s="204"/>
      <c r="I65" s="204"/>
      <c r="J65" s="204"/>
      <c r="K65" s="204"/>
      <c r="L65" s="204"/>
      <c r="M65" s="204"/>
      <c r="N65" s="200"/>
      <c r="O65" s="200"/>
      <c r="P65" s="200"/>
      <c r="Q65" s="200"/>
      <c r="R65" s="200"/>
      <c r="S65" s="200"/>
    </row>
    <row r="66" spans="1:19" x14ac:dyDescent="0.25">
      <c r="A66" s="197"/>
      <c r="B66" s="197"/>
      <c r="C66" s="197"/>
      <c r="D66" s="199"/>
      <c r="E66" s="109"/>
      <c r="F66" s="204"/>
      <c r="G66" s="204"/>
      <c r="H66" s="204"/>
      <c r="I66" s="204"/>
      <c r="J66" s="204"/>
      <c r="K66" s="204"/>
      <c r="L66" s="204"/>
      <c r="M66" s="204"/>
      <c r="N66" s="200"/>
      <c r="O66" s="200"/>
      <c r="P66" s="200"/>
      <c r="Q66" s="200"/>
      <c r="R66" s="200"/>
      <c r="S66" s="200"/>
    </row>
    <row r="67" spans="1:19" x14ac:dyDescent="0.25">
      <c r="A67" s="197"/>
      <c r="B67" s="197"/>
      <c r="C67" s="197"/>
      <c r="D67" s="199"/>
      <c r="E67" s="109"/>
      <c r="F67" s="204"/>
      <c r="G67" s="204"/>
      <c r="H67" s="204"/>
      <c r="I67" s="204"/>
      <c r="J67" s="204"/>
      <c r="K67" s="204"/>
      <c r="L67" s="204"/>
      <c r="M67" s="204"/>
      <c r="N67" s="200"/>
      <c r="O67" s="200"/>
      <c r="P67" s="200"/>
      <c r="Q67" s="200"/>
      <c r="R67" s="200"/>
      <c r="S67" s="200"/>
    </row>
    <row r="68" spans="1:19" x14ac:dyDescent="0.25">
      <c r="A68" s="197"/>
      <c r="B68" s="197"/>
      <c r="C68" s="197"/>
      <c r="D68" s="199"/>
      <c r="E68" s="109"/>
      <c r="F68" s="204"/>
      <c r="G68" s="204"/>
      <c r="H68" s="204"/>
      <c r="I68" s="204"/>
      <c r="J68" s="204"/>
      <c r="K68" s="204"/>
      <c r="L68" s="204"/>
      <c r="M68" s="204"/>
      <c r="N68" s="200"/>
      <c r="O68" s="200"/>
      <c r="P68" s="200"/>
      <c r="Q68" s="200"/>
      <c r="R68" s="200"/>
      <c r="S68" s="200"/>
    </row>
    <row r="69" spans="1:19" x14ac:dyDescent="0.25">
      <c r="A69" s="197"/>
      <c r="B69" s="197"/>
      <c r="C69" s="197"/>
      <c r="D69" s="199"/>
      <c r="E69" s="109"/>
      <c r="F69" s="204"/>
      <c r="G69" s="204"/>
      <c r="H69" s="204"/>
      <c r="I69" s="204"/>
      <c r="J69" s="204"/>
      <c r="K69" s="204"/>
      <c r="L69" s="204"/>
      <c r="M69" s="204"/>
      <c r="N69" s="200"/>
      <c r="O69" s="200"/>
      <c r="P69" s="200"/>
      <c r="Q69" s="200"/>
      <c r="R69" s="200"/>
      <c r="S69" s="200"/>
    </row>
    <row r="70" spans="1:19" x14ac:dyDescent="0.25">
      <c r="A70" s="197"/>
      <c r="B70" s="197"/>
      <c r="C70" s="197"/>
      <c r="D70" s="199"/>
      <c r="E70" s="109"/>
      <c r="F70" s="204"/>
      <c r="G70" s="204"/>
      <c r="H70" s="204"/>
      <c r="I70" s="204"/>
      <c r="J70" s="204"/>
      <c r="K70" s="204"/>
      <c r="L70" s="204"/>
      <c r="M70" s="204"/>
      <c r="N70" s="200"/>
      <c r="O70" s="200"/>
      <c r="P70" s="200"/>
      <c r="Q70" s="200"/>
      <c r="R70" s="200"/>
      <c r="S70" s="200"/>
    </row>
    <row r="71" spans="1:19" x14ac:dyDescent="0.25">
      <c r="A71" s="197"/>
      <c r="B71" s="197"/>
      <c r="C71" s="197"/>
      <c r="D71" s="199"/>
      <c r="E71" s="109"/>
      <c r="F71" s="204"/>
      <c r="G71" s="204"/>
      <c r="H71" s="204"/>
      <c r="I71" s="204"/>
      <c r="J71" s="204"/>
      <c r="K71" s="204"/>
      <c r="L71" s="204"/>
      <c r="M71" s="204"/>
      <c r="N71" s="200"/>
    </row>
    <row r="72" spans="1:19" x14ac:dyDescent="0.25">
      <c r="A72" s="197"/>
      <c r="B72" s="197"/>
      <c r="C72" s="197"/>
      <c r="D72" s="199"/>
      <c r="E72" s="109"/>
      <c r="F72" s="204"/>
      <c r="G72" s="204"/>
      <c r="H72" s="204"/>
      <c r="I72" s="204"/>
      <c r="J72" s="204"/>
      <c r="K72" s="204"/>
      <c r="L72" s="204"/>
      <c r="M72" s="204"/>
      <c r="N72" s="200"/>
    </row>
    <row r="73" spans="1:19" x14ac:dyDescent="0.25">
      <c r="A73" s="197"/>
      <c r="B73" s="197"/>
      <c r="C73" s="197"/>
      <c r="D73" s="199"/>
      <c r="E73" s="109"/>
      <c r="F73" s="204"/>
      <c r="G73" s="204"/>
      <c r="H73" s="204"/>
      <c r="I73" s="204"/>
      <c r="J73" s="204"/>
      <c r="K73" s="204"/>
      <c r="L73" s="204"/>
      <c r="M73" s="204"/>
      <c r="N73" s="200"/>
    </row>
    <row r="74" spans="1:19" x14ac:dyDescent="0.25">
      <c r="A74" s="197"/>
      <c r="B74" s="197"/>
      <c r="C74" s="197"/>
      <c r="D74" s="199"/>
      <c r="E74" s="109"/>
      <c r="F74" s="204"/>
      <c r="G74" s="204"/>
      <c r="H74" s="204"/>
      <c r="I74" s="204"/>
      <c r="J74" s="204"/>
      <c r="K74" s="204"/>
      <c r="L74" s="204"/>
      <c r="M74" s="204"/>
      <c r="N74" s="200"/>
    </row>
    <row r="75" spans="1:19" x14ac:dyDescent="0.25">
      <c r="A75" s="197"/>
      <c r="B75" s="197"/>
      <c r="C75" s="197"/>
      <c r="D75" s="199"/>
      <c r="E75" s="109"/>
      <c r="F75" s="204"/>
      <c r="G75" s="204"/>
      <c r="H75" s="204"/>
      <c r="I75" s="204"/>
      <c r="J75" s="204"/>
      <c r="K75" s="204"/>
      <c r="L75" s="204"/>
      <c r="M75" s="204"/>
      <c r="N75" s="200"/>
    </row>
    <row r="76" spans="1:19" x14ac:dyDescent="0.25">
      <c r="A76" s="197"/>
      <c r="B76" s="197"/>
      <c r="C76" s="197"/>
      <c r="D76" s="199"/>
      <c r="E76" s="109"/>
      <c r="F76" s="204"/>
      <c r="G76" s="204"/>
      <c r="H76" s="204"/>
      <c r="I76" s="204"/>
      <c r="J76" s="204"/>
      <c r="K76" s="204"/>
      <c r="L76" s="204"/>
      <c r="M76" s="204"/>
      <c r="N76" s="200"/>
    </row>
    <row r="77" spans="1:19" x14ac:dyDescent="0.25">
      <c r="A77" s="197"/>
      <c r="B77" s="197"/>
      <c r="C77" s="197"/>
      <c r="D77" s="199"/>
      <c r="E77" s="109"/>
      <c r="F77" s="204"/>
      <c r="G77" s="204"/>
      <c r="H77" s="204"/>
      <c r="I77" s="204"/>
      <c r="J77" s="204"/>
      <c r="K77" s="204"/>
      <c r="L77" s="204"/>
      <c r="M77" s="204"/>
      <c r="N77" s="200"/>
    </row>
    <row r="78" spans="1:19" x14ac:dyDescent="0.25">
      <c r="A78" s="197"/>
      <c r="B78" s="197"/>
      <c r="C78" s="197"/>
      <c r="D78" s="199"/>
      <c r="E78" s="109"/>
      <c r="F78" s="204"/>
      <c r="G78" s="204"/>
      <c r="H78" s="204"/>
      <c r="I78" s="204"/>
      <c r="J78" s="204"/>
      <c r="K78" s="204"/>
      <c r="L78" s="204"/>
      <c r="M78" s="204"/>
      <c r="N78" s="200"/>
    </row>
    <row r="79" spans="1:19" x14ac:dyDescent="0.25">
      <c r="A79" s="197"/>
      <c r="B79" s="197"/>
      <c r="C79" s="197"/>
      <c r="D79" s="199"/>
      <c r="E79" s="109"/>
      <c r="F79" s="204"/>
      <c r="G79" s="204"/>
      <c r="H79" s="204"/>
      <c r="I79" s="204"/>
      <c r="J79" s="204"/>
      <c r="K79" s="204"/>
      <c r="L79" s="204"/>
      <c r="M79" s="204"/>
      <c r="N79" s="200"/>
    </row>
    <row r="80" spans="1:19" x14ac:dyDescent="0.25">
      <c r="A80" s="197"/>
      <c r="B80" s="197"/>
      <c r="C80" s="197"/>
      <c r="D80" s="199"/>
      <c r="E80" s="109"/>
      <c r="F80" s="204"/>
      <c r="G80" s="204"/>
      <c r="H80" s="204"/>
      <c r="I80" s="204"/>
      <c r="J80" s="204"/>
      <c r="K80" s="204"/>
      <c r="L80" s="204"/>
      <c r="M80" s="204"/>
      <c r="N80" s="200"/>
    </row>
    <row r="81" spans="1:14" x14ac:dyDescent="0.25">
      <c r="A81" s="197"/>
      <c r="B81" s="197"/>
      <c r="C81" s="197"/>
      <c r="D81" s="199"/>
      <c r="E81" s="109"/>
      <c r="F81" s="204"/>
      <c r="G81" s="204"/>
      <c r="H81" s="204"/>
      <c r="I81" s="204"/>
      <c r="J81" s="204"/>
      <c r="K81" s="204"/>
      <c r="L81" s="204"/>
      <c r="M81" s="204"/>
      <c r="N81" s="200"/>
    </row>
    <row r="82" spans="1:14" x14ac:dyDescent="0.25">
      <c r="A82" s="197"/>
      <c r="B82" s="197"/>
      <c r="C82" s="197"/>
      <c r="D82" s="199"/>
      <c r="E82" s="109"/>
      <c r="F82" s="204"/>
      <c r="G82" s="204"/>
      <c r="H82" s="204"/>
      <c r="I82" s="204"/>
      <c r="J82" s="204"/>
      <c r="K82" s="204"/>
      <c r="L82" s="204"/>
      <c r="M82" s="204"/>
      <c r="N82" s="200"/>
    </row>
    <row r="83" spans="1:14" x14ac:dyDescent="0.25">
      <c r="F83" s="204"/>
      <c r="G83" s="204"/>
      <c r="H83" s="204"/>
      <c r="I83" s="204"/>
      <c r="J83" s="204"/>
      <c r="K83" s="204"/>
      <c r="L83" s="204"/>
      <c r="M83" s="204"/>
      <c r="N83" s="200"/>
    </row>
  </sheetData>
  <autoFilter ref="A22:E82"/>
  <mergeCells count="13">
    <mergeCell ref="O9:S9"/>
    <mergeCell ref="O10:P10"/>
    <mergeCell ref="R10:S10"/>
    <mergeCell ref="A15:E15"/>
    <mergeCell ref="H15:L15"/>
    <mergeCell ref="A21:E21"/>
    <mergeCell ref="H21:L21"/>
    <mergeCell ref="A2:E2"/>
    <mergeCell ref="H2:L2"/>
    <mergeCell ref="A3:E3"/>
    <mergeCell ref="A8:L8"/>
    <mergeCell ref="A9:E9"/>
    <mergeCell ref="H9:L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6" customWidth="1"/>
    <col min="2" max="2" width="18.42578125" style="66"/>
    <col min="3" max="3" width="25.28515625" style="73" customWidth="1"/>
    <col min="4" max="4" width="34.7109375" style="66" customWidth="1"/>
    <col min="5" max="5" width="50.42578125" style="66" customWidth="1"/>
    <col min="6" max="16384" width="18.42578125" style="66"/>
  </cols>
  <sheetData>
    <row r="1" spans="1:5" x14ac:dyDescent="0.25">
      <c r="A1" s="63">
        <v>43922</v>
      </c>
      <c r="B1" s="64"/>
      <c r="C1" s="65"/>
      <c r="D1" s="64"/>
    </row>
    <row r="2" spans="1:5" s="85" customFormat="1" ht="12.75" x14ac:dyDescent="0.2">
      <c r="A2" s="89" t="s">
        <v>21</v>
      </c>
      <c r="B2" s="90" t="s">
        <v>24</v>
      </c>
      <c r="C2" s="91" t="s">
        <v>20</v>
      </c>
      <c r="D2" s="90" t="s">
        <v>20</v>
      </c>
      <c r="E2" s="85" t="s">
        <v>97</v>
      </c>
    </row>
    <row r="3" spans="1:5" s="85" customFormat="1" ht="12.75" x14ac:dyDescent="0.2">
      <c r="A3" s="107" t="s">
        <v>119</v>
      </c>
      <c r="B3" s="105" t="s">
        <v>98</v>
      </c>
      <c r="C3" s="106" t="s">
        <v>99</v>
      </c>
      <c r="D3" s="105" t="str">
        <f>A51</f>
        <v>Отказ в установлении</v>
      </c>
    </row>
    <row r="4" spans="1:5" s="85" customFormat="1" ht="12.75" x14ac:dyDescent="0.2">
      <c r="A4" s="92" t="s">
        <v>105</v>
      </c>
      <c r="B4" s="93">
        <v>43949</v>
      </c>
      <c r="C4" s="91" t="s">
        <v>120</v>
      </c>
      <c r="D4" s="90" t="str">
        <f>A50</f>
        <v>Установление/Увеличение лимита</v>
      </c>
    </row>
    <row r="5" spans="1:5" s="85" customFormat="1" ht="12.75" x14ac:dyDescent="0.2">
      <c r="A5" s="92" t="s">
        <v>117</v>
      </c>
      <c r="B5" s="90" t="s">
        <v>98</v>
      </c>
      <c r="C5" s="91" t="s">
        <v>121</v>
      </c>
      <c r="D5" s="90" t="str">
        <f>A49</f>
        <v>Закрытие / Приостановление</v>
      </c>
    </row>
    <row r="6" spans="1:5" s="85" customFormat="1" ht="12.75" x14ac:dyDescent="0.2">
      <c r="A6" s="92" t="s">
        <v>118</v>
      </c>
      <c r="B6" s="90" t="s">
        <v>98</v>
      </c>
      <c r="C6" s="91" t="s">
        <v>121</v>
      </c>
      <c r="D6" s="90" t="str">
        <f>A49</f>
        <v>Закрытие / Приостановление</v>
      </c>
    </row>
    <row r="7" spans="1:5" s="85" customFormat="1" ht="12.75" x14ac:dyDescent="0.2">
      <c r="A7" s="104" t="s">
        <v>101</v>
      </c>
      <c r="B7" s="105" t="s">
        <v>98</v>
      </c>
      <c r="C7" s="106"/>
      <c r="D7" s="105" t="str">
        <f>A52</f>
        <v>Аналитическая справка</v>
      </c>
    </row>
    <row r="8" spans="1:5" s="85" customFormat="1" ht="12.75" x14ac:dyDescent="0.2">
      <c r="A8" s="104" t="s">
        <v>104</v>
      </c>
      <c r="B8" s="105" t="s">
        <v>98</v>
      </c>
      <c r="C8" s="106"/>
      <c r="D8" s="105" t="str">
        <f>A52</f>
        <v>Аналитическая справка</v>
      </c>
    </row>
    <row r="9" spans="1:5" s="85" customFormat="1" ht="12.75" x14ac:dyDescent="0.2">
      <c r="A9" s="104" t="s">
        <v>122</v>
      </c>
      <c r="B9" s="105" t="s">
        <v>98</v>
      </c>
      <c r="C9" s="106"/>
      <c r="D9" s="105" t="str">
        <f>A52</f>
        <v>Аналитическая справка</v>
      </c>
    </row>
    <row r="10" spans="1:5" s="85" customFormat="1" ht="12.75" x14ac:dyDescent="0.2">
      <c r="A10" s="107" t="s">
        <v>100</v>
      </c>
      <c r="B10" s="105" t="s">
        <v>98</v>
      </c>
      <c r="C10" s="106"/>
      <c r="D10" s="105" t="str">
        <f>A52</f>
        <v>Аналитическая справка</v>
      </c>
    </row>
    <row r="11" spans="1:5" s="85" customFormat="1" ht="12.75" x14ac:dyDescent="0.2">
      <c r="A11" s="107" t="s">
        <v>123</v>
      </c>
      <c r="B11" s="105" t="s">
        <v>98</v>
      </c>
      <c r="C11" s="106"/>
      <c r="D11" s="105" t="str">
        <f>A52</f>
        <v>Аналитическая справка</v>
      </c>
    </row>
    <row r="12" spans="1:5" s="85" customFormat="1" ht="12.75" x14ac:dyDescent="0.2">
      <c r="A12" s="104" t="s">
        <v>124</v>
      </c>
      <c r="B12" s="105" t="s">
        <v>98</v>
      </c>
      <c r="C12" s="106"/>
      <c r="D12" s="105" t="str">
        <f>A52</f>
        <v>Аналитическая справка</v>
      </c>
    </row>
    <row r="13" spans="1:5" s="85" customFormat="1" ht="12.75" x14ac:dyDescent="0.2">
      <c r="A13" s="104" t="s">
        <v>105</v>
      </c>
      <c r="B13" s="105" t="s">
        <v>98</v>
      </c>
      <c r="C13" s="106"/>
      <c r="D13" s="105" t="str">
        <f>A52</f>
        <v>Аналитическая справка</v>
      </c>
    </row>
    <row r="14" spans="1:5" s="85" customFormat="1" ht="12.75" x14ac:dyDescent="0.2">
      <c r="A14" s="104" t="s">
        <v>125</v>
      </c>
      <c r="B14" s="105" t="s">
        <v>98</v>
      </c>
      <c r="C14" s="106"/>
      <c r="D14" s="105" t="str">
        <f>A52</f>
        <v>Аналитическая справка</v>
      </c>
    </row>
    <row r="15" spans="1:5" s="85" customFormat="1" ht="12.75" x14ac:dyDescent="0.2">
      <c r="A15" s="104" t="s">
        <v>126</v>
      </c>
      <c r="B15" s="105" t="s">
        <v>98</v>
      </c>
      <c r="C15" s="106"/>
      <c r="D15" s="105" t="str">
        <f>A52</f>
        <v>Аналитическая справка</v>
      </c>
    </row>
    <row r="16" spans="1:5" s="85" customFormat="1" ht="12.75" hidden="1" x14ac:dyDescent="0.2">
      <c r="A16" s="86"/>
      <c r="B16" s="83"/>
      <c r="C16" s="84"/>
      <c r="D16" s="83"/>
    </row>
    <row r="17" spans="1:5" s="85" customFormat="1" ht="12.75" hidden="1" x14ac:dyDescent="0.2">
      <c r="A17" s="86"/>
      <c r="B17" s="83"/>
      <c r="C17" s="84"/>
      <c r="D17" s="83"/>
    </row>
    <row r="18" spans="1:5" s="85" customFormat="1" ht="12.75" hidden="1" x14ac:dyDescent="0.2">
      <c r="A18" s="86"/>
      <c r="B18" s="83"/>
      <c r="C18" s="84"/>
      <c r="D18" s="86"/>
    </row>
    <row r="19" spans="1:5" s="85" customFormat="1" ht="12.75" hidden="1" x14ac:dyDescent="0.2">
      <c r="A19" s="86"/>
      <c r="B19" s="83"/>
      <c r="C19" s="84"/>
      <c r="D19" s="86"/>
    </row>
    <row r="20" spans="1:5" s="85" customFormat="1" ht="12.75" hidden="1" x14ac:dyDescent="0.2">
      <c r="A20" s="86"/>
      <c r="B20" s="83"/>
      <c r="C20" s="84"/>
      <c r="D20" s="86"/>
    </row>
    <row r="21" spans="1:5" s="85" customFormat="1" ht="12.75" hidden="1" x14ac:dyDescent="0.2">
      <c r="A21" s="86"/>
      <c r="B21" s="83"/>
      <c r="C21" s="84"/>
      <c r="D21" s="86"/>
    </row>
    <row r="22" spans="1:5" s="85" customFormat="1" ht="12.75" hidden="1" x14ac:dyDescent="0.2">
      <c r="A22" s="86"/>
      <c r="B22" s="83"/>
      <c r="C22" s="84"/>
      <c r="D22" s="86"/>
    </row>
    <row r="23" spans="1:5" s="85" customFormat="1" ht="12.75" hidden="1" x14ac:dyDescent="0.2">
      <c r="A23" s="86"/>
      <c r="B23" s="83"/>
      <c r="C23" s="84"/>
      <c r="D23" s="86"/>
    </row>
    <row r="24" spans="1:5" s="85" customFormat="1" ht="12.75" x14ac:dyDescent="0.2">
      <c r="A24" s="86"/>
      <c r="B24" s="83"/>
      <c r="C24" s="84"/>
      <c r="D24" s="86"/>
    </row>
    <row r="25" spans="1:5" x14ac:dyDescent="0.25">
      <c r="A25" s="70"/>
      <c r="B25" s="71"/>
      <c r="C25" s="72"/>
      <c r="D25" s="70"/>
    </row>
    <row r="26" spans="1:5" x14ac:dyDescent="0.25">
      <c r="A26" s="89" t="s">
        <v>34</v>
      </c>
      <c r="B26" s="100" t="s">
        <v>24</v>
      </c>
      <c r="C26" s="101" t="s">
        <v>20</v>
      </c>
      <c r="D26" s="100" t="s">
        <v>20</v>
      </c>
    </row>
    <row r="27" spans="1:5" x14ac:dyDescent="0.25">
      <c r="A27" s="89"/>
      <c r="B27" s="100"/>
      <c r="C27" s="101"/>
      <c r="D27" s="100"/>
    </row>
    <row r="28" spans="1:5" hidden="1" x14ac:dyDescent="0.25">
      <c r="A28" s="67"/>
      <c r="B28" s="68"/>
      <c r="C28" s="69"/>
      <c r="D28" s="68"/>
    </row>
    <row r="29" spans="1:5" ht="30" hidden="1" x14ac:dyDescent="0.25">
      <c r="A29" s="67"/>
      <c r="B29" s="68"/>
      <c r="C29" s="69"/>
      <c r="D29" s="68"/>
      <c r="E29" s="73" t="s">
        <v>41</v>
      </c>
    </row>
    <row r="30" spans="1:5" hidden="1" x14ac:dyDescent="0.25">
      <c r="A30" s="67"/>
      <c r="B30" s="68"/>
      <c r="C30" s="69"/>
      <c r="D30" s="68"/>
    </row>
    <row r="31" spans="1:5" hidden="1" x14ac:dyDescent="0.25">
      <c r="A31" s="67"/>
      <c r="B31" s="68"/>
      <c r="C31" s="69"/>
      <c r="D31" s="68"/>
    </row>
    <row r="32" spans="1:5" hidden="1" x14ac:dyDescent="0.25">
      <c r="A32" s="67"/>
      <c r="B32" s="68"/>
      <c r="C32" s="69"/>
      <c r="D32" s="68"/>
    </row>
    <row r="33" spans="1:5" hidden="1" x14ac:dyDescent="0.25">
      <c r="A33" s="68"/>
      <c r="B33" s="74"/>
      <c r="C33" s="69"/>
      <c r="D33" s="68"/>
    </row>
    <row r="34" spans="1:5" hidden="1" x14ac:dyDescent="0.25">
      <c r="A34" s="68"/>
      <c r="B34" s="74"/>
      <c r="C34" s="69"/>
      <c r="D34" s="68"/>
    </row>
    <row r="35" spans="1:5" hidden="1" x14ac:dyDescent="0.25">
      <c r="A35" s="68"/>
      <c r="B35" s="74"/>
      <c r="C35" s="69"/>
      <c r="D35" s="68"/>
    </row>
    <row r="36" spans="1:5" hidden="1" x14ac:dyDescent="0.25">
      <c r="A36" s="68"/>
      <c r="B36" s="74"/>
      <c r="C36" s="69"/>
      <c r="D36" s="68"/>
    </row>
    <row r="37" spans="1:5" hidden="1" x14ac:dyDescent="0.25">
      <c r="A37" s="68"/>
      <c r="B37" s="74"/>
      <c r="C37" s="69"/>
      <c r="D37" s="68"/>
    </row>
    <row r="38" spans="1:5" hidden="1" x14ac:dyDescent="0.25">
      <c r="A38" s="68"/>
      <c r="B38" s="74"/>
      <c r="C38" s="69"/>
      <c r="D38" s="68"/>
    </row>
    <row r="39" spans="1:5" hidden="1" x14ac:dyDescent="0.25">
      <c r="A39" s="68"/>
      <c r="B39" s="74"/>
      <c r="C39" s="69"/>
      <c r="D39" s="68"/>
    </row>
    <row r="40" spans="1:5" hidden="1" x14ac:dyDescent="0.25">
      <c r="A40" s="68"/>
      <c r="B40" s="74"/>
      <c r="C40" s="69"/>
      <c r="D40" s="68"/>
    </row>
    <row r="41" spans="1:5" hidden="1" x14ac:dyDescent="0.25">
      <c r="A41" s="75"/>
      <c r="B41" s="76"/>
      <c r="C41" s="77"/>
      <c r="D41" s="75"/>
    </row>
    <row r="42" spans="1:5" hidden="1" x14ac:dyDescent="0.25">
      <c r="A42" s="75"/>
      <c r="B42" s="76"/>
      <c r="C42" s="77"/>
      <c r="D42" s="75"/>
    </row>
    <row r="43" spans="1:5" hidden="1" x14ac:dyDescent="0.25"/>
    <row r="46" spans="1:5" s="94" customFormat="1" x14ac:dyDescent="0.25">
      <c r="A46" s="10"/>
      <c r="B46" s="10" t="s">
        <v>21</v>
      </c>
      <c r="C46" s="10" t="s">
        <v>22</v>
      </c>
      <c r="D46" s="10" t="s">
        <v>28</v>
      </c>
      <c r="E46" s="10" t="s">
        <v>35</v>
      </c>
    </row>
    <row r="47" spans="1:5" s="94" customFormat="1" hidden="1" x14ac:dyDescent="0.25">
      <c r="A47" s="95" t="s">
        <v>25</v>
      </c>
      <c r="B47" s="95">
        <f>SUM(B48:B53)</f>
        <v>13</v>
      </c>
      <c r="C47" s="95">
        <f>SUM(C48:C51)</f>
        <v>0</v>
      </c>
      <c r="D47" s="95">
        <f>SUM(D48:D51)</f>
        <v>4</v>
      </c>
      <c r="E47" s="96"/>
    </row>
    <row r="48" spans="1:5" s="99" customFormat="1" x14ac:dyDescent="0.25">
      <c r="A48" s="97" t="s">
        <v>23</v>
      </c>
      <c r="B48" s="97"/>
      <c r="C48" s="97"/>
      <c r="D48" s="97">
        <f>B48+C48</f>
        <v>0</v>
      </c>
      <c r="E48" s="98" t="s">
        <v>131</v>
      </c>
    </row>
    <row r="49" spans="1:5" s="73" customFormat="1" ht="30" x14ac:dyDescent="0.25">
      <c r="A49" s="97" t="s">
        <v>26</v>
      </c>
      <c r="B49" s="97">
        <v>2</v>
      </c>
      <c r="C49" s="78"/>
      <c r="D49" s="97">
        <f>B49+C49</f>
        <v>2</v>
      </c>
      <c r="E49" s="102" t="s">
        <v>129</v>
      </c>
    </row>
    <row r="50" spans="1:5" s="73" customFormat="1" ht="30" x14ac:dyDescent="0.25">
      <c r="A50" s="97" t="s">
        <v>27</v>
      </c>
      <c r="B50" s="97">
        <v>1</v>
      </c>
      <c r="C50" s="78"/>
      <c r="D50" s="97">
        <f t="shared" ref="D50:D53" si="0">B50+C50</f>
        <v>1</v>
      </c>
      <c r="E50" s="103" t="s">
        <v>127</v>
      </c>
    </row>
    <row r="51" spans="1:5" s="99" customFormat="1" ht="30" x14ac:dyDescent="0.25">
      <c r="A51" s="97" t="s">
        <v>32</v>
      </c>
      <c r="B51" s="97">
        <v>1</v>
      </c>
      <c r="C51" s="97"/>
      <c r="D51" s="97">
        <f t="shared" si="0"/>
        <v>1</v>
      </c>
      <c r="E51" s="97" t="s">
        <v>128</v>
      </c>
    </row>
    <row r="52" spans="1:5" s="99" customFormat="1" ht="30" x14ac:dyDescent="0.25">
      <c r="A52" s="97" t="s">
        <v>33</v>
      </c>
      <c r="B52" s="97">
        <v>9</v>
      </c>
      <c r="C52" s="97"/>
      <c r="D52" s="97">
        <f t="shared" si="0"/>
        <v>9</v>
      </c>
      <c r="E52" s="97" t="s">
        <v>130</v>
      </c>
    </row>
    <row r="53" spans="1:5" s="73" customFormat="1" x14ac:dyDescent="0.25">
      <c r="A53" s="97" t="s">
        <v>31</v>
      </c>
      <c r="B53" s="78"/>
      <c r="C53" s="78"/>
      <c r="D53" s="97">
        <f t="shared" si="0"/>
        <v>0</v>
      </c>
      <c r="E53" s="78"/>
    </row>
    <row r="56" spans="1:5" x14ac:dyDescent="0.25">
      <c r="A56" s="66">
        <f>B50+C50</f>
        <v>1</v>
      </c>
    </row>
    <row r="58" spans="1:5" x14ac:dyDescent="0.25">
      <c r="A58" s="66">
        <f>B48+B50+C50+B51+C384+B49</f>
        <v>4</v>
      </c>
    </row>
    <row r="66" spans="1:1" x14ac:dyDescent="0.25">
      <c r="A66" s="66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1</vt:lpstr>
      <vt:lpstr>портефль до погашения</vt:lpstr>
      <vt:lpstr>страт портфель</vt:lpstr>
      <vt:lpstr>РейтPD FRED Graph</vt:lpstr>
      <vt:lpstr>Инвест политика</vt:lpstr>
      <vt:lpstr>Справочник отрасли</vt:lpstr>
      <vt:lpstr>Эшелоны результат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2024-04-18T10:06:35Z</dcterms:modified>
</cp:coreProperties>
</file>
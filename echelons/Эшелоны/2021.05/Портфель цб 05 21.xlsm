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66" activeTab="6"/>
  </bookViews>
  <sheets>
    <sheet name="1" sheetId="16" r:id="rId1"/>
    <sheet name="портефль до погашения" sheetId="19" r:id="rId2"/>
    <sheet name="страт портфель" sheetId="31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Синдикаты" sheetId="29" r:id="rId8"/>
    <sheet name="для стресс-теста" sheetId="30" r:id="rId9"/>
    <sheet name="Для КУАП" sheetId="18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umProb">OFFSET([1]BetaSolver!$R$4,0,0,COUNTA([1]BetaSolver!$R$5:$R$1000),1)</definedName>
    <definedName name="_xlnm._FilterDatabase" localSheetId="9" hidden="1">'Для КУАП'!$A$2:$E$24</definedName>
    <definedName name="_xlnm._FilterDatabase" localSheetId="8" hidden="1">'для стресс-теста'!$A$22:$E$82</definedName>
    <definedName name="_xlnm._FilterDatabase" localSheetId="4" hidden="1">'Инвест политика'!$A$25:$V$125</definedName>
    <definedName name="_xlnm._FilterDatabase" localSheetId="1" hidden="1">'портефль до погашения'!$A$7:$O$71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портфель'!$A$5:$N$20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8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8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8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8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8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8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8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1" l="1"/>
  <c r="L20" i="31"/>
  <c r="M20" i="31" s="1"/>
  <c r="I20" i="31"/>
  <c r="P20" i="31" s="1"/>
  <c r="L19" i="31"/>
  <c r="M19" i="31" s="1"/>
  <c r="I19" i="31"/>
  <c r="L18" i="31"/>
  <c r="M18" i="31" s="1"/>
  <c r="I18" i="31"/>
  <c r="P18" i="31" s="1"/>
  <c r="L17" i="31"/>
  <c r="M17" i="31" s="1"/>
  <c r="I17" i="31"/>
  <c r="P17" i="31" s="1"/>
  <c r="L16" i="31"/>
  <c r="M16" i="31" s="1"/>
  <c r="I16" i="31"/>
  <c r="P16" i="31" s="1"/>
  <c r="L15" i="31"/>
  <c r="M15" i="31" s="1"/>
  <c r="I15" i="31"/>
  <c r="P15" i="31" s="1"/>
  <c r="L14" i="31"/>
  <c r="M14" i="31" s="1"/>
  <c r="I14" i="31"/>
  <c r="P14" i="31" s="1"/>
  <c r="L13" i="31"/>
  <c r="M13" i="31" s="1"/>
  <c r="I13" i="31"/>
  <c r="P13" i="31" s="1"/>
  <c r="L12" i="31"/>
  <c r="M12" i="31" s="1"/>
  <c r="I12" i="31"/>
  <c r="P12" i="31" s="1"/>
  <c r="L11" i="31"/>
  <c r="M11" i="31" s="1"/>
  <c r="I11" i="31"/>
  <c r="P11" i="31" s="1"/>
  <c r="L10" i="31"/>
  <c r="M10" i="31" s="1"/>
  <c r="I10" i="31"/>
  <c r="P10" i="31" s="1"/>
  <c r="L9" i="31"/>
  <c r="M9" i="31" s="1"/>
  <c r="I9" i="31"/>
  <c r="P9" i="31" s="1"/>
  <c r="L8" i="31"/>
  <c r="M8" i="31" s="1"/>
  <c r="I8" i="31"/>
  <c r="P8" i="31" s="1"/>
  <c r="L7" i="31"/>
  <c r="M7" i="31" s="1"/>
  <c r="I7" i="31"/>
  <c r="P7" i="31" s="1"/>
  <c r="L6" i="31"/>
  <c r="M6" i="31" s="1"/>
  <c r="I6" i="31"/>
  <c r="P6" i="31" s="1"/>
  <c r="H4" i="31"/>
  <c r="G4" i="31"/>
  <c r="E4" i="31"/>
  <c r="N1" i="31"/>
  <c r="I2" i="31" l="1"/>
  <c r="N11" i="31"/>
  <c r="N17" i="31"/>
  <c r="N13" i="31"/>
  <c r="I4" i="31"/>
  <c r="N7" i="31"/>
  <c r="N10" i="31"/>
  <c r="N12" i="31"/>
  <c r="N14" i="31"/>
  <c r="N16" i="31"/>
  <c r="N18" i="31"/>
  <c r="N19" i="31"/>
  <c r="N20" i="31"/>
  <c r="N15" i="31"/>
  <c r="N9" i="31"/>
  <c r="N8" i="31"/>
  <c r="N6" i="31"/>
  <c r="M4" i="31"/>
  <c r="P19" i="31"/>
  <c r="D117" i="25"/>
  <c r="N2" i="31" l="1"/>
  <c r="O2" i="31" s="1"/>
  <c r="N4" i="31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26" i="25"/>
  <c r="J4" i="25"/>
  <c r="M29" i="25"/>
  <c r="M37" i="25"/>
  <c r="M38" i="25"/>
  <c r="M48" i="25"/>
  <c r="M49" i="25"/>
  <c r="M51" i="25"/>
  <c r="M55" i="25"/>
  <c r="M57" i="25"/>
  <c r="M58" i="25"/>
  <c r="M59" i="25"/>
  <c r="M61" i="25"/>
  <c r="M63" i="25"/>
  <c r="M66" i="25"/>
  <c r="M68" i="25"/>
  <c r="M72" i="25"/>
  <c r="M74" i="25"/>
  <c r="J68" i="19" l="1"/>
  <c r="J69" i="19"/>
  <c r="J70" i="19"/>
  <c r="J71" i="19"/>
  <c r="B42" i="29" l="1"/>
  <c r="B49" i="29"/>
  <c r="B48" i="29"/>
  <c r="J4" i="29" l="1"/>
  <c r="J3" i="29"/>
  <c r="J5" i="29" s="1"/>
  <c r="E123" i="16"/>
  <c r="G78" i="16" l="1"/>
  <c r="G82" i="16"/>
  <c r="C77" i="16" l="1"/>
  <c r="G77" i="16" s="1"/>
  <c r="B127" i="16" l="1"/>
  <c r="H12" i="16" l="1"/>
  <c r="H3" i="28"/>
  <c r="D125" i="16" l="1"/>
  <c r="D126" i="16"/>
  <c r="C126" i="16" s="1"/>
  <c r="M26" i="25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T4" i="20"/>
  <c r="S4" i="20"/>
  <c r="E32" i="20" l="1"/>
  <c r="E31" i="20"/>
  <c r="E99" i="20" l="1"/>
  <c r="E115" i="20"/>
  <c r="D115" i="20"/>
  <c r="E54" i="20"/>
  <c r="E102" i="20"/>
  <c r="D83" i="20"/>
  <c r="E107" i="20"/>
  <c r="E59" i="20"/>
  <c r="D110" i="20"/>
  <c r="E105" i="20"/>
  <c r="D92" i="20"/>
  <c r="E51" i="20"/>
  <c r="E58" i="20"/>
  <c r="E74" i="20"/>
  <c r="E90" i="20"/>
  <c r="E106" i="20"/>
  <c r="D55" i="20"/>
  <c r="D71" i="20"/>
  <c r="D87" i="20"/>
  <c r="D103" i="20"/>
  <c r="X4" i="20"/>
  <c r="X6" i="20" s="1"/>
  <c r="U4" i="20" s="1"/>
  <c r="V4" i="20" s="1"/>
  <c r="H34" i="20"/>
  <c r="I34" i="20" s="1"/>
  <c r="H35" i="20"/>
  <c r="I35" i="20" s="1"/>
  <c r="H32" i="20"/>
  <c r="I32" i="20" s="1"/>
  <c r="H31" i="20"/>
  <c r="I31" i="20" s="1"/>
  <c r="E72" i="20"/>
  <c r="E76" i="20"/>
  <c r="E80" i="20"/>
  <c r="E84" i="20"/>
  <c r="E88" i="20"/>
  <c r="E92" i="20"/>
  <c r="E96" i="20"/>
  <c r="E100" i="20"/>
  <c r="E104" i="20"/>
  <c r="E108" i="20"/>
  <c r="E112" i="20"/>
  <c r="D49" i="20"/>
  <c r="D53" i="20"/>
  <c r="D57" i="20"/>
  <c r="D61" i="20"/>
  <c r="D65" i="20"/>
  <c r="D69" i="20"/>
  <c r="D73" i="20"/>
  <c r="D77" i="20"/>
  <c r="D81" i="20"/>
  <c r="D85" i="20"/>
  <c r="D89" i="20"/>
  <c r="D93" i="20"/>
  <c r="D97" i="20"/>
  <c r="D101" i="20"/>
  <c r="D105" i="20"/>
  <c r="D109" i="20"/>
  <c r="D113" i="20"/>
  <c r="H33" i="20"/>
  <c r="I33" i="20" s="1"/>
  <c r="D100" i="20"/>
  <c r="D104" i="20"/>
  <c r="D108" i="20"/>
  <c r="D112" i="20"/>
  <c r="E103" i="20"/>
  <c r="E87" i="20"/>
  <c r="E71" i="20"/>
  <c r="E55" i="20"/>
  <c r="D70" i="20"/>
  <c r="D68" i="20"/>
  <c r="D106" i="20"/>
  <c r="D86" i="20"/>
  <c r="D52" i="20"/>
  <c r="E101" i="20"/>
  <c r="E85" i="20"/>
  <c r="E69" i="20"/>
  <c r="E53" i="20"/>
  <c r="D88" i="20"/>
  <c r="D72" i="20"/>
  <c r="E70" i="20"/>
  <c r="D51" i="20"/>
  <c r="D99" i="20"/>
  <c r="E91" i="20"/>
  <c r="D74" i="20"/>
  <c r="D94" i="20"/>
  <c r="E89" i="20"/>
  <c r="D76" i="20"/>
  <c r="E52" i="20"/>
  <c r="E62" i="20"/>
  <c r="E110" i="20"/>
  <c r="D75" i="20"/>
  <c r="E48" i="20"/>
  <c r="E83" i="20"/>
  <c r="E67" i="20"/>
  <c r="D90" i="20"/>
  <c r="D62" i="20"/>
  <c r="D60" i="20"/>
  <c r="D102" i="20"/>
  <c r="D78" i="20"/>
  <c r="E113" i="20"/>
  <c r="E97" i="20"/>
  <c r="E81" i="20"/>
  <c r="E65" i="20"/>
  <c r="E49" i="20"/>
  <c r="D84" i="20"/>
  <c r="D64" i="20"/>
  <c r="E60" i="20"/>
  <c r="E86" i="20"/>
  <c r="D67" i="20"/>
  <c r="D48" i="20"/>
  <c r="E75" i="20"/>
  <c r="E50" i="20"/>
  <c r="D54" i="20"/>
  <c r="E73" i="20"/>
  <c r="E57" i="20"/>
  <c r="E64" i="20"/>
  <c r="E68" i="20"/>
  <c r="E78" i="20"/>
  <c r="E94" i="20"/>
  <c r="D59" i="20"/>
  <c r="D91" i="20"/>
  <c r="D107" i="20"/>
  <c r="E56" i="20"/>
  <c r="D50" i="20"/>
  <c r="E66" i="20"/>
  <c r="E82" i="20"/>
  <c r="E98" i="20"/>
  <c r="E114" i="20"/>
  <c r="D63" i="20"/>
  <c r="D79" i="20"/>
  <c r="D95" i="20"/>
  <c r="D111" i="20"/>
  <c r="E111" i="20"/>
  <c r="E95" i="20"/>
  <c r="E79" i="20"/>
  <c r="E63" i="20"/>
  <c r="D82" i="20"/>
  <c r="D58" i="20"/>
  <c r="D114" i="20"/>
  <c r="D98" i="20"/>
  <c r="D66" i="20"/>
  <c r="E109" i="20"/>
  <c r="E93" i="20"/>
  <c r="E77" i="20"/>
  <c r="E61" i="20"/>
  <c r="D96" i="20"/>
  <c r="D80" i="20"/>
  <c r="D56" i="20"/>
  <c r="J5" i="24"/>
  <c r="D22" i="30" l="1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 l="1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7" i="16"/>
  <c r="C58" i="16"/>
  <c r="C59" i="16"/>
  <c r="C60" i="16"/>
  <c r="C61" i="16"/>
  <c r="C62" i="16"/>
  <c r="C63" i="16"/>
  <c r="C64" i="16"/>
  <c r="C65" i="16"/>
  <c r="C66" i="16"/>
  <c r="C56" i="16"/>
  <c r="C46" i="29" l="1"/>
  <c r="C45" i="29"/>
  <c r="C47" i="29"/>
  <c r="C48" i="29"/>
  <c r="C67" i="16"/>
  <c r="D63" i="16" s="1"/>
  <c r="C50" i="29" l="1"/>
  <c r="D61" i="16"/>
  <c r="D66" i="16"/>
  <c r="D65" i="16"/>
  <c r="D59" i="16"/>
  <c r="D58" i="16"/>
  <c r="D64" i="16"/>
  <c r="D60" i="16"/>
  <c r="D57" i="16"/>
  <c r="D62" i="16"/>
  <c r="D56" i="16"/>
  <c r="D67" i="16" l="1"/>
  <c r="C5" i="29" l="1"/>
  <c r="D5" i="29"/>
  <c r="E5" i="29"/>
  <c r="F5" i="29"/>
  <c r="G5" i="29"/>
  <c r="B5" i="29"/>
  <c r="F9" i="25" l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43" i="28"/>
  <c r="H74" i="28"/>
  <c r="H38" i="28"/>
  <c r="H96" i="28"/>
  <c r="H13" i="28"/>
  <c r="H11" i="28"/>
  <c r="H133" i="28"/>
  <c r="H103" i="28"/>
  <c r="H51" i="28"/>
  <c r="H83" i="28"/>
  <c r="H5" i="28"/>
  <c r="H21" i="28"/>
  <c r="H23" i="28"/>
  <c r="H142" i="28"/>
  <c r="H138" i="28"/>
  <c r="H139" i="28"/>
  <c r="H25" i="28"/>
  <c r="H99" i="28"/>
  <c r="H149" i="28"/>
  <c r="H19" i="28"/>
  <c r="H53" i="28"/>
  <c r="H108" i="28"/>
  <c r="H93" i="28"/>
  <c r="H147" i="28"/>
  <c r="H160" i="28"/>
  <c r="H113" i="28"/>
  <c r="H71" i="28"/>
  <c r="H73" i="28"/>
  <c r="H114" i="28"/>
  <c r="H119" i="28"/>
  <c r="H20" i="28"/>
  <c r="H26" i="28"/>
  <c r="H125" i="28"/>
  <c r="H161" i="28"/>
  <c r="H50" i="28"/>
  <c r="H111" i="28"/>
  <c r="H46" i="28"/>
  <c r="H92" i="28"/>
  <c r="H10" i="28"/>
  <c r="H118" i="28"/>
  <c r="H31" i="28"/>
  <c r="H40" i="28"/>
  <c r="H52" i="28"/>
  <c r="H68" i="28"/>
  <c r="H98" i="28"/>
  <c r="H17" i="28"/>
  <c r="H116" i="28"/>
  <c r="H30" i="28"/>
  <c r="H123" i="28"/>
  <c r="H29" i="28"/>
  <c r="H34" i="28"/>
  <c r="H35" i="28"/>
  <c r="H130" i="28"/>
  <c r="H115" i="28"/>
  <c r="H86" i="28"/>
  <c r="H95" i="28"/>
  <c r="H58" i="28"/>
  <c r="H8" i="28"/>
  <c r="H145" i="28"/>
  <c r="H24" i="28"/>
  <c r="H48" i="28"/>
  <c r="H54" i="28"/>
  <c r="H84" i="28"/>
  <c r="H143" i="28"/>
  <c r="H4" i="28"/>
  <c r="H154" i="28"/>
  <c r="H109" i="28"/>
  <c r="H150" i="28"/>
  <c r="H65" i="28"/>
  <c r="H22" i="28"/>
  <c r="H39" i="28"/>
  <c r="H127" i="28"/>
  <c r="H132" i="28"/>
  <c r="H141" i="28"/>
  <c r="H137" i="28"/>
  <c r="H76" i="28"/>
  <c r="H78" i="28"/>
  <c r="H124" i="28"/>
  <c r="H15" i="28"/>
  <c r="H14" i="28"/>
  <c r="H9" i="28"/>
  <c r="H36" i="28"/>
  <c r="H102" i="28"/>
  <c r="H140" i="28"/>
  <c r="H32" i="28"/>
  <c r="H105" i="28"/>
  <c r="H47" i="28"/>
  <c r="H128" i="28"/>
  <c r="H91" i="28"/>
  <c r="H106" i="28"/>
  <c r="H148" i="28"/>
  <c r="H81" i="28"/>
  <c r="H42" i="28"/>
  <c r="H59" i="28"/>
  <c r="H112" i="28"/>
  <c r="H135" i="28"/>
  <c r="H131" i="28"/>
  <c r="H33" i="28"/>
  <c r="H6" i="28"/>
  <c r="H77" i="28"/>
  <c r="H72" i="28"/>
  <c r="H61" i="28"/>
  <c r="H90" i="28"/>
  <c r="H129" i="28"/>
  <c r="H121" i="28"/>
  <c r="H88" i="28"/>
  <c r="H156" i="28"/>
  <c r="H151" i="28"/>
  <c r="H89" i="28"/>
  <c r="H45" i="28"/>
  <c r="H16" i="28"/>
  <c r="H157" i="28"/>
  <c r="H117" i="28"/>
  <c r="H155" i="28"/>
  <c r="H104" i="28"/>
  <c r="H55" i="28"/>
  <c r="H41" i="28"/>
  <c r="H134" i="28"/>
  <c r="H66" i="28"/>
  <c r="H75" i="28"/>
  <c r="H7" i="28"/>
  <c r="H87" i="28"/>
  <c r="H159" i="28"/>
  <c r="H97" i="28"/>
  <c r="H37" i="28"/>
  <c r="H120" i="28"/>
  <c r="H57" i="28"/>
  <c r="H56" i="28"/>
  <c r="H122" i="28"/>
  <c r="H12" i="28"/>
  <c r="H79" i="28"/>
  <c r="H146" i="28"/>
  <c r="H101" i="28"/>
  <c r="H82" i="28"/>
  <c r="H44" i="28"/>
  <c r="H100" i="28"/>
  <c r="H49" i="28"/>
  <c r="H64" i="28"/>
  <c r="H70" i="28"/>
  <c r="H18" i="28"/>
  <c r="H60" i="28"/>
  <c r="H27" i="28"/>
  <c r="H126" i="28"/>
  <c r="H153" i="28"/>
  <c r="H67" i="28"/>
  <c r="H136" i="28"/>
  <c r="H94" i="28"/>
  <c r="H110" i="28"/>
  <c r="H158" i="28"/>
  <c r="H107" i="28"/>
  <c r="H28" i="28"/>
  <c r="H62" i="28"/>
  <c r="H152" i="28"/>
  <c r="H144" i="28"/>
  <c r="H63" i="28"/>
  <c r="B1" i="28"/>
  <c r="G85" i="28" l="1"/>
  <c r="G80" i="28"/>
  <c r="F123" i="25"/>
  <c r="F124" i="25"/>
  <c r="H85" i="28"/>
  <c r="H80" i="28"/>
  <c r="G69" i="28" l="1"/>
  <c r="H69" i="28"/>
  <c r="G3" i="28" l="1"/>
  <c r="J31" i="25" l="1"/>
  <c r="J47" i="25"/>
  <c r="J63" i="25"/>
  <c r="J79" i="25"/>
  <c r="J95" i="25"/>
  <c r="J115" i="25"/>
  <c r="J58" i="25"/>
  <c r="J110" i="25"/>
  <c r="J36" i="25"/>
  <c r="J52" i="25"/>
  <c r="J84" i="25"/>
  <c r="J104" i="25"/>
  <c r="J124" i="25"/>
  <c r="J66" i="25"/>
  <c r="J114" i="25"/>
  <c r="J41" i="25"/>
  <c r="J57" i="25"/>
  <c r="J73" i="25"/>
  <c r="J105" i="25"/>
  <c r="J121" i="25"/>
  <c r="J62" i="25"/>
  <c r="J106" i="25"/>
  <c r="J39" i="25"/>
  <c r="J55" i="25"/>
  <c r="J71" i="25"/>
  <c r="J87" i="25"/>
  <c r="J123" i="25"/>
  <c r="J82" i="25"/>
  <c r="J28" i="25"/>
  <c r="J44" i="25"/>
  <c r="J76" i="25"/>
  <c r="J116" i="25"/>
  <c r="J90" i="25"/>
  <c r="J49" i="25"/>
  <c r="J81" i="25"/>
  <c r="J113" i="25"/>
  <c r="J42" i="25"/>
  <c r="J59" i="25"/>
  <c r="J111" i="25"/>
  <c r="J98" i="25"/>
  <c r="J48" i="25"/>
  <c r="J64" i="25"/>
  <c r="J100" i="25"/>
  <c r="J54" i="25"/>
  <c r="J37" i="25"/>
  <c r="J53" i="25"/>
  <c r="J85" i="25"/>
  <c r="J117" i="25"/>
  <c r="J94" i="25"/>
  <c r="J35" i="25"/>
  <c r="J51" i="25"/>
  <c r="J67" i="25"/>
  <c r="J99" i="25"/>
  <c r="J119" i="25"/>
  <c r="J70" i="25"/>
  <c r="J118" i="25"/>
  <c r="J40" i="25"/>
  <c r="J56" i="25"/>
  <c r="J72" i="25"/>
  <c r="J88" i="25"/>
  <c r="J112" i="25"/>
  <c r="J34" i="25"/>
  <c r="J78" i="25"/>
  <c r="J29" i="25"/>
  <c r="J45" i="25"/>
  <c r="J61" i="25"/>
  <c r="J77" i="25"/>
  <c r="J93" i="25"/>
  <c r="J109" i="25"/>
  <c r="J30" i="25"/>
  <c r="J74" i="25"/>
  <c r="J122" i="25"/>
  <c r="J107" i="25"/>
  <c r="J60" i="25"/>
  <c r="J96" i="25"/>
  <c r="J46" i="25"/>
  <c r="J33" i="25"/>
  <c r="J65" i="25"/>
  <c r="J97" i="25"/>
  <c r="J86" i="25"/>
  <c r="J27" i="25"/>
  <c r="J43" i="25"/>
  <c r="J75" i="25"/>
  <c r="J91" i="25"/>
  <c r="J38" i="25"/>
  <c r="J32" i="25"/>
  <c r="J80" i="25"/>
  <c r="J120" i="25"/>
  <c r="J102" i="25"/>
  <c r="J101" i="25"/>
  <c r="J50" i="25"/>
  <c r="J108" i="25"/>
  <c r="J103" i="25"/>
  <c r="J92" i="25"/>
  <c r="J26" i="25"/>
  <c r="F119" i="25"/>
  <c r="F120" i="25"/>
  <c r="F121" i="25"/>
  <c r="F122" i="25"/>
  <c r="C81" i="16" l="1"/>
  <c r="G81" i="16" s="1"/>
  <c r="M10" i="25" l="1"/>
  <c r="M9" i="25"/>
  <c r="M11" i="25"/>
  <c r="M8" i="25"/>
  <c r="M12" i="25" l="1"/>
  <c r="N8" i="25" s="1"/>
  <c r="J5" i="25"/>
  <c r="J6" i="25"/>
  <c r="J7" i="25"/>
  <c r="J8" i="25"/>
  <c r="J9" i="25"/>
  <c r="J10" i="25"/>
  <c r="J11" i="25"/>
  <c r="J12" i="25"/>
  <c r="J13" i="25"/>
  <c r="J14" i="25"/>
  <c r="F10" i="25"/>
  <c r="M13" i="25" l="1"/>
  <c r="J15" i="25"/>
  <c r="F11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30" i="25"/>
  <c r="M31" i="25"/>
  <c r="M32" i="25"/>
  <c r="M33" i="25"/>
  <c r="M34" i="25"/>
  <c r="M35" i="25"/>
  <c r="M36" i="25"/>
  <c r="M39" i="25"/>
  <c r="M40" i="25"/>
  <c r="M41" i="25"/>
  <c r="M42" i="25"/>
  <c r="M43" i="25"/>
  <c r="M44" i="25"/>
  <c r="M45" i="25"/>
  <c r="M46" i="25"/>
  <c r="M47" i="25"/>
  <c r="M50" i="25"/>
  <c r="M52" i="25"/>
  <c r="M53" i="25"/>
  <c r="M54" i="25"/>
  <c r="M56" i="25"/>
  <c r="M60" i="25"/>
  <c r="M62" i="25"/>
  <c r="M64" i="25"/>
  <c r="M65" i="25"/>
  <c r="M67" i="25"/>
  <c r="M69" i="25"/>
  <c r="M70" i="25"/>
  <c r="M71" i="25"/>
  <c r="M73" i="25"/>
  <c r="M75" i="25"/>
  <c r="M76" i="25"/>
  <c r="M77" i="25" l="1"/>
  <c r="G9" i="25"/>
  <c r="G10" i="25"/>
  <c r="N70" i="25" l="1"/>
  <c r="N48" i="25"/>
  <c r="N51" i="25"/>
  <c r="N57" i="25"/>
  <c r="N59" i="25"/>
  <c r="N63" i="25"/>
  <c r="N68" i="25"/>
  <c r="N74" i="25"/>
  <c r="N37" i="25"/>
  <c r="N66" i="25"/>
  <c r="N61" i="25"/>
  <c r="N58" i="25"/>
  <c r="N55" i="25"/>
  <c r="N49" i="25"/>
  <c r="N38" i="25"/>
  <c r="N72" i="25"/>
  <c r="N29" i="25"/>
  <c r="N31" i="25"/>
  <c r="N47" i="25"/>
  <c r="N60" i="25"/>
  <c r="N28" i="25"/>
  <c r="N44" i="25"/>
  <c r="N53" i="25"/>
  <c r="N35" i="25"/>
  <c r="N67" i="25"/>
  <c r="N32" i="25"/>
  <c r="N33" i="25"/>
  <c r="N26" i="25"/>
  <c r="N39" i="25"/>
  <c r="N71" i="25"/>
  <c r="N76" i="25"/>
  <c r="N36" i="25"/>
  <c r="N56" i="25"/>
  <c r="N30" i="25"/>
  <c r="N27" i="25"/>
  <c r="N43" i="25"/>
  <c r="N75" i="25"/>
  <c r="N73" i="25"/>
  <c r="N40" i="25"/>
  <c r="N64" i="25"/>
  <c r="N42" i="25"/>
  <c r="N46" i="25"/>
  <c r="N45" i="25"/>
  <c r="N65" i="25"/>
  <c r="N62" i="25"/>
  <c r="N52" i="25"/>
  <c r="N69" i="25"/>
  <c r="N41" i="25"/>
  <c r="N34" i="25"/>
  <c r="N50" i="25"/>
  <c r="N5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B20" i="25" l="1"/>
  <c r="C17" i="25"/>
  <c r="M78" i="25"/>
  <c r="C18" i="25"/>
  <c r="G122" i="25"/>
  <c r="G123" i="25"/>
  <c r="G124" i="25"/>
  <c r="C5" i="25"/>
  <c r="G36" i="25"/>
  <c r="G74" i="25"/>
  <c r="C4" i="25"/>
  <c r="G49" i="25"/>
  <c r="G88" i="25"/>
  <c r="G106" i="25"/>
  <c r="G33" i="25"/>
  <c r="G39" i="25"/>
  <c r="C7" i="25"/>
  <c r="G110" i="25"/>
  <c r="G77" i="25"/>
  <c r="G95" i="25"/>
  <c r="C9" i="25"/>
  <c r="C12" i="25"/>
  <c r="G90" i="25"/>
  <c r="G65" i="25"/>
  <c r="G109" i="25"/>
  <c r="G69" i="25"/>
  <c r="G28" i="25"/>
  <c r="G72" i="25"/>
  <c r="G31" i="25"/>
  <c r="G87" i="25"/>
  <c r="G101" i="25"/>
  <c r="G60" i="25"/>
  <c r="G104" i="25"/>
  <c r="G63" i="25"/>
  <c r="G26" i="25"/>
  <c r="G62" i="25"/>
  <c r="C6" i="25"/>
  <c r="G82" i="25"/>
  <c r="G41" i="25"/>
  <c r="G93" i="25"/>
  <c r="G44" i="25"/>
  <c r="G96" i="25"/>
  <c r="G55" i="25"/>
  <c r="G103" i="25"/>
  <c r="G46" i="25"/>
  <c r="G94" i="25"/>
  <c r="G57" i="25"/>
  <c r="G117" i="25"/>
  <c r="G85" i="25"/>
  <c r="G52" i="25"/>
  <c r="G112" i="25"/>
  <c r="G80" i="25"/>
  <c r="G47" i="25"/>
  <c r="G111" i="25"/>
  <c r="G79" i="25"/>
  <c r="G30" i="25"/>
  <c r="G71" i="25"/>
  <c r="C15" i="25"/>
  <c r="C16" i="25"/>
  <c r="C10" i="25"/>
  <c r="C13" i="25"/>
  <c r="C14" i="25"/>
  <c r="G118" i="25"/>
  <c r="G114" i="25"/>
  <c r="G86" i="25"/>
  <c r="G70" i="25"/>
  <c r="G53" i="25"/>
  <c r="G37" i="25"/>
  <c r="G113" i="25"/>
  <c r="G97" i="25"/>
  <c r="G81" i="25"/>
  <c r="G64" i="25"/>
  <c r="G48" i="25"/>
  <c r="G32" i="25"/>
  <c r="G108" i="25"/>
  <c r="G92" i="25"/>
  <c r="G76" i="25"/>
  <c r="G59" i="25"/>
  <c r="G43" i="25"/>
  <c r="G27" i="25"/>
  <c r="G107" i="25"/>
  <c r="G91" i="25"/>
  <c r="G75" i="25"/>
  <c r="G58" i="25"/>
  <c r="G42" i="25"/>
  <c r="G66" i="25"/>
  <c r="G121" i="25"/>
  <c r="G54" i="25"/>
  <c r="G38" i="25"/>
  <c r="C3" i="25"/>
  <c r="G119" i="25"/>
  <c r="C8" i="25"/>
  <c r="C2" i="25"/>
  <c r="C11" i="25"/>
  <c r="G98" i="25"/>
  <c r="G102" i="25"/>
  <c r="G78" i="25"/>
  <c r="G61" i="25"/>
  <c r="G45" i="25"/>
  <c r="G29" i="25"/>
  <c r="G105" i="25"/>
  <c r="G89" i="25"/>
  <c r="G73" i="25"/>
  <c r="G56" i="25"/>
  <c r="G40" i="25"/>
  <c r="G116" i="25"/>
  <c r="G100" i="25"/>
  <c r="G84" i="25"/>
  <c r="G68" i="25"/>
  <c r="G51" i="25"/>
  <c r="G35" i="25"/>
  <c r="G115" i="25"/>
  <c r="G99" i="25"/>
  <c r="G83" i="25"/>
  <c r="G67" i="25"/>
  <c r="G50" i="25"/>
  <c r="G34" i="25"/>
  <c r="G120" i="25"/>
  <c r="F12" i="25"/>
  <c r="C19" i="25" l="1"/>
  <c r="H51" i="16"/>
  <c r="J66" i="19" l="1"/>
  <c r="J67" i="19"/>
  <c r="D129" i="16" l="1"/>
  <c r="E33" i="16" l="1"/>
  <c r="E50" i="16" l="1"/>
  <c r="G50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9" i="16" l="1"/>
  <c r="C125" i="16" l="1"/>
  <c r="C127" i="16" s="1"/>
  <c r="D127" i="16" l="1"/>
  <c r="C80" i="16"/>
  <c r="G80" i="16" s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M68" i="19" s="1"/>
  <c r="N68" i="19" s="1"/>
  <c r="O68" i="19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M37" i="19"/>
  <c r="N37" i="19" s="1"/>
  <c r="U17" i="20"/>
  <c r="V17" i="20" s="1"/>
  <c r="M56" i="19" s="1"/>
  <c r="N56" i="19" s="1"/>
  <c r="U24" i="20"/>
  <c r="V24" i="20" s="1"/>
  <c r="U20" i="20"/>
  <c r="V20" i="20" s="1"/>
  <c r="M30" i="19"/>
  <c r="N30" i="19" s="1"/>
  <c r="M35" i="19"/>
  <c r="N35" i="19" s="1"/>
  <c r="U7" i="20"/>
  <c r="V7" i="20" s="1"/>
  <c r="U5" i="20"/>
  <c r="V5" i="20" s="1"/>
  <c r="U18" i="20"/>
  <c r="V18" i="20" s="1"/>
  <c r="M31" i="19" s="1"/>
  <c r="N31" i="19" s="1"/>
  <c r="U12" i="20"/>
  <c r="V12" i="20" s="1"/>
  <c r="M69" i="19" s="1"/>
  <c r="N69" i="19" s="1"/>
  <c r="O69" i="19" s="1"/>
  <c r="U15" i="20"/>
  <c r="V15" i="20" s="1"/>
  <c r="U21" i="20"/>
  <c r="V21" i="20" s="1"/>
  <c r="U23" i="20"/>
  <c r="V23" i="20" s="1"/>
  <c r="U10" i="20"/>
  <c r="V10" i="20" s="1"/>
  <c r="M62" i="19" s="1"/>
  <c r="N62" i="19" s="1"/>
  <c r="M46" i="19"/>
  <c r="N46" i="19" s="1"/>
  <c r="M49" i="19"/>
  <c r="N49" i="19" s="1"/>
  <c r="M16" i="19"/>
  <c r="N16" i="19" s="1"/>
  <c r="M22" i="19"/>
  <c r="N22" i="19" s="1"/>
  <c r="F129" i="16"/>
  <c r="G129" i="16" s="1"/>
  <c r="H129" i="16" s="1"/>
  <c r="I129" i="16" s="1"/>
  <c r="M51" i="19"/>
  <c r="N51" i="19" s="1"/>
  <c r="M59" i="19"/>
  <c r="N59" i="19" s="1"/>
  <c r="M55" i="19"/>
  <c r="N55" i="19" s="1"/>
  <c r="M40" i="19"/>
  <c r="N40" i="19" s="1"/>
  <c r="M41" i="19"/>
  <c r="N41" i="19" s="1"/>
  <c r="M26" i="19"/>
  <c r="N26" i="19" s="1"/>
  <c r="M61" i="19"/>
  <c r="N61" i="19" s="1"/>
  <c r="M38" i="19"/>
  <c r="N38" i="19" s="1"/>
  <c r="M12" i="19" l="1"/>
  <c r="N12" i="19" s="1"/>
  <c r="M70" i="19"/>
  <c r="N70" i="19" s="1"/>
  <c r="O70" i="19" s="1"/>
  <c r="M71" i="19"/>
  <c r="N71" i="19" s="1"/>
  <c r="O71" i="19" s="1"/>
  <c r="M60" i="19"/>
  <c r="N60" i="19" s="1"/>
  <c r="M50" i="19"/>
  <c r="N50" i="19" s="1"/>
  <c r="F126" i="16"/>
  <c r="G126" i="16" s="1"/>
  <c r="H126" i="16" s="1"/>
  <c r="I126" i="16" s="1"/>
  <c r="M20" i="19"/>
  <c r="N20" i="19" s="1"/>
  <c r="F125" i="16"/>
  <c r="G125" i="16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H125" i="16" l="1"/>
  <c r="G127" i="16"/>
  <c r="N6" i="19"/>
  <c r="Q72" i="19"/>
  <c r="J62" i="19"/>
  <c r="J63" i="19"/>
  <c r="J64" i="19"/>
  <c r="J65" i="19"/>
  <c r="I125" i="16" l="1"/>
  <c r="H127" i="16"/>
  <c r="I127" i="16" s="1"/>
  <c r="O62" i="19"/>
  <c r="Q62" i="19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 l="1"/>
  <c r="O3" i="19"/>
  <c r="O6" i="19"/>
  <c r="O2" i="19" l="1"/>
  <c r="F3" i="19" l="1"/>
  <c r="P23" i="30" s="1"/>
  <c r="P3" i="19" l="1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4" i="16"/>
  <c r="G10" i="16"/>
  <c r="F2" i="19"/>
  <c r="C68" i="16" s="1"/>
  <c r="J4" i="19"/>
  <c r="J3" i="19"/>
  <c r="E10" i="16" s="1"/>
  <c r="E13" i="16" s="1"/>
  <c r="G13" i="16" l="1"/>
  <c r="L13" i="16" s="1"/>
  <c r="L10" i="16"/>
  <c r="E34" i="16"/>
  <c r="C79" i="16" s="1"/>
  <c r="G79" i="16" s="1"/>
  <c r="J2" i="19"/>
  <c r="C83" i="16" l="1"/>
  <c r="H13" i="16"/>
  <c r="G9" i="16" l="1"/>
  <c r="C47" i="18" l="1"/>
  <c r="B47" i="18"/>
  <c r="D47" i="18" l="1"/>
  <c r="G32" i="16"/>
  <c r="H11" i="16"/>
  <c r="H10" i="16"/>
  <c r="H34" i="16"/>
  <c r="H14" i="16" l="1"/>
  <c r="G83" i="16"/>
  <c r="C76" i="16" l="1"/>
  <c r="G33" i="16"/>
</calcChain>
</file>

<file path=xl/comments1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<sst xmlns="http://schemas.openxmlformats.org/spreadsheetml/2006/main" count="2253" uniqueCount="690">
  <si>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</si>
  <si>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</si>
  <si>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</si>
  <si>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</si>
  <si>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</si>
  <si>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</si>
  <si>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</si>
  <si>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</si>
  <si>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</si>
  <si>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</si>
  <si>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</si>
  <si>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</si>
  <si>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</si>
  <si>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</si>
  <si>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</si>
  <si>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</si>
  <si>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</si>
  <si>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</si>
  <si>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</si>
  <si>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Стратегический портфель долговых ц/б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</si>
  <si>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</si>
  <si>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</si>
  <si>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</si>
  <si>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</si>
  <si>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</si>
  <si>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</si>
  <si>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</si>
  <si>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</si>
  <si>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</si>
  <si>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</si>
  <si>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</si>
  <si>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</si>
  <si>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</si>
  <si>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</si>
  <si>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</si>
  <si>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</si>
  <si>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</si>
  <si>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</si>
  <si>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</si>
  <si>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</si>
  <si>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</si>
  <si>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</si>
  <si>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</si>
  <si>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</si>
  <si>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</si>
  <si>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</si>
  <si>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</si>
  <si>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</si>
  <si>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</si>
  <si>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</si>
  <si>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</si>
  <si>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</si>
  <si>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</si>
  <si>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</si>
  <si>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</si>
  <si>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</si>
  <si>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</si>
  <si>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</si>
  <si>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</si>
  <si>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</si>
  <si>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</si>
  <si>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</si>
  <si>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</si>
  <si>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</si>
  <si>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</si>
  <si>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</si>
  <si>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</si>
  <si>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</si>
  <si>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</si>
  <si>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</si>
  <si>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</si>
  <si>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</si>
  <si>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</si>
  <si>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</si>
  <si>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</si>
  <si>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</si>
  <si>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</si>
  <si>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</si>
  <si>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</si>
  <si>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</si>
  <si>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</si>
  <si>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</si>
  <si>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</si>
  <si>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</si>
  <si>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</si>
  <si>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</si>
  <si>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</si>
  <si>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</si>
  <si>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</si>
  <si>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</si>
  <si>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</si>
  <si>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</si>
  <si>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</si>
  <si>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</si>
  <si>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</si>
  <si>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</si>
  <si>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</si>
  <si>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</si>
  <si>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</si>
  <si>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</si>
  <si>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</si>
  <si>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</si>
  <si>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</si>
  <si>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</si>
  <si>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</si>
  <si>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</si>
  <si>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</si>
  <si>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</si>
  <si>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</si>
  <si>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</si>
  <si>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</si>
  <si>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</si>
  <si>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</si>
  <si>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</si>
  <si>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</si>
  <si>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</si>
  <si>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</si>
  <si>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</si>
  <si>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</si>
  <si>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</si>
  <si>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</si>
  <si>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</si>
  <si>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</si>
  <si>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</si>
  <si>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</si>
  <si>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</si>
  <si>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</si>
  <si>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</si>
  <si>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</si>
  <si>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</si>
  <si>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</si>
  <si>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</si>
  <si>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</si>
  <si>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</si>
  <si>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</si>
  <si>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</si>
  <si>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</si>
  <si>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</si>
  <si>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</si>
  <si>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</si>
  <si>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</si>
  <si>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</si>
  <si>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</si>
  <si>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</si>
  <si>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</si>
  <si>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</si>
  <si>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</si>
  <si>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</si>
  <si>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</si>
  <si>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</si>
  <si>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</si>
  <si>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</si>
  <si>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</si>
  <si>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</si>
  <si>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</si>
  <si>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</si>
  <si>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</si>
  <si>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</si>
  <si>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</si>
  <si>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</si>
  <si>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</si>
  <si>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</si>
  <si>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</si>
  <si>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</si>
  <si>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</si>
  <si>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ДОМ.РФ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</si>
  <si>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</si>
  <si>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</si>
  <si>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</si>
  <si>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</si>
  <si>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</si>
  <si>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</si>
  <si>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</si>
  <si>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</si>
  <si>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</si>
  <si>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</si>
  <si>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</si>
  <si>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</si>
  <si>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</si>
  <si>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</si>
  <si>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</si>
  <si>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</si>
  <si>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</si>
  <si>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</si>
  <si>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</si>
  <si>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</si>
  <si>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</si>
  <si>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</si>
  <si>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</si>
  <si>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</si>
  <si>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</si>
  <si>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</si>
  <si>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</si>
  <si>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</si>
  <si>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</si>
  <si>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</si>
  <si>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</si>
  <si>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</si>
  <si>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</si>
  <si>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</si>
  <si>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</si>
  <si>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</si>
  <si>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</si>
  <si>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</si>
  <si>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</si>
  <si>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</si>
  <si>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</si>
  <si>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</si>
  <si>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</si>
  <si>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</si>
  <si>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</si>
  <si>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</si>
  <si>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</si>
  <si>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</si>
  <si>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</si>
  <si>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</si>
  <si>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</si>
  <si>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</si>
  <si>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</si>
  <si>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</si>
  <si>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</si>
  <si>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</si>
  <si>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</si>
  <si>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</si>
  <si>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</si>
  <si>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</si>
  <si>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</si>
  <si>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</si>
  <si>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</si>
  <si>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</si>
  <si>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</si>
  <si>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</si>
  <si>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</si>
  <si>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</si>
  <si>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</si>
  <si>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</si>
  <si>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</si>
  <si>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</si>
  <si>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</si>
  <si>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</si>
  <si>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</si>
  <si>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</si>
  <si>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</si>
  <si>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</si>
  <si>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</si>
  <si>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</si>
  <si>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</si>
  <si>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</si>
  <si>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</si>
  <si>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</si>
  <si>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</si>
  <si>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</si>
  <si>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</si>
  <si>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</si>
  <si>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</si>
  <si>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</si>
  <si>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</si>
  <si>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</si>
  <si>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</si>
  <si>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</si>
  <si>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</si>
  <si>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</si>
  <si>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</si>
  <si>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</si>
  <si>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</si>
  <si>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</si>
  <si>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</si>
  <si>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</si>
  <si>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</si>
  <si>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</si>
  <si>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</si>
  <si>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</si>
  <si>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</si>
  <si>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</si>
  <si>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</si>
  <si>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</si>
  <si>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</si>
  <si>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</si>
  <si>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</si>
  <si>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</si>
  <si>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</si>
  <si>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</si>
  <si>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</si>
  <si>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</si>
  <si>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</si>
  <si>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</si>
  <si>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</si>
  <si>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</si>
  <si>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</si>
  <si>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</si>
  <si>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</si>
  <si>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</si>
  <si>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</si>
  <si>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</si>
  <si>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</si>
  <si>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</si>
  <si>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</si>
  <si>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</si>
  <si>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</si>
  <si>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</si>
  <si>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</si>
  <si>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</si>
  <si>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</si>
  <si>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</si>
  <si>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</si>
  <si>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</si>
  <si>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</si>
  <si>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</si>
  <si>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</si>
  <si>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</si>
  <si>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</si>
  <si>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</si>
  <si>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</si>
  <si>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</si>
  <si>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</si>
  <si>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</si>
  <si>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</si>
  <si>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</si>
  <si>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</si>
  <si>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</si>
  <si>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</si>
  <si>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</si>
  <si>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</si>
  <si>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</si>
  <si>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</si>
  <si>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</si>
  <si>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</si>
  <si>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</si>
  <si>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</si>
  <si>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</si>
  <si>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</si>
  <si>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</si>
  <si>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</si>
  <si>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</si>
  <si>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</si>
  <si>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</si>
  <si>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</si>
  <si>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</si>
  <si>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</si>
  <si>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</si>
  <si>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</si>
  <si>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</si>
  <si>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</si>
  <si>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</si>
  <si>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</si>
  <si>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</si>
  <si>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</si>
  <si>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</si>
  <si>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</si>
  <si>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</si>
  <si>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</si>
  <si>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</si>
  <si>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</si>
  <si>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</si>
  <si>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</si>
  <si>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</si>
  <si>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</si>
  <si>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</si>
  <si>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</si>
  <si>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</si>
  <si>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</si>
  <si>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</si>
  <si>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</si>
  <si>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</si>
  <si>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</si>
  <si>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</si>
  <si>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</si>
  <si>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</si>
  <si>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</si>
  <si>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</si>
  <si>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</si>
  <si>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</si>
  <si>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SGEEL  3.850 08/27/21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</si>
  <si>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</si>
  <si>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</si>
  <si>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</si>
  <si>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</si>
  <si>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</si>
  <si>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</si>
  <si>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</si>
  <si>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</si>
  <si>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</si>
  <si>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</si>
  <si>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</si>
  <si>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IIB    6.750 05/16/23</t>
  </si>
  <si>
    <t>SVKBK 10.350 12/21/21</t>
  </si>
  <si>
    <t>AFKS   6.700 08/26/30 PUT</t>
  </si>
  <si>
    <t>IIB    5.950 03/10/23</t>
  </si>
  <si>
    <t>HEDTR  6.450 12/11/23</t>
  </si>
  <si>
    <t>GOTRL  6.890 12/16/25 PUT</t>
  </si>
  <si>
    <t>GOTRL  7.350 03/18/33 PUT</t>
  </si>
  <si>
    <t>PIKK   5.700 06/23/21 FRN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</si>
  <si>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</si>
  <si>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</si>
  <si>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</si>
  <si>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</si>
  <si>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</si>
  <si>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</si>
  <si>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</si>
  <si>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</si>
  <si>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</si>
  <si>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</si>
  <si>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</si>
  <si>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</si>
  <si>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</si>
  <si>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</si>
  <si>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</si>
  <si>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</si>
  <si>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</si>
  <si>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</si>
  <si>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8.150 02/03/27</t>
  </si>
  <si>
    <t>RUGV   7.750 09/16/26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</si>
  <si>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</si>
  <si>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</si>
  <si>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</si>
  <si>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</si>
  <si>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</si>
  <si>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</si>
  <si>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#N/A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</si>
  <si>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</si>
  <si>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</si>
  <si>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</si>
  <si>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Internal error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</si>
  <si>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</si>
  <si>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</si>
  <si>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</si>
  <si>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</si>
  <si>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</si>
  <si>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</si>
  <si>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</si>
  <si>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</si>
  <si>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</si>
  <si>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</si>
  <si>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</si>
  <si>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</si>
  <si>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</si>
  <si>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</si>
  <si>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</si>
  <si>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</si>
  <si>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</si>
  <si>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</si>
  <si>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</si>
  <si>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</si>
  <si>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</si>
  <si>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</si>
  <si>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</si>
  <si>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</si>
  <si>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</si>
  <si>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</si>
  <si>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</si>
  <si>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</si>
  <si>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</si>
  <si>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</si>
  <si>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</si>
  <si>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</si>
  <si>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</si>
  <si>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RUGV   5.450 03/03/27 FRN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</si>
  <si>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</si>
  <si>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</si>
  <si>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</si>
  <si>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</si>
  <si>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</si>
  <si>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</si>
  <si>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</si>
  <si>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</si>
  <si>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</si>
  <si>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</si>
  <si>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</si>
  <si>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</si>
  <si>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Стратегический портфель долговых ц/б - это Дом.РФ и РЖД портфель "обособленный". Риск - столбец кредитный риск</t>
  </si>
  <si>
    <t>cvar, % (по наилучшему рейтингу)</t>
  </si>
  <si>
    <t>VON    3.375 11/25/27 '27 MTN</t>
  </si>
  <si>
    <t>MMCFN  3.849 04/08/22 '22</t>
  </si>
  <si>
    <t>GAZFI  4.599 Perp     '25 FRN</t>
  </si>
  <si>
    <t>AFKS   6.900 02/17/31</t>
  </si>
  <si>
    <t>GOTRL  5.000 12/31/32 FRN PUT</t>
  </si>
  <si>
    <t>FASPM  8.150 07/01/21 PUT</t>
  </si>
  <si>
    <t>FEES   8.500 06/22/21</t>
  </si>
  <si>
    <t>кредитный риск страт портфель облигаций</t>
  </si>
  <si>
    <t>Вложения (руб) на 01.05.2021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</si>
  <si>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</si>
  <si>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</si>
  <si>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</si>
  <si>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</si>
  <si>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</si>
  <si>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корпоративные еврооблигации</t>
  </si>
  <si>
    <t>корпоративные рублевые облигации</t>
  </si>
  <si>
    <t>госеврооблигации</t>
  </si>
  <si>
    <t>АБФ-БО</t>
  </si>
  <si>
    <t>РОСНАНО</t>
  </si>
  <si>
    <t>Брусника</t>
  </si>
  <si>
    <t>МСП Банк</t>
  </si>
  <si>
    <t>Московский Кредитный Банк</t>
  </si>
  <si>
    <t>ГТЛК-2021-еврооб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</si>
  <si>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</si>
  <si>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</si>
  <si>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</si>
  <si>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</si>
  <si>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</si>
  <si>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</si>
  <si>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</si>
  <si>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</si>
  <si>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</si>
  <si>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</si>
  <si>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</si>
  <si>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</si>
  <si>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</si>
  <si>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</si>
  <si>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</si>
  <si>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</si>
  <si>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</si>
  <si>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</si>
  <si>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</si>
  <si>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</si>
  <si>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</si>
  <si>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</si>
  <si>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</si>
  <si>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</si>
  <si>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</si>
  <si>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</si>
  <si>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</si>
  <si>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</si>
  <si>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</si>
  <si>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ПИК-П06-боб</t>
  </si>
  <si>
    <t>СистемаАФК-001P-04-боб</t>
  </si>
  <si>
    <t>ГТЛК-4-боб</t>
  </si>
  <si>
    <t>Совкомбанк-03-боб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</si>
  <si>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</si>
  <si>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</si>
  <si>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</si>
  <si>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</si>
  <si>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</si>
  <si>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</si>
  <si>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</si>
  <si>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</si>
  <si>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</si>
  <si>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</si>
  <si>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</si>
  <si>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</si>
  <si>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</si>
  <si>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</si>
  <si>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</si>
  <si>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Россельхозбанк-12</t>
  </si>
  <si>
    <t>ФСК ЕЭС-13</t>
  </si>
  <si>
    <t>Брусника-1P02-об</t>
  </si>
  <si>
    <t>МСП-01-об</t>
  </si>
  <si>
    <t>МСП-02-об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</si>
  <si>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</si>
  <si>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</si>
  <si>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</si>
  <si>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</si>
  <si>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</si>
  <si>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</si>
  <si>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</si>
  <si>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XS1449458915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</si>
  <si>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</si>
  <si>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</si>
  <si>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</si>
  <si>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</si>
  <si>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</si>
  <si>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</si>
  <si>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</si>
  <si>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</si>
  <si>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</si>
  <si>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</si>
  <si>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</si>
  <si>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</si>
  <si>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</si>
  <si>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</si>
  <si>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</si>
  <si>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</si>
  <si>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</si>
  <si>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XS0743596040</t>
  </si>
  <si>
    <t>XS1634369067</t>
  </si>
  <si>
    <t>XS2243631095</t>
  </si>
  <si>
    <t>XS1951067039</t>
  </si>
  <si>
    <t>XS2099763075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</si>
  <si>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</si>
  <si>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</si>
  <si>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</si>
  <si>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</si>
  <si>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</si>
  <si>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</si>
  <si>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</si>
  <si>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RU000A0ZZAW2</t>
  </si>
  <si>
    <t>RU000A0JWYQ5</t>
  </si>
  <si>
    <t>RU000A0JVA10</t>
  </si>
  <si>
    <t>RU000A0JWPA7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</si>
  <si>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</si>
  <si>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</si>
  <si>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</si>
  <si>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</si>
  <si>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</si>
  <si>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</si>
  <si>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</si>
  <si>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</si>
  <si>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</si>
  <si>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</si>
  <si>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</si>
  <si>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</si>
  <si>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</si>
  <si>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</si>
  <si>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</si>
  <si>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RU000A0JRMB2</t>
  </si>
  <si>
    <t>RU000A0JRL96</t>
  </si>
  <si>
    <t>RU000A102Y58</t>
  </si>
  <si>
    <t>RU000A0JS5R1</t>
  </si>
  <si>
    <t>RU000A0JS603</t>
  </si>
  <si>
    <t>RU000A0JV4M0</t>
  </si>
  <si>
    <t>RU000A102CL3</t>
  </si>
  <si>
    <t>XS1964558339</t>
  </si>
  <si>
    <t>XS2159874002</t>
  </si>
  <si>
    <t>XS2131995958</t>
  </si>
  <si>
    <t>XS2249778247</t>
  </si>
  <si>
    <t>ММК, ао</t>
  </si>
  <si>
    <t>НЛМК, ао</t>
  </si>
  <si>
    <t>Норникель-2025-еврооб</t>
  </si>
  <si>
    <t>Газпром-2029-еврооб</t>
  </si>
  <si>
    <t>ВТБ-2012-еврооб</t>
  </si>
  <si>
    <t>VEON Holdings-2027-еврооб</t>
  </si>
  <si>
    <t>Открытие Холдинг-5-об</t>
  </si>
  <si>
    <t>Тинькофф-001P-03R-боб</t>
  </si>
  <si>
    <t>Росбанк-11-боб</t>
  </si>
  <si>
    <t>Росбанк-26-боб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</si>
  <si>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</si>
  <si>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</si>
  <si>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</si>
  <si>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</si>
  <si>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</si>
  <si>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</si>
  <si>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СистемаАФК-001P-18</t>
  </si>
  <si>
    <t>ОФЗ-52002</t>
  </si>
  <si>
    <t>ОФЗ-26227</t>
  </si>
  <si>
    <t>ОФЗ-26229</t>
  </si>
  <si>
    <t>ОФЗ-26232</t>
  </si>
  <si>
    <t>ОФЗ-26207</t>
  </si>
  <si>
    <t>ОФЗ-26219</t>
  </si>
  <si>
    <t>акции обыкновенные</t>
  </si>
  <si>
    <t>акции привилегированные</t>
  </si>
  <si>
    <t>SBER</t>
  </si>
  <si>
    <t>GAZP</t>
  </si>
  <si>
    <t>SNGS</t>
  </si>
  <si>
    <t>YNDX</t>
  </si>
  <si>
    <t>GMKN</t>
  </si>
  <si>
    <t>NVTK</t>
  </si>
  <si>
    <t>MAGN</t>
  </si>
  <si>
    <t>NLMK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</si>
  <si>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</si>
  <si>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</si>
  <si>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</si>
  <si>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</si>
  <si>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</si>
  <si>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</si>
  <si>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</si>
  <si>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</si>
  <si>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</si>
  <si>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</si>
  <si>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</si>
  <si>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</si>
  <si>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RU000A102GY7</t>
  </si>
  <si>
    <t>RU000A102RF3</t>
  </si>
  <si>
    <t>RU000A102SV8</t>
  </si>
  <si>
    <t>RU000A0ZYZ26</t>
  </si>
  <si>
    <t>RU000A1007F4</t>
  </si>
  <si>
    <t>RU000A100EG3</t>
  </si>
  <si>
    <t>RU000A1014N4</t>
  </si>
  <si>
    <t>RU000A0JS3W6</t>
  </si>
  <si>
    <t>RU000A0JWM07</t>
  </si>
  <si>
    <t>BANEP</t>
  </si>
  <si>
    <t>TRNFP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</si>
  <si>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</si>
  <si>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</si>
  <si>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</si>
  <si>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</si>
  <si>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GOTRL  5.150 01/18/33 FRN PUT</t>
  </si>
  <si>
    <t>BRSSD  9.600 04/01/24</t>
  </si>
  <si>
    <t>VNESH  6.200 03/17/22 PUT</t>
  </si>
  <si>
    <t>VNESH  6.250 08/11/22 PUT</t>
  </si>
  <si>
    <t>Ипотечный агент ДОМ.РФ</t>
  </si>
  <si>
    <t>ИА ДОМ.РФ-02р-об</t>
  </si>
  <si>
    <t>ИА ДОМ.РФ-06р-об</t>
  </si>
  <si>
    <t>ИА ДОМ.РФ-009р-об</t>
  </si>
  <si>
    <t>ИА ДОМ.РФ-010P-боб</t>
  </si>
  <si>
    <t>РЖД-2028</t>
  </si>
  <si>
    <t>RU000A0ZYJT2</t>
  </si>
  <si>
    <t>RU000A0ZZV86</t>
  </si>
  <si>
    <t>RU000A100DQ4</t>
  </si>
  <si>
    <t>RU000A100ZB9</t>
  </si>
  <si>
    <t>XS2318748956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</si>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</sst>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55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14" fontId="11" fillId="4" borderId="1" xfId="0" applyNumberFormat="1" applyFont="1" applyFill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4" borderId="1" xfId="0" applyNumberFormat="1" applyFont="1" applyFill="1" applyBorder="1" applyAlignment="1">
      <alignment horizontal="center"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10" fillId="0" borderId="0" xfId="0" applyNumberFormat="1" applyFon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0" fontId="39" fillId="9" borderId="1" xfId="0" applyFont="1" applyFill="1" applyBorder="1"/>
    <xf numFmtId="3" fontId="39" fillId="9" borderId="1" xfId="0" applyNumberFormat="1" applyFont="1" applyFill="1" applyBorder="1"/>
    <xf numFmtId="0" fontId="18" fillId="6" borderId="1" xfId="1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39" fillId="0" borderId="3" xfId="0" applyFont="1" applyBorder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3/1/2021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5.555555555555555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'1'!$C$10:$C$13</c:f>
              <c:numCache>
                <c:formatCode>#,##0</c:formatCode>
                <c:ptCount val="4"/>
                <c:pt idx="0">
                  <c:v>1238.2953151577451</c:v>
                </c:pt>
                <c:pt idx="1">
                  <c:v>507</c:v>
                </c:pt>
                <c:pt idx="2">
                  <c:v>3365</c:v>
                </c:pt>
                <c:pt idx="3">
                  <c:v>5110.2953151577449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4/1/2021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-1.6147425050080533E-3"/>
                  <c:y val="-8.019069774423417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'1'!$D$10:$D$13</c:f>
              <c:numCache>
                <c:formatCode>#,##0</c:formatCode>
                <c:ptCount val="4"/>
                <c:pt idx="0">
                  <c:v>1258.1382393040278</c:v>
                </c:pt>
                <c:pt idx="1">
                  <c:v>501.08319123191905</c:v>
                </c:pt>
                <c:pt idx="2">
                  <c:v>3055</c:v>
                </c:pt>
                <c:pt idx="3">
                  <c:v>4814.2214305359466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5/1/2021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8.3333333333333332E-3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4.2328604359726683E-3"/>
                  <c:y val="-4.36502893989256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229-4378-B4AB-5B4C5172E8C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'1'!$E$10:$E$13</c:f>
              <c:numCache>
                <c:formatCode>#,##0</c:formatCode>
                <c:ptCount val="4"/>
                <c:pt idx="0">
                  <c:v>1479.3048183136734</c:v>
                </c:pt>
                <c:pt idx="1">
                  <c:v>745.57405171516007</c:v>
                </c:pt>
                <c:pt idx="2">
                  <c:v>2542</c:v>
                </c:pt>
                <c:pt idx="3">
                  <c:v>4766.8788700288333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550167312"/>
        <c:axId val="-1550162960"/>
      </c:barChart>
      <c:catAx>
        <c:axId val="-155016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0162960"/>
        <c:crosses val="autoZero"/>
        <c:auto val="1"/>
        <c:lblAlgn val="ctr"/>
        <c:lblOffset val="100"/>
        <c:noMultiLvlLbl val="0"/>
      </c:catAx>
      <c:valAx>
        <c:axId val="-15501629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155016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'1'!$C$33</c:f>
              <c:strCache>
                <c:ptCount val="1"/>
                <c:pt idx="0">
                  <c:v>3/1/2021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'1'!$C$34</c:f>
              <c:numCache>
                <c:formatCode>#,##0.0</c:formatCode>
                <c:ptCount val="1"/>
                <c:pt idx="0">
                  <c:v>127.06653913323713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'1'!$D$33</c:f>
              <c:strCache>
                <c:ptCount val="1"/>
                <c:pt idx="0">
                  <c:v>4/1/2021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'1'!$D$34</c:f>
              <c:numCache>
                <c:formatCode>#,##0.0</c:formatCode>
                <c:ptCount val="1"/>
                <c:pt idx="0">
                  <c:v>124.49229304596814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'1'!$E$33</c:f>
              <c:strCache>
                <c:ptCount val="1"/>
                <c:pt idx="0">
                  <c:v>5/1/2021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'1'!$E$34</c:f>
              <c:numCache>
                <c:formatCode>#,##0.0</c:formatCode>
                <c:ptCount val="1"/>
                <c:pt idx="0">
                  <c:v>111.32945445702924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550174384"/>
        <c:axId val="-1550169488"/>
      </c:barChart>
      <c:catAx>
        <c:axId val="-15501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0169488"/>
        <c:crosses val="autoZero"/>
        <c:auto val="1"/>
        <c:lblAlgn val="ctr"/>
        <c:lblOffset val="100"/>
        <c:noMultiLvlLbl val="0"/>
      </c:catAx>
      <c:valAx>
        <c:axId val="-1550169488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155017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05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'1'!$B$77:$B$82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страт портфель облигаций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'1'!$C$77:$C$82</c:f>
              <c:numCache>
                <c:formatCode>#,##0</c:formatCode>
                <c:ptCount val="6"/>
                <c:pt idx="0">
                  <c:v>745.57405171516007</c:v>
                </c:pt>
                <c:pt idx="1">
                  <c:v>737</c:v>
                </c:pt>
                <c:pt idx="2">
                  <c:v>1590.6342727707026</c:v>
                </c:pt>
                <c:pt idx="3">
                  <c:v>512.42440975579439</c:v>
                </c:pt>
                <c:pt idx="4">
                  <c:v>2542</c:v>
                </c:pt>
                <c:pt idx="5">
                  <c:v>18.399999999999999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910219675262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9.2981624251427045E-2"/>
                  <c:y val="-3.82043935052531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2795E-3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6.9241635080849934E-2"/>
                  <c:y val="-4.202483285577841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политика'!$A$2:$A$18</c:f>
              <c:strCache>
                <c:ptCount val="17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Прочее</c:v>
                </c:pt>
              </c:strCache>
            </c:strRef>
          </c:cat>
          <c:val>
            <c:numRef>
              <c:f>'Инвест политика'!$C$2:$C$18</c:f>
              <c:numCache>
                <c:formatCode>0%</c:formatCode>
                <c:ptCount val="17"/>
                <c:pt idx="0">
                  <c:v>0.34772706210216769</c:v>
                </c:pt>
                <c:pt idx="1">
                  <c:v>5.2838078158761641E-3</c:v>
                </c:pt>
                <c:pt idx="2">
                  <c:v>1.7085084091653338E-2</c:v>
                </c:pt>
                <c:pt idx="3">
                  <c:v>0.21905310795928362</c:v>
                </c:pt>
                <c:pt idx="4">
                  <c:v>2.9695652858844106E-2</c:v>
                </c:pt>
                <c:pt idx="5">
                  <c:v>6.7247666366267176E-3</c:v>
                </c:pt>
                <c:pt idx="6">
                  <c:v>2.0446270526983969E-2</c:v>
                </c:pt>
                <c:pt idx="7">
                  <c:v>4.1315744759025282E-2</c:v>
                </c:pt>
                <c:pt idx="8">
                  <c:v>2.0159842623159951E-2</c:v>
                </c:pt>
                <c:pt idx="9">
                  <c:v>0</c:v>
                </c:pt>
                <c:pt idx="10">
                  <c:v>0.11312920625366422</c:v>
                </c:pt>
                <c:pt idx="11">
                  <c:v>1.8399169937418473E-2</c:v>
                </c:pt>
                <c:pt idx="12">
                  <c:v>0.15195669324887559</c:v>
                </c:pt>
                <c:pt idx="13">
                  <c:v>7.8358674270988977E-3</c:v>
                </c:pt>
                <c:pt idx="14">
                  <c:v>5.633352193111171E-4</c:v>
                </c:pt>
                <c:pt idx="15">
                  <c:v>0</c:v>
                </c:pt>
                <c:pt idx="16">
                  <c:v>6.2438854001103255E-4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политика'!$A$2:$A$18</c15:sqref>
                        </c15:formulaRef>
                      </c:ext>
                    </c:extLst>
                    <c:strCache>
                      <c:ptCount val="17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27669424158.84</c:v>
                      </c:pt>
                      <c:pt idx="1">
                        <c:v>420444467.98999995</c:v>
                      </c:pt>
                      <c:pt idx="2">
                        <c:v>1359498555.1700001</c:v>
                      </c:pt>
                      <c:pt idx="3">
                        <c:v>17430548317.970001</c:v>
                      </c:pt>
                      <c:pt idx="4">
                        <c:v>2362949865.5</c:v>
                      </c:pt>
                      <c:pt idx="5">
                        <c:v>535104801.20000005</c:v>
                      </c:pt>
                      <c:pt idx="6">
                        <c:v>1626955717.1000001</c:v>
                      </c:pt>
                      <c:pt idx="7">
                        <c:v>3287586704.54</c:v>
                      </c:pt>
                      <c:pt idx="8">
                        <c:v>1604164004.79</c:v>
                      </c:pt>
                      <c:pt idx="9">
                        <c:v>0</c:v>
                      </c:pt>
                      <c:pt idx="10">
                        <c:v>9001945300.6100006</c:v>
                      </c:pt>
                      <c:pt idx="11">
                        <c:v>1464063320.5</c:v>
                      </c:pt>
                      <c:pt idx="12">
                        <c:v>12091535740.299997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0041425814916563E-2"/>
                  <c:y val="0.12691731994707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9087401949498528E-2"/>
                  <c:y val="-0.125542478325808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4.5428093256984853E-2"/>
                  <c:y val="-9.23403106331062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0843657931606583E-2"/>
                  <c:y val="3.7037048956526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2240659833328334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1.2448131966665575E-2"/>
                  <c:y val="7.95071681963603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'1'!$B$56:$B$66</c15:sqref>
                  </c15:fullRef>
                </c:ext>
              </c:extLst>
              <c:f>('1'!$B$56,'1'!$B$58:$B$64)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'1'!$D$56:$D$66</c15:sqref>
                  </c15:fullRef>
                </c:ext>
              </c:extLst>
              <c:f>('1'!$D$56,'1'!$D$58:$D$64)</c:f>
              <c:numCache>
                <c:formatCode>0.0%</c:formatCode>
                <c:ptCount val="8"/>
                <c:pt idx="0">
                  <c:v>2.0503360159388175E-2</c:v>
                </c:pt>
                <c:pt idx="1">
                  <c:v>0.19001282937414543</c:v>
                </c:pt>
                <c:pt idx="2">
                  <c:v>0.30039813410312</c:v>
                </c:pt>
                <c:pt idx="3">
                  <c:v>0.18853795503714685</c:v>
                </c:pt>
                <c:pt idx="4">
                  <c:v>0.16763441947929494</c:v>
                </c:pt>
                <c:pt idx="5">
                  <c:v>0.11752072781657572</c:v>
                </c:pt>
                <c:pt idx="6">
                  <c:v>8.8497298466383885E-3</c:v>
                </c:pt>
                <c:pt idx="7">
                  <c:v>6.5428441836904274E-3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Синдикаты!$B$2:$J$2</c15:sqref>
                  </c15:fullRef>
                </c:ext>
              </c:extLst>
              <c:f>(Синдикаты!$B$2:$F$2,Синдикаты!$I$2:$J$2)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мая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Синдикаты!$B$3:$J$3</c15:sqref>
                  </c15:fullRef>
                </c:ext>
              </c:extLst>
              <c:f>(Синдикаты!$B$3:$F$3,Синдикаты!$I$3:$J$3)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20010.22417275206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550174928"/>
        <c:axId val="-1550163504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Синдикаты!$B$2:$J$2</c15:sqref>
                        </c15:fullRef>
                        <c15:formulaRef>
                          <c15:sqref>(Синдикаты!$B$2:$F$2,Синдикаты!$I$2:$J$2)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мая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Синдикаты!$B$4:$J$4</c15:sqref>
                        </c15:fullRef>
                        <c15:formulaRef>
                          <c15:sqref>(Синдикаты!$B$4:$F$4,Синдикаты!$I$4:$J$4)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745.57405171516007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54E-446D-8812-9B37D67CD5E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Синдикаты!$B$2:$J$2</c15:sqref>
                  </c15:fullRef>
                </c:ext>
              </c:extLst>
              <c:f>(Синдикаты!$B$2:$F$2,Синдикаты!$I$2:$J$2)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мая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Синдикаты!$B$5:$J$5</c15:sqref>
                  </c15:fullRef>
                </c:ext>
              </c:extLst>
              <c:f>(Синдикаты!$B$5:$F$5,Синдикаты!$I$5:$J$5)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3.7259655128222345E-2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  <c:ext xmlns:c15="http://schemas.microsoft.com/office/drawing/2012/chart" uri="{02D57815-91ED-43cb-92C2-25804820EDAC}">
              <c15:categoryFilterExceptions>
                <c15:categoryFilterException>
                  <c15:sqref>Синдикаты!$G$5</c15:sqref>
                  <c15:dLbl>
                    <c:idx val="4"/>
                    <c:layout>
                      <c:manualLayout>
                        <c:x val="1.2475631996361437E-2"/>
                        <c:y val="-1.13960079873752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6r2="http://schemas.microsoft.com/office/drawing/2015/06/chart" xmlns:c16="http://schemas.microsoft.com/office/drawing/2014/chart">
                      <c:ext xmlns:c16="http://schemas.microsoft.com/office/drawing/2014/chart" uri="{C3380CC4-5D6E-409C-BE32-E72D297353CC}">
                        <c16:uniqueId val="{00000000-75B0-4C24-B3F5-C1674759A308}"/>
                      </c:ex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50175472"/>
        <c:axId val="-1550176016"/>
      </c:lineChart>
      <c:catAx>
        <c:axId val="-155017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0163504"/>
        <c:crosses val="autoZero"/>
        <c:auto val="1"/>
        <c:lblAlgn val="ctr"/>
        <c:lblOffset val="100"/>
        <c:noMultiLvlLbl val="0"/>
      </c:catAx>
      <c:valAx>
        <c:axId val="-155016350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0174928"/>
        <c:crosses val="autoZero"/>
        <c:crossBetween val="between"/>
      </c:valAx>
      <c:valAx>
        <c:axId val="-155017601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0175472"/>
        <c:crosses val="max"/>
        <c:crossBetween val="between"/>
      </c:valAx>
      <c:catAx>
        <c:axId val="-155017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50176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550166224"/>
        <c:axId val="-1550165680"/>
      </c:barChart>
      <c:catAx>
        <c:axId val="-155016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0165680"/>
        <c:crosses val="autoZero"/>
        <c:auto val="1"/>
        <c:lblAlgn val="ctr"/>
        <c:lblOffset val="100"/>
        <c:noMultiLvlLbl val="0"/>
      </c:catAx>
      <c:valAx>
        <c:axId val="-1550165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5501662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1235529</xdr:colOff>
      <xdr:row>13</xdr:row>
      <xdr:rowOff>177799</xdr:rowOff>
    </xdr:from>
    <xdr:to>
      <xdr:col>4</xdr:col>
      <xdr:colOff>1066044</xdr:colOff>
      <xdr:row>29</xdr:row>
      <xdr:rowOff>169333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34</xdr:row>
      <xdr:rowOff>153762</xdr:rowOff>
    </xdr:from>
    <xdr:to>
      <xdr:col>4</xdr:col>
      <xdr:colOff>335642</xdr:colOff>
      <xdr:row>47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82</xdr:row>
      <xdr:rowOff>158751</xdr:rowOff>
    </xdr:from>
    <xdr:to>
      <xdr:col>4</xdr:col>
      <xdr:colOff>21166</xdr:colOff>
      <xdr:row>100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92</xdr:row>
      <xdr:rowOff>9069</xdr:rowOff>
    </xdr:from>
    <xdr:to>
      <xdr:col>2</xdr:col>
      <xdr:colOff>687917</xdr:colOff>
      <xdr:row>94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</a:t>
          </a:r>
          <a:r>
            <a:rPr lang="en-US" sz="1600" b="1">
              <a:solidFill>
                <a:sysClr val="windowText" lastClr="000000"/>
              </a:solidFill>
            </a:rPr>
            <a:t>146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101</xdr:row>
      <xdr:rowOff>23131</xdr:rowOff>
    </xdr:from>
    <xdr:to>
      <xdr:col>5</xdr:col>
      <xdr:colOff>340179</xdr:colOff>
      <xdr:row>118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486832</xdr:colOff>
      <xdr:row>54</xdr:row>
      <xdr:rowOff>78316</xdr:rowOff>
    </xdr:from>
    <xdr:to>
      <xdr:col>11</xdr:col>
      <xdr:colOff>222249</xdr:colOff>
      <xdr:row>70</xdr:row>
      <xdr:rowOff>137583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9"/>
  <sheetViews>
    <sheetView topLeftCell="A104" zoomScale="90" zoomScaleNormal="90" workbookViewId="0">
      <selection activeCell="H23" sqref="H23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29" t="s">
        <v>11</v>
      </c>
      <c r="C6" s="229"/>
      <c r="D6" s="229"/>
      <c r="E6" s="229"/>
    </row>
    <row r="8" spans="2:19" x14ac:dyDescent="0.25">
      <c r="B8" s="38" t="s">
        <v>43</v>
      </c>
      <c r="G8" s="232" t="s">
        <v>18</v>
      </c>
      <c r="H8" s="232"/>
    </row>
    <row r="9" spans="2:19" x14ac:dyDescent="0.25">
      <c r="B9" s="5" t="s">
        <v>12</v>
      </c>
      <c r="C9" s="7">
        <v>44256</v>
      </c>
      <c r="D9" s="7">
        <v>44287</v>
      </c>
      <c r="E9" s="8">
        <v>44317</v>
      </c>
      <c r="F9" s="1"/>
      <c r="G9" s="19">
        <f>E9</f>
        <v>44317</v>
      </c>
      <c r="H9" s="24" t="s">
        <v>17</v>
      </c>
      <c r="J9" s="19">
        <v>44287</v>
      </c>
      <c r="K9" s="24" t="s">
        <v>17</v>
      </c>
      <c r="L9" t="s">
        <v>40</v>
      </c>
    </row>
    <row r="10" spans="2:19" x14ac:dyDescent="0.25">
      <c r="B10" s="5" t="s">
        <v>3</v>
      </c>
      <c r="C10" s="14">
        <v>1238.2953151577451</v>
      </c>
      <c r="D10" s="14">
        <v>1258.1382393040278</v>
      </c>
      <c r="E10" s="14">
        <f ca="1">'портефль до погашения'!J3/1000000</f>
        <v>1479.3048183136734</v>
      </c>
      <c r="G10" s="26">
        <f ca="1">'портефль до погашения'!F3/1000000</f>
        <v>61027.714097600016</v>
      </c>
      <c r="H10" s="25">
        <f ca="1">E10/G10</f>
        <v>2.4239885766454569E-2</v>
      </c>
      <c r="J10" s="26">
        <v>54505.861880169999</v>
      </c>
      <c r="K10" s="25">
        <v>2.3082622600666666E-2</v>
      </c>
      <c r="L10" s="2">
        <f ca="1">G10-J10</f>
        <v>6521.852217430016</v>
      </c>
      <c r="M10" t="s">
        <v>41</v>
      </c>
    </row>
    <row r="11" spans="2:19" x14ac:dyDescent="0.25">
      <c r="B11" s="5" t="s">
        <v>4</v>
      </c>
      <c r="C11" s="14">
        <v>507</v>
      </c>
      <c r="D11" s="14">
        <v>501.08319123191905</v>
      </c>
      <c r="E11" s="9">
        <v>745.57405171516007</v>
      </c>
      <c r="G11" s="26">
        <v>20010.22417275206</v>
      </c>
      <c r="H11" s="25">
        <f>E11/G11</f>
        <v>3.7259655128222345E-2</v>
      </c>
      <c r="J11" s="26">
        <v>15355.535384999999</v>
      </c>
      <c r="K11" s="25">
        <v>3.2632088603136586E-2</v>
      </c>
      <c r="L11" s="2">
        <f>G11-J11</f>
        <v>4654.6887877520603</v>
      </c>
    </row>
    <row r="12" spans="2:19" x14ac:dyDescent="0.25">
      <c r="B12" s="5" t="s">
        <v>97</v>
      </c>
      <c r="C12" s="9">
        <v>3365</v>
      </c>
      <c r="D12" s="9">
        <v>3055</v>
      </c>
      <c r="E12" s="9">
        <v>2542</v>
      </c>
      <c r="G12" s="58">
        <v>38456</v>
      </c>
      <c r="H12" s="25">
        <f>E12/G12</f>
        <v>6.610151861868109E-2</v>
      </c>
      <c r="J12" s="58">
        <v>50685</v>
      </c>
      <c r="K12" s="25">
        <v>6.0274242872644768E-2</v>
      </c>
      <c r="L12" s="2">
        <f>G12-J12</f>
        <v>-12229</v>
      </c>
      <c r="O12" s="2"/>
    </row>
    <row r="13" spans="2:19" x14ac:dyDescent="0.25">
      <c r="B13" s="11" t="s">
        <v>5</v>
      </c>
      <c r="C13" s="12">
        <v>5110.2953151577449</v>
      </c>
      <c r="D13" s="12">
        <v>4814.2214305359466</v>
      </c>
      <c r="E13" s="12">
        <f ca="1">E10+E11+E12</f>
        <v>4766.8788700288333</v>
      </c>
      <c r="G13" s="15">
        <f ca="1">SUM(G10:G12)</f>
        <v>119493.93827035208</v>
      </c>
      <c r="H13" s="25">
        <f ca="1">E13/G13</f>
        <v>3.9892223312984192E-2</v>
      </c>
      <c r="J13" s="15">
        <v>120546.39726517</v>
      </c>
      <c r="K13" s="25">
        <v>3.9936667870263599E-2</v>
      </c>
      <c r="L13" s="2">
        <f ca="1">G13-J13</f>
        <v>-1052.45899481792</v>
      </c>
    </row>
    <row r="14" spans="2:19" x14ac:dyDescent="0.25">
      <c r="B14" s="20"/>
      <c r="C14" s="21"/>
      <c r="D14" s="21"/>
      <c r="E14" s="21"/>
      <c r="G14" s="3"/>
      <c r="H14" s="212">
        <f ca="1">AVERAGE(H10:H12)</f>
        <v>4.2533686504452668E-2</v>
      </c>
      <c r="I14" s="17"/>
      <c r="J14" s="3"/>
      <c r="K14" s="212">
        <v>3.8662984692149342E-2</v>
      </c>
      <c r="L14" s="17"/>
      <c r="M14" s="17"/>
      <c r="N14" s="17"/>
      <c r="O14" s="17"/>
      <c r="P14" s="17"/>
      <c r="Q14" s="17"/>
      <c r="S14" s="2"/>
    </row>
    <row r="15" spans="2:19" x14ac:dyDescent="0.25">
      <c r="B15" s="20"/>
      <c r="C15" s="21"/>
      <c r="D15" s="21"/>
      <c r="E15" s="21"/>
      <c r="G15" s="3"/>
      <c r="H15" s="3"/>
      <c r="I15" s="17"/>
      <c r="J15" s="17"/>
      <c r="K15" s="17"/>
      <c r="L15" s="17"/>
      <c r="M15" s="17"/>
      <c r="N15" s="17"/>
      <c r="O15" s="17"/>
      <c r="P15" s="17"/>
      <c r="Q15" s="17"/>
    </row>
    <row r="16" spans="2:19" x14ac:dyDescent="0.25">
      <c r="I16" s="6"/>
      <c r="J16" s="6"/>
      <c r="K16" s="6"/>
      <c r="L16" s="6"/>
      <c r="M16" s="6"/>
      <c r="N16" s="6"/>
      <c r="O16" s="6"/>
      <c r="P16" s="6"/>
    </row>
    <row r="17" spans="2:16" x14ac:dyDescent="0.25">
      <c r="I17" s="6"/>
      <c r="J17" s="6"/>
      <c r="K17" s="6"/>
      <c r="L17" s="6"/>
      <c r="M17" s="6"/>
      <c r="N17" s="6"/>
      <c r="O17" s="6"/>
      <c r="P17" s="6"/>
    </row>
    <row r="18" spans="2:16" x14ac:dyDescent="0.25">
      <c r="G18" s="2"/>
      <c r="I18" s="6"/>
      <c r="J18" s="6"/>
      <c r="K18" s="6"/>
      <c r="L18" s="6"/>
      <c r="M18" s="6"/>
      <c r="N18" s="6"/>
      <c r="O18" s="6"/>
      <c r="P18" s="6"/>
    </row>
    <row r="19" spans="2:16" ht="15" customHeight="1" x14ac:dyDescent="0.25">
      <c r="G19" s="2"/>
      <c r="I19" s="228" t="s">
        <v>37</v>
      </c>
      <c r="J19" s="228"/>
      <c r="K19" s="228"/>
      <c r="L19" s="228"/>
      <c r="M19" s="228"/>
      <c r="N19" s="228"/>
      <c r="O19" s="228"/>
      <c r="P19" s="6"/>
    </row>
    <row r="20" spans="2:16" x14ac:dyDescent="0.25">
      <c r="G20" s="2"/>
      <c r="I20" s="228"/>
      <c r="J20" s="228"/>
      <c r="K20" s="228"/>
      <c r="L20" s="228"/>
      <c r="M20" s="228"/>
      <c r="N20" s="228"/>
      <c r="O20" s="228"/>
      <c r="P20" s="6"/>
    </row>
    <row r="21" spans="2:16" x14ac:dyDescent="0.25">
      <c r="G21" s="2"/>
      <c r="I21" s="228"/>
      <c r="J21" s="228"/>
      <c r="K21" s="228"/>
      <c r="L21" s="228"/>
      <c r="M21" s="228"/>
      <c r="N21" s="228"/>
      <c r="O21" s="228"/>
      <c r="P21" s="6"/>
    </row>
    <row r="22" spans="2:16" x14ac:dyDescent="0.25">
      <c r="I22" s="228"/>
      <c r="J22" s="228"/>
      <c r="K22" s="228"/>
      <c r="L22" s="228"/>
      <c r="M22" s="228"/>
      <c r="N22" s="228"/>
      <c r="O22" s="228"/>
      <c r="P22" s="6"/>
    </row>
    <row r="23" spans="2:16" x14ac:dyDescent="0.25">
      <c r="I23" s="228"/>
      <c r="J23" s="228"/>
      <c r="K23" s="228"/>
      <c r="L23" s="228"/>
      <c r="M23" s="228"/>
      <c r="N23" s="228"/>
      <c r="O23" s="228"/>
      <c r="P23" s="6"/>
    </row>
    <row r="30" spans="2:16" x14ac:dyDescent="0.25">
      <c r="K30" s="2"/>
    </row>
    <row r="32" spans="2:16" x14ac:dyDescent="0.25">
      <c r="B32" s="38" t="s">
        <v>50</v>
      </c>
      <c r="G32" s="232" t="str">
        <f>G8</f>
        <v>Всего портфель (до погашения)</v>
      </c>
      <c r="H32" s="232"/>
    </row>
    <row r="33" spans="2:8" ht="24.75" customHeight="1" x14ac:dyDescent="0.25">
      <c r="B33" s="13" t="s">
        <v>15</v>
      </c>
      <c r="C33" s="18">
        <v>44256</v>
      </c>
      <c r="D33" s="18">
        <v>44287</v>
      </c>
      <c r="E33" s="18">
        <f>E9</f>
        <v>44317</v>
      </c>
      <c r="G33" s="23">
        <f>E33</f>
        <v>44317</v>
      </c>
      <c r="H33" s="24" t="s">
        <v>17</v>
      </c>
    </row>
    <row r="34" spans="2:8" x14ac:dyDescent="0.25">
      <c r="B34" s="5" t="s">
        <v>3</v>
      </c>
      <c r="C34" s="57">
        <v>127.06653913323713</v>
      </c>
      <c r="D34" s="57">
        <v>124.49229304596814</v>
      </c>
      <c r="E34" s="79">
        <f ca="1">'портефль до погашения'!J4/1000000</f>
        <v>111.32945445702924</v>
      </c>
      <c r="G34" s="26">
        <f ca="1">'портефль до погашения'!F4/1000000</f>
        <v>3232.48470677568</v>
      </c>
      <c r="H34" s="25">
        <f ca="1">E34/G34</f>
        <v>3.444082944110121E-2</v>
      </c>
    </row>
    <row r="35" spans="2:8" x14ac:dyDescent="0.25">
      <c r="G35" s="22"/>
    </row>
    <row r="49" spans="2:8" x14ac:dyDescent="0.25">
      <c r="B49" s="38" t="s">
        <v>204</v>
      </c>
      <c r="G49" s="232"/>
      <c r="H49" s="232"/>
    </row>
    <row r="50" spans="2:8" ht="30" x14ac:dyDescent="0.25">
      <c r="B50" s="13" t="s">
        <v>205</v>
      </c>
      <c r="C50" s="18">
        <v>44228</v>
      </c>
      <c r="D50" s="18">
        <v>44287</v>
      </c>
      <c r="E50" s="18">
        <f>E33</f>
        <v>44317</v>
      </c>
      <c r="G50" s="23">
        <f>E50</f>
        <v>44317</v>
      </c>
      <c r="H50" s="24" t="s">
        <v>17</v>
      </c>
    </row>
    <row r="51" spans="2:8" x14ac:dyDescent="0.25">
      <c r="B51" s="5" t="s">
        <v>3</v>
      </c>
      <c r="C51" s="57">
        <v>0</v>
      </c>
      <c r="D51" s="57">
        <v>0</v>
      </c>
      <c r="E51" s="79"/>
      <c r="G51" s="26"/>
      <c r="H51" s="25" t="e">
        <f>E51/G51</f>
        <v>#DIV/0!</v>
      </c>
    </row>
    <row r="55" spans="2:8" x14ac:dyDescent="0.25">
      <c r="B55" s="233" t="s">
        <v>445</v>
      </c>
      <c r="C55" s="233"/>
      <c r="D55" s="4"/>
    </row>
    <row r="56" spans="2:8" x14ac:dyDescent="0.25">
      <c r="B56" s="158" t="s">
        <v>72</v>
      </c>
      <c r="C56" s="56">
        <f>SUMIF('портефль до погашения'!$L$8:$L$100,B56,'портефль до погашения'!$F$8:$F$100)</f>
        <v>1317550000</v>
      </c>
      <c r="D56" s="16">
        <f>C56/$C$67</f>
        <v>2.0503360159388175E-2</v>
      </c>
    </row>
    <row r="57" spans="2:8" x14ac:dyDescent="0.25">
      <c r="B57" s="141" t="s">
        <v>74</v>
      </c>
      <c r="C57" s="56">
        <f>SUMIF('портефль до погашения'!$L$8:$L$100,B57,'портефль до погашения'!$F$8:$F$100)</f>
        <v>0</v>
      </c>
      <c r="D57" s="16">
        <f t="shared" ref="D57:D66" si="0">C57/$C$67</f>
        <v>0</v>
      </c>
    </row>
    <row r="58" spans="2:8" x14ac:dyDescent="0.25">
      <c r="B58" s="141" t="s">
        <v>76</v>
      </c>
      <c r="C58" s="56">
        <f>SUMIF('портефль до погашения'!$L$8:$L$100,B58,'портефль до погашения'!$F$8:$F$100)</f>
        <v>12210262190.9645</v>
      </c>
      <c r="D58" s="16">
        <f t="shared" si="0"/>
        <v>0.19001282937414543</v>
      </c>
    </row>
    <row r="59" spans="2:8" x14ac:dyDescent="0.25">
      <c r="B59" s="141" t="s">
        <v>78</v>
      </c>
      <c r="C59" s="56">
        <f>SUMIF('портефль до погашения'!$L$8:$L$100,B59,'портефль до погашения'!$F$8:$F$100)</f>
        <v>19303643817.929996</v>
      </c>
      <c r="D59" s="16">
        <f t="shared" si="0"/>
        <v>0.30039813410312</v>
      </c>
    </row>
    <row r="60" spans="2:8" x14ac:dyDescent="0.25">
      <c r="B60" s="158" t="s">
        <v>80</v>
      </c>
      <c r="C60" s="56">
        <f>SUMIF('портефль до погашения'!$L$8:$L$100,B60,'портефль до погашения'!$F$8:$F$100)</f>
        <v>12115486472.8575</v>
      </c>
      <c r="D60" s="16">
        <f t="shared" si="0"/>
        <v>0.18853795503714685</v>
      </c>
    </row>
    <row r="61" spans="2:8" x14ac:dyDescent="0.25">
      <c r="B61" s="159" t="s">
        <v>82</v>
      </c>
      <c r="C61" s="56">
        <f>SUMIF('портефль до погашения'!$L$8:$L$100,B61,'портефль до погашения'!$F$8:$F$100)</f>
        <v>10772221122.195601</v>
      </c>
      <c r="D61" s="16">
        <f t="shared" si="0"/>
        <v>0.16763441947929494</v>
      </c>
    </row>
    <row r="62" spans="2:8" x14ac:dyDescent="0.25">
      <c r="B62" s="159" t="s">
        <v>84</v>
      </c>
      <c r="C62" s="56">
        <f>SUMIF('портефль до погашения'!$L$8:$L$100,B62,'портефль до погашения'!$F$8:$F$100)</f>
        <v>7551905333.1280785</v>
      </c>
      <c r="D62" s="16">
        <f t="shared" si="0"/>
        <v>0.11752072781657572</v>
      </c>
    </row>
    <row r="63" spans="2:8" x14ac:dyDescent="0.25">
      <c r="B63" s="158" t="s">
        <v>86</v>
      </c>
      <c r="C63" s="56">
        <f>SUMIF('портефль до погашения'!$L$8:$L$100,B63,'портефль до погашения'!$F$8:$F$100)</f>
        <v>568685399.30999994</v>
      </c>
      <c r="D63" s="16">
        <f t="shared" si="0"/>
        <v>8.8497298466383885E-3</v>
      </c>
    </row>
    <row r="64" spans="2:8" x14ac:dyDescent="0.25">
      <c r="B64" s="158" t="s">
        <v>88</v>
      </c>
      <c r="C64" s="56">
        <f>SUMIF('портефль до погашения'!$L$8:$L$100,B64,'портефль до погашения'!$F$8:$F$100)</f>
        <v>420444467.98999995</v>
      </c>
      <c r="D64" s="16">
        <f t="shared" si="0"/>
        <v>6.5428441836904274E-3</v>
      </c>
    </row>
    <row r="65" spans="2:19" x14ac:dyDescent="0.25">
      <c r="B65" s="158" t="s">
        <v>90</v>
      </c>
      <c r="C65" s="56">
        <f>SUMIF('портефль до погашения'!$L$8:$L$100,B65,'портефль до погашения'!$F$8:$F$100)</f>
        <v>0</v>
      </c>
      <c r="D65" s="16">
        <f t="shared" si="0"/>
        <v>0</v>
      </c>
    </row>
    <row r="66" spans="2:19" x14ac:dyDescent="0.25">
      <c r="B66" s="158" t="s">
        <v>117</v>
      </c>
      <c r="C66" s="56">
        <f>SUMIF('портефль до погашения'!$L$8:$L$100,B66,'портефль до погашения'!$F$8:$F$100)</f>
        <v>0</v>
      </c>
      <c r="D66" s="16">
        <f t="shared" si="0"/>
        <v>0</v>
      </c>
    </row>
    <row r="67" spans="2:19" x14ac:dyDescent="0.25">
      <c r="C67" s="2">
        <f>SUM(C56:C66)</f>
        <v>64260198804.375679</v>
      </c>
      <c r="D67" s="22">
        <f>SUM(D56:D66)</f>
        <v>0.99999999999999989</v>
      </c>
    </row>
    <row r="68" spans="2:19" x14ac:dyDescent="0.25">
      <c r="B68" s="188" t="s">
        <v>446</v>
      </c>
      <c r="C68" s="189">
        <f ca="1">C67-'портефль до погашения'!F2</f>
        <v>0</v>
      </c>
    </row>
    <row r="69" spans="2:19" x14ac:dyDescent="0.25">
      <c r="B69" s="187"/>
      <c r="C69" s="187"/>
    </row>
    <row r="76" spans="2:19" x14ac:dyDescent="0.25">
      <c r="C76" s="1">
        <f>E9</f>
        <v>44317</v>
      </c>
      <c r="D76" s="108" t="s">
        <v>20</v>
      </c>
      <c r="E76" s="1">
        <v>44287</v>
      </c>
      <c r="G76" s="27" t="s">
        <v>39</v>
      </c>
      <c r="S76">
        <v>1</v>
      </c>
    </row>
    <row r="77" spans="2:19" x14ac:dyDescent="0.25">
      <c r="B77" s="5" t="s">
        <v>9</v>
      </c>
      <c r="C77" s="14">
        <f>E11</f>
        <v>745.57405171516007</v>
      </c>
      <c r="E77" s="9">
        <v>501.08319123191905</v>
      </c>
      <c r="G77" s="15">
        <f>C77-E77</f>
        <v>244.49086048324102</v>
      </c>
    </row>
    <row r="78" spans="2:19" x14ac:dyDescent="0.25">
      <c r="B78" s="5" t="s">
        <v>10</v>
      </c>
      <c r="C78" s="14">
        <v>737</v>
      </c>
      <c r="D78" t="s">
        <v>38</v>
      </c>
      <c r="E78" s="9">
        <v>945</v>
      </c>
      <c r="G78" s="15">
        <f t="shared" ref="G78:G82" si="1">C78-E78</f>
        <v>-208</v>
      </c>
    </row>
    <row r="79" spans="2:19" x14ac:dyDescent="0.25">
      <c r="B79" s="5" t="s">
        <v>193</v>
      </c>
      <c r="C79" s="14">
        <f ca="1">E10+E34</f>
        <v>1590.6342727707026</v>
      </c>
      <c r="E79" s="9">
        <v>1382.630532349996</v>
      </c>
      <c r="G79" s="15">
        <f t="shared" ca="1" si="1"/>
        <v>208.00374042070666</v>
      </c>
    </row>
    <row r="80" spans="2:19" ht="30" x14ac:dyDescent="0.25">
      <c r="B80" s="13" t="s">
        <v>478</v>
      </c>
      <c r="C80" s="14">
        <f>C127</f>
        <v>512.42440975579439</v>
      </c>
      <c r="E80" s="9">
        <v>565.81184865851412</v>
      </c>
      <c r="G80" s="15">
        <f t="shared" si="1"/>
        <v>-53.387438902719737</v>
      </c>
    </row>
    <row r="81" spans="2:13" x14ac:dyDescent="0.25">
      <c r="B81" s="5" t="s">
        <v>192</v>
      </c>
      <c r="C81" s="14">
        <f>E12</f>
        <v>2542</v>
      </c>
      <c r="E81" s="9">
        <v>3055</v>
      </c>
      <c r="G81" s="15">
        <f t="shared" si="1"/>
        <v>-513</v>
      </c>
    </row>
    <row r="82" spans="2:13" x14ac:dyDescent="0.25">
      <c r="B82" s="5" t="s">
        <v>31</v>
      </c>
      <c r="C82" s="14">
        <v>18.399999999999999</v>
      </c>
      <c r="D82" t="s">
        <v>30</v>
      </c>
      <c r="E82" s="9">
        <v>20</v>
      </c>
      <c r="G82" s="15">
        <f t="shared" si="1"/>
        <v>-1.6000000000000014</v>
      </c>
    </row>
    <row r="83" spans="2:13" x14ac:dyDescent="0.25">
      <c r="C83" s="2">
        <f ca="1">SUM(C77:C82)</f>
        <v>6146.0327342416567</v>
      </c>
      <c r="E83" s="2">
        <v>6469.525572240429</v>
      </c>
      <c r="G83" s="2">
        <f ca="1">E83-C83</f>
        <v>323.4928379987723</v>
      </c>
    </row>
    <row r="84" spans="2:13" ht="15" customHeight="1" x14ac:dyDescent="0.25">
      <c r="E84" s="231" t="s">
        <v>16</v>
      </c>
      <c r="F84" s="228"/>
      <c r="G84" s="228"/>
      <c r="H84" s="228"/>
      <c r="I84" s="228"/>
    </row>
    <row r="85" spans="2:13" x14ac:dyDescent="0.25">
      <c r="E85" s="228"/>
      <c r="F85" s="228"/>
      <c r="G85" s="228"/>
      <c r="H85" s="228"/>
      <c r="I85" s="228"/>
    </row>
    <row r="86" spans="2:13" x14ac:dyDescent="0.25">
      <c r="E86" s="228"/>
      <c r="F86" s="228"/>
      <c r="G86" s="228"/>
      <c r="H86" s="228"/>
      <c r="I86" s="228"/>
    </row>
    <row r="87" spans="2:13" x14ac:dyDescent="0.25">
      <c r="E87" s="228"/>
      <c r="F87" s="228"/>
      <c r="G87" s="228"/>
      <c r="H87" s="228"/>
      <c r="I87" s="228"/>
      <c r="J87" s="4"/>
      <c r="K87" s="4"/>
      <c r="L87" s="4"/>
      <c r="M87" s="4"/>
    </row>
    <row r="88" spans="2:13" x14ac:dyDescent="0.25">
      <c r="E88" s="228"/>
      <c r="F88" s="228"/>
      <c r="G88" s="228"/>
      <c r="H88" s="228"/>
      <c r="I88" s="228"/>
      <c r="J88" s="4"/>
      <c r="K88" s="4"/>
      <c r="L88" s="4"/>
      <c r="M88" s="4"/>
    </row>
    <row r="89" spans="2:13" x14ac:dyDescent="0.25">
      <c r="E89" s="228"/>
      <c r="F89" s="228"/>
      <c r="G89" s="228"/>
      <c r="H89" s="228"/>
      <c r="I89" s="228"/>
      <c r="J89" s="4"/>
      <c r="K89" s="4"/>
      <c r="L89" s="4"/>
      <c r="M89" s="4"/>
    </row>
    <row r="90" spans="2:13" x14ac:dyDescent="0.25">
      <c r="E90" s="228"/>
      <c r="F90" s="228"/>
      <c r="G90" s="228"/>
      <c r="H90" s="228"/>
      <c r="I90" s="228"/>
      <c r="J90" s="4"/>
      <c r="K90" s="4"/>
      <c r="L90" s="4"/>
      <c r="M90" s="4"/>
    </row>
    <row r="91" spans="2:13" x14ac:dyDescent="0.25">
      <c r="E91" s="228"/>
      <c r="F91" s="228"/>
      <c r="G91" s="228"/>
      <c r="H91" s="228"/>
      <c r="I91" s="228"/>
      <c r="J91" s="4"/>
      <c r="K91" s="4"/>
    </row>
    <row r="92" spans="2:13" x14ac:dyDescent="0.25">
      <c r="E92" s="228"/>
      <c r="F92" s="228"/>
      <c r="G92" s="228"/>
      <c r="H92" s="228"/>
      <c r="I92" s="228"/>
      <c r="J92" s="4"/>
      <c r="K92" s="4"/>
    </row>
    <row r="93" spans="2:13" x14ac:dyDescent="0.25">
      <c r="E93" s="228"/>
      <c r="F93" s="228"/>
      <c r="G93" s="228"/>
      <c r="H93" s="228"/>
      <c r="I93" s="228"/>
      <c r="J93" s="4"/>
      <c r="K93" s="4"/>
    </row>
    <row r="94" spans="2:13" x14ac:dyDescent="0.25">
      <c r="E94" s="228"/>
      <c r="F94" s="228"/>
      <c r="G94" s="228"/>
      <c r="H94" s="228"/>
      <c r="I94" s="228"/>
      <c r="J94" s="4"/>
      <c r="K94" s="4"/>
    </row>
    <row r="95" spans="2:13" x14ac:dyDescent="0.25">
      <c r="G95" s="4"/>
      <c r="H95" s="4"/>
      <c r="I95" s="4"/>
      <c r="J95" s="4"/>
      <c r="K95" s="4"/>
    </row>
    <row r="96" spans="2:13" x14ac:dyDescent="0.25">
      <c r="J96" s="4"/>
      <c r="K96" s="4"/>
    </row>
    <row r="97" spans="2:11" x14ac:dyDescent="0.25">
      <c r="J97" s="4"/>
      <c r="K97" s="4"/>
    </row>
    <row r="98" spans="2:11" x14ac:dyDescent="0.25">
      <c r="G98" s="4"/>
      <c r="H98" s="4"/>
      <c r="I98" s="4"/>
      <c r="J98" s="4"/>
      <c r="K98" s="4"/>
    </row>
    <row r="99" spans="2:11" x14ac:dyDescent="0.25">
      <c r="B99" s="4"/>
      <c r="C99" s="4"/>
      <c r="D99" s="4"/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ht="14.45" customHeight="1" x14ac:dyDescent="0.25">
      <c r="B123" s="230" t="s">
        <v>19</v>
      </c>
      <c r="C123" s="230"/>
      <c r="D123" s="230"/>
      <c r="E123" s="219">
        <f>E9</f>
        <v>44317</v>
      </c>
      <c r="K123" s="6"/>
      <c r="L123" s="6"/>
      <c r="M123" s="6"/>
      <c r="N123" s="6"/>
    </row>
    <row r="124" spans="1:15" ht="75" customHeight="1" x14ac:dyDescent="0.25">
      <c r="A124" s="5"/>
      <c r="B124" s="124" t="s">
        <v>20</v>
      </c>
      <c r="C124" s="24" t="s">
        <v>188</v>
      </c>
      <c r="D124" s="124" t="s">
        <v>470</v>
      </c>
      <c r="E124" s="24" t="s">
        <v>166</v>
      </c>
      <c r="F124" s="81" t="s">
        <v>167</v>
      </c>
      <c r="G124" s="81" t="s">
        <v>168</v>
      </c>
      <c r="H124" s="81" t="s">
        <v>189</v>
      </c>
      <c r="I124" s="24" t="s">
        <v>190</v>
      </c>
      <c r="J124" s="227" t="s">
        <v>469</v>
      </c>
      <c r="K124" s="228"/>
      <c r="L124" s="228"/>
      <c r="M124" s="228"/>
      <c r="N124" s="228"/>
      <c r="O124" s="6"/>
    </row>
    <row r="125" spans="1:15" x14ac:dyDescent="0.25">
      <c r="A125" s="10" t="s">
        <v>165</v>
      </c>
      <c r="B125" s="134">
        <v>43995.969667079997</v>
      </c>
      <c r="C125" s="135">
        <f>D125*B125</f>
        <v>460.33724308077547</v>
      </c>
      <c r="D125" s="136">
        <f>'РейтPD FRED Graph'!K12</f>
        <v>1.0463168480298844E-2</v>
      </c>
      <c r="E125" s="137" t="s">
        <v>78</v>
      </c>
      <c r="F125" s="138">
        <f>VLOOKUP(E125,'РейтPD FRED Graph'!$R$4:$V$26,5,0)</f>
        <v>2.9499026019492382E-3</v>
      </c>
      <c r="G125" s="139">
        <f>F125*B125</f>
        <v>129.78382539619903</v>
      </c>
      <c r="H125" s="139">
        <f>G125+C125</f>
        <v>590.12106847697453</v>
      </c>
      <c r="I125" s="140">
        <f>H125/B125</f>
        <v>1.3413071082248084E-2</v>
      </c>
      <c r="J125" s="227"/>
      <c r="K125" s="228"/>
      <c r="L125" s="228"/>
      <c r="M125" s="228"/>
      <c r="N125" s="228"/>
      <c r="O125" s="6"/>
    </row>
    <row r="126" spans="1:15" x14ac:dyDescent="0.25">
      <c r="A126" s="10" t="s">
        <v>149</v>
      </c>
      <c r="B126" s="134">
        <v>4978.1446961399997</v>
      </c>
      <c r="C126" s="135">
        <f>D126*B126</f>
        <v>52.087166675018914</v>
      </c>
      <c r="D126" s="136">
        <f>'РейтPD FRED Graph'!K12</f>
        <v>1.0463168480298844E-2</v>
      </c>
      <c r="E126" s="137" t="s">
        <v>76</v>
      </c>
      <c r="F126" s="138">
        <f>VLOOKUP(E126,'РейтPD FRED Graph'!$R$4:$V$26,5,0)</f>
        <v>1.3367227501891068E-3</v>
      </c>
      <c r="G126" s="139">
        <f>F126*B126</f>
        <v>6.6543992690635756</v>
      </c>
      <c r="H126" s="139">
        <f>G126+C126</f>
        <v>58.741565944082488</v>
      </c>
      <c r="I126" s="140">
        <f>H126/B126</f>
        <v>1.1799891230487951E-2</v>
      </c>
      <c r="J126" s="213"/>
      <c r="K126" s="214"/>
      <c r="L126" s="214"/>
      <c r="M126" s="214"/>
      <c r="N126" s="214"/>
      <c r="O126" s="6"/>
    </row>
    <row r="127" spans="1:15" x14ac:dyDescent="0.25">
      <c r="B127" s="217">
        <f>SUM(B125:B126)</f>
        <v>48974.114363219996</v>
      </c>
      <c r="C127" s="217">
        <f t="shared" ref="C127:H127" si="2">SUM(C125:C126)</f>
        <v>512.42440975579439</v>
      </c>
      <c r="D127" s="218">
        <f>C127/B127</f>
        <v>1.0463168480298844E-2</v>
      </c>
      <c r="E127" s="217"/>
      <c r="F127" s="217"/>
      <c r="G127" s="217">
        <f t="shared" si="2"/>
        <v>136.43822466526262</v>
      </c>
      <c r="H127" s="217">
        <f t="shared" si="2"/>
        <v>648.86263442105701</v>
      </c>
      <c r="I127" s="218">
        <f>H127/B127</f>
        <v>1.3249093788786484E-2</v>
      </c>
      <c r="J127" s="215"/>
      <c r="K127" s="216"/>
      <c r="L127" s="216"/>
      <c r="M127" s="216"/>
      <c r="N127" s="216"/>
      <c r="O127" s="6"/>
    </row>
    <row r="128" spans="1:15" x14ac:dyDescent="0.25">
      <c r="J128" s="215"/>
      <c r="K128" s="216"/>
      <c r="L128" s="216"/>
      <c r="M128" s="216"/>
      <c r="N128" s="216"/>
      <c r="O128" s="6"/>
    </row>
    <row r="129" spans="1:9" x14ac:dyDescent="0.25">
      <c r="A129" s="10" t="s">
        <v>191</v>
      </c>
      <c r="B129" s="197"/>
      <c r="C129" s="135">
        <f>D129*B129</f>
        <v>0</v>
      </c>
      <c r="D129" s="136">
        <f>VLOOKUP(E129,'РейтPD FRED Graph'!B4:$K$26,9,0)</f>
        <v>3.2694150032581602E-2</v>
      </c>
      <c r="E129" s="137" t="s">
        <v>82</v>
      </c>
      <c r="F129" s="138">
        <f>VLOOKUP(E129,'РейтPD FRED Graph'!$R$4:$V$26,5,0)</f>
        <v>7.1516069880933021E-3</v>
      </c>
      <c r="G129" s="139">
        <f>F129*B129</f>
        <v>0</v>
      </c>
      <c r="H129" s="139">
        <f>G129+C129</f>
        <v>0</v>
      </c>
      <c r="I129" s="140" t="e">
        <f>H129/B129</f>
        <v>#DIV/0!</v>
      </c>
    </row>
  </sheetData>
  <mergeCells count="9">
    <mergeCell ref="J124:N125"/>
    <mergeCell ref="B6:E6"/>
    <mergeCell ref="I19:O23"/>
    <mergeCell ref="B123:D123"/>
    <mergeCell ref="E84:I94"/>
    <mergeCell ref="G8:H8"/>
    <mergeCell ref="G32:H32"/>
    <mergeCell ref="G49:H49"/>
    <mergeCell ref="B55:C5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H7" sqref="H7"/>
    </sheetView>
  </sheetViews>
  <sheetFormatPr defaultColWidth="12.85546875" defaultRowHeight="12.75" x14ac:dyDescent="0.25"/>
  <cols>
    <col min="1" max="1" width="7.5703125" style="28" customWidth="1"/>
    <col min="2" max="2" width="28.5703125" style="28" customWidth="1"/>
    <col min="3" max="3" width="24.7109375" style="28" customWidth="1"/>
    <col min="4" max="4" width="25.42578125" style="28" customWidth="1"/>
    <col min="5" max="5" width="18.5703125" style="28" customWidth="1"/>
    <col min="6" max="6" width="22.7109375" style="28" customWidth="1"/>
    <col min="7" max="7" width="12.85546875" style="28"/>
    <col min="8" max="8" width="15.5703125" style="28" customWidth="1"/>
    <col min="9" max="9" width="14.5703125" style="28" customWidth="1"/>
    <col min="10" max="10" width="12.85546875" style="28"/>
    <col min="11" max="11" width="14.7109375" style="28" customWidth="1"/>
    <col min="12" max="15" width="14.7109375" style="80" bestFit="1" customWidth="1"/>
    <col min="16" max="16" width="12.85546875" style="28"/>
    <col min="17" max="17" width="12.85546875" style="129"/>
    <col min="18" max="18" width="29.5703125" style="28" customWidth="1"/>
    <col min="19" max="16384" width="12.85546875" style="28"/>
  </cols>
  <sheetData>
    <row r="1" spans="1:17" x14ac:dyDescent="0.25">
      <c r="A1" s="236"/>
      <c r="B1" s="236"/>
      <c r="C1" s="236"/>
      <c r="D1" s="237"/>
      <c r="E1" s="61"/>
      <c r="F1" s="34" t="s">
        <v>108</v>
      </c>
      <c r="J1" s="35" t="s">
        <v>109</v>
      </c>
      <c r="K1" s="35"/>
      <c r="L1" s="35"/>
      <c r="M1" s="35"/>
      <c r="N1" s="35"/>
      <c r="O1" s="123" t="str">
        <f>O7</f>
        <v>Стрессс итог</v>
      </c>
      <c r="P1" s="123" t="s">
        <v>197</v>
      </c>
    </row>
    <row r="2" spans="1:17" x14ac:dyDescent="0.25">
      <c r="A2" s="235" t="s">
        <v>13</v>
      </c>
      <c r="B2" s="235"/>
      <c r="C2" s="235"/>
      <c r="D2" s="235"/>
      <c r="E2" s="60"/>
      <c r="F2" s="36">
        <f ca="1">F3+F4</f>
        <v>64260198804.375694</v>
      </c>
      <c r="G2" s="36"/>
      <c r="H2" s="36"/>
      <c r="I2" s="36"/>
      <c r="J2" s="36">
        <f t="shared" ref="J2" ca="1" si="0">J3+J4</f>
        <v>1590634272.7707028</v>
      </c>
      <c r="K2" s="36"/>
      <c r="L2" s="36"/>
      <c r="M2" s="36"/>
      <c r="N2" s="36"/>
      <c r="O2" s="36">
        <f ca="1">O3+O4</f>
        <v>1920651057.7443097</v>
      </c>
      <c r="P2" s="36"/>
    </row>
    <row r="3" spans="1:17" x14ac:dyDescent="0.25">
      <c r="A3" s="234" t="s">
        <v>47</v>
      </c>
      <c r="B3" s="234"/>
      <c r="C3" s="234"/>
      <c r="D3" s="234"/>
      <c r="E3" s="59"/>
      <c r="F3" s="37">
        <f ca="1">SUMIF(A$8:A$1048576,"АББ",(F8:F108))</f>
        <v>61027714097.600014</v>
      </c>
      <c r="G3" s="37"/>
      <c r="H3" s="37"/>
      <c r="I3" s="37"/>
      <c r="J3" s="37">
        <f ca="1">SUMIF(A$8:A$1048576,"АББ",(J8:J108))</f>
        <v>1479304818.3136735</v>
      </c>
      <c r="K3" s="37"/>
      <c r="L3" s="37"/>
      <c r="M3" s="37"/>
      <c r="N3" s="37"/>
      <c r="O3" s="37">
        <f ca="1">SUMIF(A$8:A$1048576,"АББ",(O8:O108))</f>
        <v>1782249833.3455336</v>
      </c>
      <c r="P3" s="132">
        <f ca="1">O3/F3</f>
        <v>2.920394217117863E-2</v>
      </c>
    </row>
    <row r="4" spans="1:17" x14ac:dyDescent="0.25">
      <c r="A4" s="235" t="s">
        <v>48</v>
      </c>
      <c r="B4" s="235"/>
      <c r="C4" s="235"/>
      <c r="D4" s="235"/>
      <c r="E4" s="60"/>
      <c r="F4" s="36">
        <f ca="1">SUMIF(A$8:A$1048576,"АБФ-БО",(F8:F108))</f>
        <v>3232484706.7756801</v>
      </c>
      <c r="G4" s="36"/>
      <c r="H4" s="36"/>
      <c r="I4" s="36"/>
      <c r="J4" s="36">
        <f ca="1">SUMIF(A$8:A$1048576,"АБФ-БО",(J8:J108))</f>
        <v>111329454.45702924</v>
      </c>
      <c r="K4" s="36"/>
      <c r="L4" s="36"/>
      <c r="M4" s="36"/>
      <c r="N4" s="36"/>
      <c r="O4" s="36">
        <f ca="1">SUMIF(A$8:A$1048576,"АБФ-БО",(O8:O108))</f>
        <v>138401224.39877608</v>
      </c>
      <c r="P4" s="133">
        <f ca="1">O4/F4</f>
        <v>4.2815739888473509E-2</v>
      </c>
    </row>
    <row r="6" spans="1:17" x14ac:dyDescent="0.25">
      <c r="D6" s="54" t="s">
        <v>13</v>
      </c>
      <c r="E6" s="54"/>
      <c r="F6" s="55">
        <f>SUM(F8:F100)</f>
        <v>64260198804.375694</v>
      </c>
      <c r="G6" s="55"/>
      <c r="H6" s="55">
        <f t="shared" ref="H6:I6" si="1">SUM(H8:H100)</f>
        <v>168646821.36909595</v>
      </c>
      <c r="I6" s="55">
        <f t="shared" si="1"/>
        <v>1421987451.4016066</v>
      </c>
      <c r="J6" s="55">
        <f>SUM(J8:J100)</f>
        <v>1590634272.7707026</v>
      </c>
      <c r="K6" s="55"/>
      <c r="L6" s="55"/>
      <c r="M6" s="55"/>
      <c r="N6" s="55">
        <f t="shared" ref="N6" si="2">SUM(N8:N100)</f>
        <v>330016784.97360754</v>
      </c>
      <c r="O6" s="55">
        <f>SUM(O8:O100)</f>
        <v>1920651057.7443099</v>
      </c>
    </row>
    <row r="7" spans="1:17" ht="30.75" customHeight="1" x14ac:dyDescent="0.25">
      <c r="A7" s="29" t="s">
        <v>45</v>
      </c>
      <c r="B7" s="29" t="s">
        <v>223</v>
      </c>
      <c r="C7" s="29" t="s">
        <v>103</v>
      </c>
      <c r="D7" s="29" t="s">
        <v>44</v>
      </c>
      <c r="E7" s="62" t="s">
        <v>107</v>
      </c>
      <c r="F7" s="33" t="s">
        <v>479</v>
      </c>
      <c r="G7" s="33" t="s">
        <v>49</v>
      </c>
      <c r="H7" s="33" t="s">
        <v>57</v>
      </c>
      <c r="I7" s="33" t="s">
        <v>58</v>
      </c>
      <c r="J7" s="32" t="s">
        <v>109</v>
      </c>
      <c r="K7" s="32" t="s">
        <v>104</v>
      </c>
      <c r="L7" s="81" t="s">
        <v>166</v>
      </c>
      <c r="M7" s="81" t="s">
        <v>167</v>
      </c>
      <c r="N7" s="81" t="s">
        <v>168</v>
      </c>
      <c r="O7" s="81" t="s">
        <v>169</v>
      </c>
      <c r="Q7" s="128" t="s">
        <v>194</v>
      </c>
    </row>
    <row r="8" spans="1:17" x14ac:dyDescent="0.25">
      <c r="A8" s="29" t="s">
        <v>43</v>
      </c>
      <c r="B8" s="29" t="s">
        <v>485</v>
      </c>
      <c r="C8" s="29" t="s">
        <v>134</v>
      </c>
      <c r="D8" s="29" t="s">
        <v>493</v>
      </c>
      <c r="E8" s="29" t="s">
        <v>554</v>
      </c>
      <c r="F8" s="30">
        <v>75687744.760000005</v>
      </c>
      <c r="G8" s="31">
        <v>2.5445769658936176E-2</v>
      </c>
      <c r="H8" s="30">
        <v>193564.7247034075</v>
      </c>
      <c r="I8" s="30">
        <v>1732368.1944639063</v>
      </c>
      <c r="J8" s="125">
        <f>F8*G8</f>
        <v>1925932.9191673137</v>
      </c>
      <c r="K8" s="53" t="s">
        <v>80</v>
      </c>
      <c r="L8" s="109" t="s">
        <v>82</v>
      </c>
      <c r="M8" s="126">
        <f>VLOOKUP(L8,'РейтPD FRED Graph'!$R$4:$V$26,5,0)</f>
        <v>7.1516069880933021E-3</v>
      </c>
      <c r="N8" s="127">
        <f>M8*F8</f>
        <v>541289.00433863827</v>
      </c>
      <c r="O8" s="127">
        <f>N8+J8</f>
        <v>2467221.9235059521</v>
      </c>
      <c r="Q8" s="130">
        <f>J8-I8-H8</f>
        <v>0</v>
      </c>
    </row>
    <row r="9" spans="1:17" x14ac:dyDescent="0.25">
      <c r="A9" s="29" t="s">
        <v>43</v>
      </c>
      <c r="B9" s="29" t="s">
        <v>485</v>
      </c>
      <c r="C9" s="29" t="s">
        <v>137</v>
      </c>
      <c r="D9" s="29" t="s">
        <v>494</v>
      </c>
      <c r="E9" s="29" t="s">
        <v>555</v>
      </c>
      <c r="F9" s="30">
        <v>345132980.05000001</v>
      </c>
      <c r="G9" s="31">
        <v>1.9110596344166456E-2</v>
      </c>
      <c r="H9" s="30">
        <v>614135.52856268862</v>
      </c>
      <c r="I9" s="30">
        <v>5981561.538232116</v>
      </c>
      <c r="J9" s="125">
        <f t="shared" ref="J9:J39" si="3">F9*G9</f>
        <v>6595697.0667948043</v>
      </c>
      <c r="K9" s="53" t="s">
        <v>78</v>
      </c>
      <c r="L9" s="109" t="s">
        <v>80</v>
      </c>
      <c r="M9" s="126">
        <f>VLOOKUP(L9,'РейтPD FRED Graph'!$R$4:$V$26,5,0)</f>
        <v>4.3231037193945891E-3</v>
      </c>
      <c r="N9" s="127">
        <f t="shared" ref="N9:N65" si="4">M9*F9</f>
        <v>1492045.6697398936</v>
      </c>
      <c r="O9" s="127">
        <f t="shared" ref="O9:O65" si="5">N9+J9</f>
        <v>8087742.7365346979</v>
      </c>
      <c r="Q9" s="130">
        <f t="shared" ref="Q9:Q72" si="6">J9-I9-H9</f>
        <v>0</v>
      </c>
    </row>
    <row r="10" spans="1:17" x14ac:dyDescent="0.25">
      <c r="A10" s="29" t="s">
        <v>43</v>
      </c>
      <c r="B10" s="29" t="s">
        <v>485</v>
      </c>
      <c r="C10" s="29" t="s">
        <v>138</v>
      </c>
      <c r="D10" s="29" t="s">
        <v>495</v>
      </c>
      <c r="E10" s="29" t="s">
        <v>556</v>
      </c>
      <c r="F10" s="30">
        <v>1926102705.49</v>
      </c>
      <c r="G10" s="31">
        <v>3.3927692878581571E-2</v>
      </c>
      <c r="H10" s="30">
        <v>6567783.4832373671</v>
      </c>
      <c r="I10" s="30">
        <v>58780437.561232403</v>
      </c>
      <c r="J10" s="125">
        <f t="shared" si="3"/>
        <v>65348221.044469774</v>
      </c>
      <c r="K10" s="53" t="s">
        <v>80</v>
      </c>
      <c r="L10" s="109" t="s">
        <v>82</v>
      </c>
      <c r="M10" s="126">
        <f>VLOOKUP(L10,'РейтPD FRED Graph'!$R$4:$V$26,5,0)</f>
        <v>7.1516069880933021E-3</v>
      </c>
      <c r="N10" s="127">
        <f t="shared" si="4"/>
        <v>13774729.568367699</v>
      </c>
      <c r="O10" s="127">
        <f t="shared" si="5"/>
        <v>79122950.612837479</v>
      </c>
      <c r="Q10" s="130">
        <f t="shared" si="6"/>
        <v>0</v>
      </c>
    </row>
    <row r="11" spans="1:17" x14ac:dyDescent="0.25">
      <c r="A11" s="29" t="s">
        <v>43</v>
      </c>
      <c r="B11" s="29" t="s">
        <v>485</v>
      </c>
      <c r="C11" s="29" t="s">
        <v>140</v>
      </c>
      <c r="D11" s="29" t="s">
        <v>496</v>
      </c>
      <c r="E11" s="29" t="s">
        <v>557</v>
      </c>
      <c r="F11" s="30">
        <v>66401979.310000002</v>
      </c>
      <c r="G11" s="31">
        <v>5.8927158902003771E-2</v>
      </c>
      <c r="H11" s="30">
        <v>555874.69372756826</v>
      </c>
      <c r="I11" s="30">
        <v>3357005.2924803686</v>
      </c>
      <c r="J11" s="125">
        <f t="shared" si="3"/>
        <v>3912879.9862079369</v>
      </c>
      <c r="K11" s="53" t="s">
        <v>84</v>
      </c>
      <c r="L11" s="109" t="s">
        <v>86</v>
      </c>
      <c r="M11" s="126">
        <f>VLOOKUP(L11,'РейтPD FRED Graph'!$R$4:$V$26,5,0)</f>
        <v>2.0239437618496649E-2</v>
      </c>
      <c r="N11" s="127">
        <f t="shared" si="4"/>
        <v>1343938.7179894501</v>
      </c>
      <c r="O11" s="127">
        <f t="shared" si="5"/>
        <v>5256818.7041973872</v>
      </c>
      <c r="Q11" s="130">
        <f t="shared" si="6"/>
        <v>0</v>
      </c>
    </row>
    <row r="12" spans="1:17" x14ac:dyDescent="0.25">
      <c r="A12" s="29" t="s">
        <v>43</v>
      </c>
      <c r="B12" s="29" t="s">
        <v>485</v>
      </c>
      <c r="C12" s="29" t="s">
        <v>102</v>
      </c>
      <c r="D12" s="29" t="s">
        <v>497</v>
      </c>
      <c r="E12" s="29" t="s">
        <v>558</v>
      </c>
      <c r="F12" s="30">
        <v>230727594.74000001</v>
      </c>
      <c r="G12" s="31">
        <v>2.5445769658936176E-2</v>
      </c>
      <c r="H12" s="30">
        <v>590065.45245790028</v>
      </c>
      <c r="I12" s="30">
        <v>5280975.7772565139</v>
      </c>
      <c r="J12" s="125">
        <f t="shared" si="3"/>
        <v>5871041.2297144141</v>
      </c>
      <c r="K12" s="53" t="s">
        <v>80</v>
      </c>
      <c r="L12" s="109" t="s">
        <v>82</v>
      </c>
      <c r="M12" s="126">
        <f>VLOOKUP(L12,'РейтPD FRED Graph'!$R$4:$V$26,5,0)</f>
        <v>7.1516069880933021E-3</v>
      </c>
      <c r="N12" s="127">
        <f t="shared" si="4"/>
        <v>1650073.0788885434</v>
      </c>
      <c r="O12" s="127">
        <f t="shared" si="5"/>
        <v>7521114.3086029571</v>
      </c>
      <c r="Q12" s="130">
        <f t="shared" si="6"/>
        <v>0</v>
      </c>
    </row>
    <row r="13" spans="1:17" x14ac:dyDescent="0.25">
      <c r="A13" s="29" t="s">
        <v>43</v>
      </c>
      <c r="B13" s="29" t="s">
        <v>485</v>
      </c>
      <c r="C13" s="29" t="s">
        <v>141</v>
      </c>
      <c r="D13" s="29" t="s">
        <v>498</v>
      </c>
      <c r="E13" s="29" t="s">
        <v>559</v>
      </c>
      <c r="F13" s="30">
        <v>569247296.54999995</v>
      </c>
      <c r="G13" s="31">
        <v>2.5445769658936176E-2</v>
      </c>
      <c r="H13" s="30">
        <v>1455799.7017119699</v>
      </c>
      <c r="I13" s="30">
        <v>13029135.885271464</v>
      </c>
      <c r="J13" s="125">
        <f t="shared" si="3"/>
        <v>14484935.586983433</v>
      </c>
      <c r="K13" s="53" t="s">
        <v>80</v>
      </c>
      <c r="L13" s="109" t="s">
        <v>82</v>
      </c>
      <c r="M13" s="126">
        <f>VLOOKUP(L13,'РейтPD FRED Graph'!$R$4:$V$26,5,0)</f>
        <v>7.1516069880933021E-3</v>
      </c>
      <c r="N13" s="127">
        <f t="shared" si="4"/>
        <v>4071032.9439602001</v>
      </c>
      <c r="O13" s="127">
        <f t="shared" si="5"/>
        <v>18555968.530943632</v>
      </c>
      <c r="Q13" s="130">
        <f>J13-I13-H13</f>
        <v>0</v>
      </c>
    </row>
    <row r="14" spans="1:17" x14ac:dyDescent="0.25">
      <c r="A14" s="29" t="s">
        <v>43</v>
      </c>
      <c r="B14" s="29" t="s">
        <v>485</v>
      </c>
      <c r="C14" s="29" t="s">
        <v>142</v>
      </c>
      <c r="D14" s="29" t="s">
        <v>499</v>
      </c>
      <c r="E14" s="29" t="s">
        <v>560</v>
      </c>
      <c r="F14" s="30">
        <v>297958848.05000001</v>
      </c>
      <c r="G14" s="31">
        <v>5.8927158902003771E-2</v>
      </c>
      <c r="H14" s="30">
        <v>2494319.9754629843</v>
      </c>
      <c r="I14" s="30">
        <v>15063548.409837363</v>
      </c>
      <c r="J14" s="125">
        <f t="shared" si="3"/>
        <v>17557868.385300346</v>
      </c>
      <c r="K14" s="53" t="s">
        <v>84</v>
      </c>
      <c r="L14" s="109" t="s">
        <v>84</v>
      </c>
      <c r="M14" s="126">
        <f>VLOOKUP(L14,'РейтPD FRED Graph'!$R$4:$V$26,5,0)</f>
        <v>1.3647274556882657E-2</v>
      </c>
      <c r="N14" s="127">
        <f t="shared" si="4"/>
        <v>4066326.2059908309</v>
      </c>
      <c r="O14" s="127">
        <f t="shared" si="5"/>
        <v>21624194.591291178</v>
      </c>
      <c r="Q14" s="130">
        <f t="shared" si="6"/>
        <v>0</v>
      </c>
    </row>
    <row r="15" spans="1:17" x14ac:dyDescent="0.25">
      <c r="A15" s="29" t="s">
        <v>43</v>
      </c>
      <c r="B15" s="29" t="s">
        <v>485</v>
      </c>
      <c r="C15" s="29" t="s">
        <v>134</v>
      </c>
      <c r="D15" s="29" t="s">
        <v>500</v>
      </c>
      <c r="E15" s="29" t="s">
        <v>561</v>
      </c>
      <c r="F15" s="30">
        <v>755465761.38</v>
      </c>
      <c r="G15" s="31">
        <v>2.5445769658936176E-2</v>
      </c>
      <c r="H15" s="30">
        <v>1932036.9841651209</v>
      </c>
      <c r="I15" s="30">
        <v>17291370.7651232</v>
      </c>
      <c r="J15" s="125">
        <f t="shared" si="3"/>
        <v>19223407.749288321</v>
      </c>
      <c r="K15" s="53" t="s">
        <v>80</v>
      </c>
      <c r="L15" s="109" t="s">
        <v>82</v>
      </c>
      <c r="M15" s="126">
        <f>VLOOKUP(L15,'РейтPD FRED Graph'!$R$4:$V$26,5,0)</f>
        <v>7.1516069880933021E-3</v>
      </c>
      <c r="N15" s="127">
        <f t="shared" si="4"/>
        <v>5402794.2183504347</v>
      </c>
      <c r="O15" s="127">
        <f t="shared" si="5"/>
        <v>24626201.967638753</v>
      </c>
      <c r="Q15" s="130">
        <f t="shared" si="6"/>
        <v>0</v>
      </c>
    </row>
    <row r="16" spans="1:17" x14ac:dyDescent="0.25">
      <c r="A16" s="29" t="s">
        <v>43</v>
      </c>
      <c r="B16" s="29" t="s">
        <v>485</v>
      </c>
      <c r="C16" s="29" t="s">
        <v>146</v>
      </c>
      <c r="D16" s="29" t="s">
        <v>501</v>
      </c>
      <c r="E16" s="29" t="s">
        <v>562</v>
      </c>
      <c r="F16" s="30">
        <v>1446400244.27</v>
      </c>
      <c r="G16" s="31">
        <v>2.5480795125555275E-2</v>
      </c>
      <c r="H16" s="30">
        <v>3431665.7824636013</v>
      </c>
      <c r="I16" s="30">
        <v>33423762.511333372</v>
      </c>
      <c r="J16" s="125">
        <f t="shared" si="3"/>
        <v>36855428.293796971</v>
      </c>
      <c r="K16" s="53" t="s">
        <v>78</v>
      </c>
      <c r="L16" s="109" t="s">
        <v>80</v>
      </c>
      <c r="M16" s="126">
        <f>VLOOKUP(L16,'РейтPD FRED Graph'!$R$4:$V$26,5,0)</f>
        <v>4.3231037193945891E-3</v>
      </c>
      <c r="N16" s="127">
        <f t="shared" si="4"/>
        <v>6252938.2757368786</v>
      </c>
      <c r="O16" s="127">
        <f t="shared" si="5"/>
        <v>43108366.569533847</v>
      </c>
      <c r="Q16" s="130">
        <f t="shared" si="6"/>
        <v>0</v>
      </c>
    </row>
    <row r="17" spans="1:17" x14ac:dyDescent="0.25">
      <c r="A17" s="29" t="s">
        <v>43</v>
      </c>
      <c r="B17" s="29" t="s">
        <v>485</v>
      </c>
      <c r="C17" s="29" t="s">
        <v>147</v>
      </c>
      <c r="D17" s="29" t="s">
        <v>502</v>
      </c>
      <c r="E17" s="29" t="s">
        <v>563</v>
      </c>
      <c r="F17" s="30">
        <v>871083951.26999998</v>
      </c>
      <c r="G17" s="31">
        <v>2.5480795125555275E-2</v>
      </c>
      <c r="H17" s="30">
        <v>2066695.5782596245</v>
      </c>
      <c r="I17" s="30">
        <v>20129216.121210419</v>
      </c>
      <c r="J17" s="125">
        <f t="shared" si="3"/>
        <v>22195911.699470043</v>
      </c>
      <c r="K17" s="53" t="s">
        <v>78</v>
      </c>
      <c r="L17" s="109" t="s">
        <v>82</v>
      </c>
      <c r="M17" s="126">
        <f>VLOOKUP(L17,'РейтPD FRED Graph'!$R$4:$V$26,5,0)</f>
        <v>7.1516069880933021E-3</v>
      </c>
      <c r="N17" s="127">
        <f t="shared" si="4"/>
        <v>6229650.0731184576</v>
      </c>
      <c r="O17" s="127">
        <f t="shared" si="5"/>
        <v>28425561.772588499</v>
      </c>
      <c r="Q17" s="130">
        <f t="shared" si="6"/>
        <v>0</v>
      </c>
    </row>
    <row r="18" spans="1:17" x14ac:dyDescent="0.25">
      <c r="A18" s="29" t="s">
        <v>43</v>
      </c>
      <c r="B18" s="29" t="s">
        <v>485</v>
      </c>
      <c r="C18" s="29" t="s">
        <v>105</v>
      </c>
      <c r="D18" s="29" t="s">
        <v>503</v>
      </c>
      <c r="E18" s="29" t="s">
        <v>564</v>
      </c>
      <c r="F18" s="30">
        <v>146351366.59</v>
      </c>
      <c r="G18" s="31">
        <v>1.0463168480298844E-2</v>
      </c>
      <c r="H18" s="30">
        <v>126079.46385339882</v>
      </c>
      <c r="I18" s="30">
        <v>1405219.5420997506</v>
      </c>
      <c r="J18" s="125">
        <f t="shared" si="3"/>
        <v>1531299.0059531494</v>
      </c>
      <c r="K18" s="53" t="s">
        <v>76</v>
      </c>
      <c r="L18" s="109" t="s">
        <v>76</v>
      </c>
      <c r="M18" s="126">
        <f>VLOOKUP(L18,'РейтPD FRED Graph'!$R$4:$V$26,5,0)</f>
        <v>1.3367227501891068E-3</v>
      </c>
      <c r="N18" s="127">
        <f t="shared" si="4"/>
        <v>195631.20124211896</v>
      </c>
      <c r="O18" s="127">
        <f t="shared" si="5"/>
        <v>1726930.2071952685</v>
      </c>
      <c r="Q18" s="130">
        <f t="shared" si="6"/>
        <v>0</v>
      </c>
    </row>
    <row r="19" spans="1:17" x14ac:dyDescent="0.25">
      <c r="A19" s="29" t="s">
        <v>43</v>
      </c>
      <c r="B19" s="29" t="s">
        <v>485</v>
      </c>
      <c r="C19" s="29" t="s">
        <v>101</v>
      </c>
      <c r="D19" s="29" t="s">
        <v>504</v>
      </c>
      <c r="E19" s="29" t="s">
        <v>565</v>
      </c>
      <c r="F19" s="30">
        <v>227683544.97999999</v>
      </c>
      <c r="G19" s="31">
        <v>1.0463168480298844E-2</v>
      </c>
      <c r="H19" s="30">
        <v>196145.8915497484</v>
      </c>
      <c r="I19" s="30">
        <v>2186145.3997676917</v>
      </c>
      <c r="J19" s="125">
        <f t="shared" si="3"/>
        <v>2382291.2913174401</v>
      </c>
      <c r="K19" s="53" t="s">
        <v>76</v>
      </c>
      <c r="L19" s="109" t="s">
        <v>76</v>
      </c>
      <c r="M19" s="126">
        <f>VLOOKUP(L19,'РейтPD FRED Graph'!$R$4:$V$26,5,0)</f>
        <v>1.3367227501891068E-3</v>
      </c>
      <c r="N19" s="127">
        <f t="shared" si="4"/>
        <v>304349.7744184708</v>
      </c>
      <c r="O19" s="127">
        <f t="shared" si="5"/>
        <v>2686641.065735911</v>
      </c>
      <c r="Q19" s="130">
        <f t="shared" si="6"/>
        <v>0</v>
      </c>
    </row>
    <row r="20" spans="1:17" x14ac:dyDescent="0.25">
      <c r="A20" s="29" t="s">
        <v>43</v>
      </c>
      <c r="B20" s="29" t="s">
        <v>485</v>
      </c>
      <c r="C20" s="29" t="s">
        <v>150</v>
      </c>
      <c r="D20" s="29" t="s">
        <v>505</v>
      </c>
      <c r="E20" s="29" t="s">
        <v>566</v>
      </c>
      <c r="F20" s="30">
        <v>6027388269.3699989</v>
      </c>
      <c r="G20" s="31">
        <v>1.3950891307065127E-2</v>
      </c>
      <c r="H20" s="30">
        <v>6923337.0724612447</v>
      </c>
      <c r="I20" s="30">
        <v>77164101.538998991</v>
      </c>
      <c r="J20" s="125">
        <f t="shared" si="3"/>
        <v>84087438.611460239</v>
      </c>
      <c r="K20" s="53" t="s">
        <v>76</v>
      </c>
      <c r="L20" s="109" t="s">
        <v>78</v>
      </c>
      <c r="M20" s="126">
        <f>VLOOKUP(L20,'РейтPD FRED Graph'!$R$4:$V$26,5,0)</f>
        <v>2.9499026019492382E-3</v>
      </c>
      <c r="N20" s="127">
        <f t="shared" si="4"/>
        <v>17780208.338772874</v>
      </c>
      <c r="O20" s="127">
        <f t="shared" si="5"/>
        <v>101867646.95023312</v>
      </c>
      <c r="Q20" s="130">
        <f t="shared" si="6"/>
        <v>0</v>
      </c>
    </row>
    <row r="21" spans="1:17" x14ac:dyDescent="0.25">
      <c r="A21" s="29" t="s">
        <v>43</v>
      </c>
      <c r="B21" s="29" t="s">
        <v>485</v>
      </c>
      <c r="C21" s="29" t="s">
        <v>151</v>
      </c>
      <c r="D21" s="29" t="s">
        <v>506</v>
      </c>
      <c r="E21" s="29" t="s">
        <v>567</v>
      </c>
      <c r="F21" s="30">
        <v>4823028961.1199999</v>
      </c>
      <c r="G21" s="31">
        <v>1.0463168480298844E-2</v>
      </c>
      <c r="H21" s="30">
        <v>4154965.6811265764</v>
      </c>
      <c r="I21" s="30">
        <v>46309198.924432687</v>
      </c>
      <c r="J21" s="125">
        <f t="shared" si="3"/>
        <v>50464164.60555926</v>
      </c>
      <c r="K21" s="53" t="s">
        <v>76</v>
      </c>
      <c r="L21" s="109" t="s">
        <v>76</v>
      </c>
      <c r="M21" s="126">
        <f>VLOOKUP(L21,'РейтPD FRED Graph'!$R$4:$V$26,5,0)</f>
        <v>1.3367227501891068E-3</v>
      </c>
      <c r="N21" s="127">
        <f t="shared" si="4"/>
        <v>6447052.5371500375</v>
      </c>
      <c r="O21" s="127">
        <f t="shared" si="5"/>
        <v>56911217.1427093</v>
      </c>
      <c r="Q21" s="130">
        <f t="shared" si="6"/>
        <v>-4.1909515857696533E-9</v>
      </c>
    </row>
    <row r="22" spans="1:17" x14ac:dyDescent="0.25">
      <c r="A22" s="29" t="s">
        <v>43</v>
      </c>
      <c r="B22" s="29" t="s">
        <v>485</v>
      </c>
      <c r="C22" s="29" t="s">
        <v>138</v>
      </c>
      <c r="D22" s="29" t="s">
        <v>507</v>
      </c>
      <c r="E22" s="29" t="s">
        <v>568</v>
      </c>
      <c r="F22" s="30">
        <v>185881203.61000001</v>
      </c>
      <c r="G22" s="31">
        <v>3.3927692878581571E-2</v>
      </c>
      <c r="H22" s="30">
        <v>633833.0222133518</v>
      </c>
      <c r="I22" s="30">
        <v>5672687.365767817</v>
      </c>
      <c r="J22" s="125">
        <f t="shared" si="3"/>
        <v>6306520.3879811689</v>
      </c>
      <c r="K22" s="53" t="s">
        <v>80</v>
      </c>
      <c r="L22" s="109" t="s">
        <v>82</v>
      </c>
      <c r="M22" s="126">
        <f>VLOOKUP(L22,'РейтPD FRED Graph'!$R$4:$V$26,5,0)</f>
        <v>7.1516069880933021E-3</v>
      </c>
      <c r="N22" s="127">
        <f t="shared" si="4"/>
        <v>1329349.31469247</v>
      </c>
      <c r="O22" s="127">
        <f t="shared" si="5"/>
        <v>7635869.7026736392</v>
      </c>
      <c r="Q22" s="130">
        <f t="shared" si="6"/>
        <v>0</v>
      </c>
    </row>
    <row r="23" spans="1:17" x14ac:dyDescent="0.25">
      <c r="A23" s="29" t="s">
        <v>43</v>
      </c>
      <c r="B23" s="29" t="s">
        <v>485</v>
      </c>
      <c r="C23" s="29" t="s">
        <v>152</v>
      </c>
      <c r="D23" s="29" t="s">
        <v>508</v>
      </c>
      <c r="E23" s="29" t="s">
        <v>569</v>
      </c>
      <c r="F23" s="30">
        <v>8095295549.8999987</v>
      </c>
      <c r="G23" s="31">
        <v>1.9110596344166456E-2</v>
      </c>
      <c r="H23" s="30">
        <v>14404907.380015584</v>
      </c>
      <c r="I23" s="30">
        <v>140301018.16085032</v>
      </c>
      <c r="J23" s="125">
        <f t="shared" si="3"/>
        <v>154705925.5408659</v>
      </c>
      <c r="K23" s="53" t="s">
        <v>78</v>
      </c>
      <c r="L23" s="109" t="s">
        <v>78</v>
      </c>
      <c r="M23" s="126">
        <f>VLOOKUP(L23,'РейтPD FRED Graph'!$R$4:$V$26,5,0)</f>
        <v>2.9499026019492382E-3</v>
      </c>
      <c r="N23" s="127">
        <f t="shared" si="4"/>
        <v>23880333.406198096</v>
      </c>
      <c r="O23" s="127">
        <f t="shared" si="5"/>
        <v>178586258.94706398</v>
      </c>
      <c r="Q23" s="130">
        <f t="shared" si="6"/>
        <v>0</v>
      </c>
    </row>
    <row r="24" spans="1:17" x14ac:dyDescent="0.25">
      <c r="A24" s="29" t="s">
        <v>43</v>
      </c>
      <c r="B24" s="29" t="s">
        <v>485</v>
      </c>
      <c r="C24" s="29" t="s">
        <v>136</v>
      </c>
      <c r="D24" s="29" t="s">
        <v>509</v>
      </c>
      <c r="E24" s="29" t="s">
        <v>570</v>
      </c>
      <c r="F24" s="30">
        <v>681346692.49000001</v>
      </c>
      <c r="G24" s="31">
        <v>1.0463168480298844E-2</v>
      </c>
      <c r="H24" s="30">
        <v>586969.75429059973</v>
      </c>
      <c r="I24" s="30">
        <v>6542075.4827266382</v>
      </c>
      <c r="J24" s="125">
        <f t="shared" si="3"/>
        <v>7129045.2370172376</v>
      </c>
      <c r="K24" s="53" t="s">
        <v>76</v>
      </c>
      <c r="L24" s="109" t="s">
        <v>78</v>
      </c>
      <c r="M24" s="126">
        <f>VLOOKUP(L24,'РейтPD FRED Graph'!$R$4:$V$26,5,0)</f>
        <v>2.9499026019492382E-3</v>
      </c>
      <c r="N24" s="127">
        <f t="shared" si="4"/>
        <v>2009906.3810057584</v>
      </c>
      <c r="O24" s="127">
        <f t="shared" si="5"/>
        <v>9138951.6180229969</v>
      </c>
      <c r="Q24" s="130">
        <f t="shared" si="6"/>
        <v>0</v>
      </c>
    </row>
    <row r="25" spans="1:17" x14ac:dyDescent="0.25">
      <c r="A25" s="29" t="s">
        <v>43</v>
      </c>
      <c r="B25" s="29" t="s">
        <v>485</v>
      </c>
      <c r="C25" s="29" t="s">
        <v>101</v>
      </c>
      <c r="D25" s="29" t="s">
        <v>510</v>
      </c>
      <c r="E25" s="29" t="s">
        <v>571</v>
      </c>
      <c r="F25" s="30">
        <v>517854119.44</v>
      </c>
      <c r="G25" s="31">
        <v>1.0463168480298844E-2</v>
      </c>
      <c r="H25" s="30">
        <v>446123.40324897511</v>
      </c>
      <c r="I25" s="30">
        <v>4972271.4966685465</v>
      </c>
      <c r="J25" s="125">
        <f t="shared" si="3"/>
        <v>5418394.8999175206</v>
      </c>
      <c r="K25" s="53" t="s">
        <v>76</v>
      </c>
      <c r="L25" s="109" t="s">
        <v>76</v>
      </c>
      <c r="M25" s="126">
        <f>VLOOKUP(L25,'РейтPD FRED Graph'!$R$4:$V$26,5,0)</f>
        <v>1.3367227501891068E-3</v>
      </c>
      <c r="N25" s="127">
        <f t="shared" si="4"/>
        <v>692227.38273459498</v>
      </c>
      <c r="O25" s="127">
        <f t="shared" si="5"/>
        <v>6110622.2826521154</v>
      </c>
      <c r="Q25" s="130">
        <f t="shared" si="6"/>
        <v>-9.8953023552894592E-10</v>
      </c>
    </row>
    <row r="26" spans="1:17" x14ac:dyDescent="0.25">
      <c r="A26" s="29" t="s">
        <v>43</v>
      </c>
      <c r="B26" s="29" t="s">
        <v>485</v>
      </c>
      <c r="C26" s="29" t="s">
        <v>154</v>
      </c>
      <c r="D26" s="29" t="s">
        <v>511</v>
      </c>
      <c r="E26" s="29" t="s">
        <v>572</v>
      </c>
      <c r="F26" s="30">
        <v>795238434.45000005</v>
      </c>
      <c r="G26" s="31">
        <v>1.3950891307065127E-2</v>
      </c>
      <c r="H26" s="30">
        <v>913447.66399945226</v>
      </c>
      <c r="I26" s="30">
        <v>10180837.298213134</v>
      </c>
      <c r="J26" s="125">
        <f t="shared" si="3"/>
        <v>11094284.962212587</v>
      </c>
      <c r="K26" s="53" t="s">
        <v>76</v>
      </c>
      <c r="L26" s="109" t="s">
        <v>78</v>
      </c>
      <c r="M26" s="126">
        <f>VLOOKUP(L26,'РейтPD FRED Graph'!$R$4:$V$26,5,0)</f>
        <v>2.9499026019492382E-3</v>
      </c>
      <c r="N26" s="127">
        <f t="shared" si="4"/>
        <v>2345875.9269540939</v>
      </c>
      <c r="O26" s="127">
        <f t="shared" si="5"/>
        <v>13440160.889166681</v>
      </c>
      <c r="Q26" s="130">
        <f t="shared" si="6"/>
        <v>9.3132257461547852E-10</v>
      </c>
    </row>
    <row r="27" spans="1:17" x14ac:dyDescent="0.25">
      <c r="A27" s="29" t="s">
        <v>43</v>
      </c>
      <c r="B27" s="29" t="s">
        <v>485</v>
      </c>
      <c r="C27" s="29" t="s">
        <v>339</v>
      </c>
      <c r="D27" s="29" t="s">
        <v>512</v>
      </c>
      <c r="E27" s="29" t="s">
        <v>573</v>
      </c>
      <c r="F27" s="30">
        <v>420444467.98999995</v>
      </c>
      <c r="G27" s="31">
        <v>0.10092766245929954</v>
      </c>
      <c r="H27" s="30">
        <v>8626792.9490002114</v>
      </c>
      <c r="I27" s="30">
        <v>33807684.399174273</v>
      </c>
      <c r="J27" s="125">
        <f t="shared" si="3"/>
        <v>42434477.34817449</v>
      </c>
      <c r="K27" s="53" t="s">
        <v>88</v>
      </c>
      <c r="L27" s="109" t="s">
        <v>88</v>
      </c>
      <c r="M27" s="126">
        <f>VLOOKUP(L27,'РейтPD FRED Graph'!$R$4:$V$26,5,0)</f>
        <v>2.8424720798995207E-2</v>
      </c>
      <c r="N27" s="127">
        <f t="shared" si="4"/>
        <v>11951016.614097826</v>
      </c>
      <c r="O27" s="127">
        <f t="shared" si="5"/>
        <v>54385493.962272316</v>
      </c>
      <c r="Q27" s="130">
        <f t="shared" si="6"/>
        <v>0</v>
      </c>
    </row>
    <row r="28" spans="1:17" x14ac:dyDescent="0.25">
      <c r="A28" s="29" t="s">
        <v>43</v>
      </c>
      <c r="B28" s="29" t="s">
        <v>485</v>
      </c>
      <c r="C28" s="29" t="s">
        <v>105</v>
      </c>
      <c r="D28" s="29" t="s">
        <v>513</v>
      </c>
      <c r="E28" s="29" t="s">
        <v>574</v>
      </c>
      <c r="F28" s="30">
        <v>642127513.24000001</v>
      </c>
      <c r="G28" s="31">
        <v>1.0463168480298844E-2</v>
      </c>
      <c r="H28" s="30">
        <v>553183.0312293598</v>
      </c>
      <c r="I28" s="30">
        <v>6165505.325636087</v>
      </c>
      <c r="J28" s="125">
        <f t="shared" si="3"/>
        <v>6718688.356865447</v>
      </c>
      <c r="K28" s="53" t="s">
        <v>76</v>
      </c>
      <c r="L28" s="109" t="s">
        <v>80</v>
      </c>
      <c r="M28" s="126">
        <f>VLOOKUP(L28,'РейтPD FRED Graph'!$R$4:$V$26,5,0)</f>
        <v>4.3231037193945891E-3</v>
      </c>
      <c r="N28" s="127">
        <f t="shared" si="4"/>
        <v>2775983.8408134421</v>
      </c>
      <c r="O28" s="127">
        <f t="shared" si="5"/>
        <v>9494672.1976788901</v>
      </c>
      <c r="Q28" s="130">
        <f t="shared" si="6"/>
        <v>0</v>
      </c>
    </row>
    <row r="29" spans="1:17" x14ac:dyDescent="0.25">
      <c r="A29" s="29" t="s">
        <v>43</v>
      </c>
      <c r="B29" s="29" t="s">
        <v>485</v>
      </c>
      <c r="C29" s="29" t="s">
        <v>139</v>
      </c>
      <c r="D29" s="29" t="s">
        <v>514</v>
      </c>
      <c r="E29" s="29" t="s">
        <v>575</v>
      </c>
      <c r="F29" s="30">
        <v>2058904686.6100001</v>
      </c>
      <c r="G29" s="31">
        <v>4.919714419657685E-2</v>
      </c>
      <c r="H29" s="30">
        <v>11540045.785076387</v>
      </c>
      <c r="I29" s="30">
        <v>89752184.969083667</v>
      </c>
      <c r="J29" s="125">
        <f t="shared" si="3"/>
        <v>101292230.75416005</v>
      </c>
      <c r="K29" s="53" t="s">
        <v>82</v>
      </c>
      <c r="L29" s="109" t="s">
        <v>84</v>
      </c>
      <c r="M29" s="126">
        <f>VLOOKUP(L29,'РейтPD FRED Graph'!$R$4:$V$26,5,0)</f>
        <v>1.3647274556882657E-2</v>
      </c>
      <c r="N29" s="127">
        <f t="shared" si="4"/>
        <v>28098437.544619117</v>
      </c>
      <c r="O29" s="127">
        <f t="shared" si="5"/>
        <v>129390668.29877916</v>
      </c>
      <c r="Q29" s="130">
        <f t="shared" si="6"/>
        <v>0</v>
      </c>
    </row>
    <row r="30" spans="1:17" ht="27.75" customHeight="1" x14ac:dyDescent="0.25">
      <c r="A30" s="29" t="s">
        <v>43</v>
      </c>
      <c r="B30" s="29" t="s">
        <v>485</v>
      </c>
      <c r="C30" s="29" t="s">
        <v>139</v>
      </c>
      <c r="D30" s="29" t="s">
        <v>515</v>
      </c>
      <c r="E30" s="29" t="s">
        <v>576</v>
      </c>
      <c r="F30" s="30">
        <v>1129075955.3</v>
      </c>
      <c r="G30" s="31">
        <v>4.919714419657685E-2</v>
      </c>
      <c r="H30" s="30">
        <v>6328407.6741037304</v>
      </c>
      <c r="I30" s="30">
        <v>49218904.907678127</v>
      </c>
      <c r="J30" s="125">
        <f t="shared" si="3"/>
        <v>55547312.581781857</v>
      </c>
      <c r="K30" s="53" t="s">
        <v>82</v>
      </c>
      <c r="L30" s="109" t="s">
        <v>84</v>
      </c>
      <c r="M30" s="126">
        <f>VLOOKUP(L30,'РейтPD FRED Graph'!$R$4:$V$26,5,0)</f>
        <v>1.3647274556882657E-2</v>
      </c>
      <c r="N30" s="127">
        <f t="shared" si="4"/>
        <v>15408809.557553669</v>
      </c>
      <c r="O30" s="127">
        <f t="shared" si="5"/>
        <v>70956122.139335528</v>
      </c>
      <c r="Q30" s="130">
        <f t="shared" si="6"/>
        <v>0</v>
      </c>
    </row>
    <row r="31" spans="1:17" x14ac:dyDescent="0.25">
      <c r="A31" s="29" t="s">
        <v>43</v>
      </c>
      <c r="B31" s="29" t="s">
        <v>486</v>
      </c>
      <c r="C31" s="29" t="s">
        <v>134</v>
      </c>
      <c r="D31" s="29" t="s">
        <v>516</v>
      </c>
      <c r="E31" s="29" t="s">
        <v>577</v>
      </c>
      <c r="F31" s="30">
        <v>219696915.30000001</v>
      </c>
      <c r="G31" s="31">
        <v>2.5445769658936176E-2</v>
      </c>
      <c r="H31" s="30">
        <v>561855.46369597409</v>
      </c>
      <c r="I31" s="30">
        <v>5028501.6378066372</v>
      </c>
      <c r="J31" s="125">
        <f t="shared" si="3"/>
        <v>5590357.1015026113</v>
      </c>
      <c r="K31" s="53" t="s">
        <v>80</v>
      </c>
      <c r="L31" s="109" t="s">
        <v>80</v>
      </c>
      <c r="M31" s="126">
        <f>VLOOKUP(L31,'РейтPD FRED Graph'!$R$4:$V$26,5,0)</f>
        <v>4.3231037193945891E-3</v>
      </c>
      <c r="N31" s="127">
        <f t="shared" si="4"/>
        <v>949772.55167294806</v>
      </c>
      <c r="O31" s="127">
        <f t="shared" si="5"/>
        <v>6540129.6531755589</v>
      </c>
      <c r="Q31" s="130">
        <f t="shared" si="6"/>
        <v>0</v>
      </c>
    </row>
    <row r="32" spans="1:17" x14ac:dyDescent="0.25">
      <c r="A32" s="29" t="s">
        <v>43</v>
      </c>
      <c r="B32" s="29" t="s">
        <v>486</v>
      </c>
      <c r="C32" s="29" t="s">
        <v>156</v>
      </c>
      <c r="D32" s="29" t="s">
        <v>517</v>
      </c>
      <c r="E32" s="29" t="s">
        <v>578</v>
      </c>
      <c r="F32" s="30">
        <v>84503285.169999987</v>
      </c>
      <c r="G32" s="31">
        <v>1.0463168480298844E-2</v>
      </c>
      <c r="H32" s="30">
        <v>72798.287684813782</v>
      </c>
      <c r="I32" s="30">
        <v>811373.82218763488</v>
      </c>
      <c r="J32" s="125">
        <f t="shared" si="3"/>
        <v>884172.10987244861</v>
      </c>
      <c r="K32" s="53" t="s">
        <v>76</v>
      </c>
      <c r="L32" s="109" t="s">
        <v>78</v>
      </c>
      <c r="M32" s="126">
        <f>VLOOKUP(L32,'РейтPD FRED Graph'!$R$4:$V$26,5,0)</f>
        <v>2.9499026019492382E-3</v>
      </c>
      <c r="N32" s="127">
        <f t="shared" si="4"/>
        <v>249276.46079624144</v>
      </c>
      <c r="O32" s="127">
        <f t="shared" si="5"/>
        <v>1133448.5706686901</v>
      </c>
      <c r="Q32" s="130">
        <f t="shared" si="6"/>
        <v>0</v>
      </c>
    </row>
    <row r="33" spans="1:17" x14ac:dyDescent="0.25">
      <c r="A33" s="29" t="s">
        <v>43</v>
      </c>
      <c r="B33" s="29" t="s">
        <v>486</v>
      </c>
      <c r="C33" s="29" t="s">
        <v>146</v>
      </c>
      <c r="D33" s="29" t="s">
        <v>518</v>
      </c>
      <c r="E33" s="29" t="s">
        <v>579</v>
      </c>
      <c r="F33" s="30">
        <v>50946415.689999998</v>
      </c>
      <c r="G33" s="31">
        <v>2.5480795125555275E-2</v>
      </c>
      <c r="H33" s="30">
        <v>120873.23142756878</v>
      </c>
      <c r="I33" s="30">
        <v>1177281.9491506959</v>
      </c>
      <c r="J33" s="125">
        <f t="shared" si="3"/>
        <v>1298155.1805782646</v>
      </c>
      <c r="K33" s="53" t="s">
        <v>78</v>
      </c>
      <c r="L33" s="109" t="s">
        <v>80</v>
      </c>
      <c r="M33" s="126">
        <f>VLOOKUP(L33,'РейтPD FRED Graph'!$R$4:$V$26,5,0)</f>
        <v>4.3231037193945891E-3</v>
      </c>
      <c r="N33" s="127">
        <f t="shared" si="4"/>
        <v>220246.63915926183</v>
      </c>
      <c r="O33" s="127">
        <f t="shared" si="5"/>
        <v>1518401.8197375266</v>
      </c>
      <c r="Q33" s="130">
        <f t="shared" si="6"/>
        <v>0</v>
      </c>
    </row>
    <row r="34" spans="1:17" ht="24.75" customHeight="1" x14ac:dyDescent="0.25">
      <c r="A34" s="29" t="s">
        <v>43</v>
      </c>
      <c r="B34" s="29" t="s">
        <v>486</v>
      </c>
      <c r="C34" s="29" t="s">
        <v>134</v>
      </c>
      <c r="D34" s="29" t="s">
        <v>519</v>
      </c>
      <c r="E34" s="29" t="s">
        <v>580</v>
      </c>
      <c r="F34" s="30">
        <v>482100651.27999997</v>
      </c>
      <c r="G34" s="31">
        <v>2.5445769658936176E-2</v>
      </c>
      <c r="H34" s="30">
        <v>1232929.8506680285</v>
      </c>
      <c r="I34" s="30">
        <v>11034492.274225965</v>
      </c>
      <c r="J34" s="125">
        <f t="shared" si="3"/>
        <v>12267422.124893993</v>
      </c>
      <c r="K34" s="53" t="s">
        <v>80</v>
      </c>
      <c r="L34" s="109" t="s">
        <v>80</v>
      </c>
      <c r="M34" s="126">
        <f>VLOOKUP(L34,'РейтPD FRED Graph'!$R$4:$V$26,5,0)</f>
        <v>4.3231037193945891E-3</v>
      </c>
      <c r="N34" s="127">
        <f t="shared" si="4"/>
        <v>2084171.1186711215</v>
      </c>
      <c r="O34" s="127">
        <f t="shared" si="5"/>
        <v>14351593.243565114</v>
      </c>
      <c r="Q34" s="130">
        <f t="shared" si="6"/>
        <v>0</v>
      </c>
    </row>
    <row r="35" spans="1:17" x14ac:dyDescent="0.25">
      <c r="A35" s="29" t="s">
        <v>43</v>
      </c>
      <c r="B35" s="29" t="s">
        <v>486</v>
      </c>
      <c r="C35" s="29" t="s">
        <v>134</v>
      </c>
      <c r="D35" s="29" t="s">
        <v>520</v>
      </c>
      <c r="E35" s="29" t="s">
        <v>581</v>
      </c>
      <c r="F35" s="30">
        <v>579146029.77999997</v>
      </c>
      <c r="G35" s="31">
        <v>2.5445769658936176E-2</v>
      </c>
      <c r="H35" s="30">
        <v>1481114.8379820893</v>
      </c>
      <c r="I35" s="30">
        <v>13255701.634687182</v>
      </c>
      <c r="J35" s="125">
        <f t="shared" si="3"/>
        <v>14736816.47266927</v>
      </c>
      <c r="K35" s="53" t="s">
        <v>80</v>
      </c>
      <c r="L35" s="109" t="s">
        <v>80</v>
      </c>
      <c r="M35" s="126">
        <f>VLOOKUP(L35,'РейтPD FRED Graph'!$R$4:$V$26,5,0)</f>
        <v>4.3231037193945891E-3</v>
      </c>
      <c r="N35" s="127">
        <f t="shared" si="4"/>
        <v>2503708.3554145275</v>
      </c>
      <c r="O35" s="127">
        <f t="shared" si="5"/>
        <v>17240524.828083798</v>
      </c>
      <c r="Q35" s="130">
        <f t="shared" si="6"/>
        <v>0</v>
      </c>
    </row>
    <row r="36" spans="1:17" x14ac:dyDescent="0.25">
      <c r="A36" s="29" t="s">
        <v>43</v>
      </c>
      <c r="B36" s="29" t="s">
        <v>486</v>
      </c>
      <c r="C36" s="29" t="s">
        <v>158</v>
      </c>
      <c r="D36" s="29" t="s">
        <v>521</v>
      </c>
      <c r="E36" s="29" t="s">
        <v>582</v>
      </c>
      <c r="F36" s="30">
        <v>565502214.17999983</v>
      </c>
      <c r="G36" s="31">
        <v>3.6897858147432641E-2</v>
      </c>
      <c r="H36" s="30">
        <v>2377206.2467146949</v>
      </c>
      <c r="I36" s="30">
        <v>18488614.234158009</v>
      </c>
      <c r="J36" s="125">
        <f t="shared" si="3"/>
        <v>20865820.480872706</v>
      </c>
      <c r="K36" s="53" t="s">
        <v>82</v>
      </c>
      <c r="L36" s="109" t="s">
        <v>84</v>
      </c>
      <c r="M36" s="126">
        <f>VLOOKUP(L36,'РейтPD FRED Graph'!$R$4:$V$26,5,0)</f>
        <v>1.3647274556882657E-2</v>
      </c>
      <c r="N36" s="127">
        <f t="shared" si="4"/>
        <v>7717563.9794395184</v>
      </c>
      <c r="O36" s="127">
        <f t="shared" si="5"/>
        <v>28583384.460312225</v>
      </c>
      <c r="Q36" s="130">
        <f t="shared" si="6"/>
        <v>0</v>
      </c>
    </row>
    <row r="37" spans="1:17" x14ac:dyDescent="0.25">
      <c r="A37" s="29" t="s">
        <v>43</v>
      </c>
      <c r="B37" s="29" t="s">
        <v>486</v>
      </c>
      <c r="C37" s="29" t="s">
        <v>134</v>
      </c>
      <c r="D37" s="29" t="s">
        <v>522</v>
      </c>
      <c r="E37" s="29" t="s">
        <v>583</v>
      </c>
      <c r="F37" s="30">
        <v>596016891.79999995</v>
      </c>
      <c r="G37" s="31">
        <v>2.5445769658936176E-2</v>
      </c>
      <c r="H37" s="30">
        <v>1524260.5780588409</v>
      </c>
      <c r="I37" s="30">
        <v>13641847.963519044</v>
      </c>
      <c r="J37" s="125">
        <f t="shared" si="3"/>
        <v>15166108.541577885</v>
      </c>
      <c r="K37" s="53" t="s">
        <v>80</v>
      </c>
      <c r="L37" s="109" t="s">
        <v>80</v>
      </c>
      <c r="M37" s="126">
        <f>VLOOKUP(L37,'РейтPD FRED Graph'!$R$4:$V$26,5,0)</f>
        <v>4.3231037193945891E-3</v>
      </c>
      <c r="N37" s="127">
        <f t="shared" si="4"/>
        <v>2576642.8417625823</v>
      </c>
      <c r="O37" s="127">
        <f t="shared" si="5"/>
        <v>17742751.383340467</v>
      </c>
      <c r="Q37" s="130">
        <f t="shared" si="6"/>
        <v>0</v>
      </c>
    </row>
    <row r="38" spans="1:17" x14ac:dyDescent="0.25">
      <c r="A38" s="29" t="s">
        <v>43</v>
      </c>
      <c r="B38" s="29" t="s">
        <v>486</v>
      </c>
      <c r="C38" s="29" t="s">
        <v>7</v>
      </c>
      <c r="D38" s="29" t="s">
        <v>523</v>
      </c>
      <c r="E38" s="29" t="s">
        <v>584</v>
      </c>
      <c r="F38" s="30">
        <v>961779900.5</v>
      </c>
      <c r="G38" s="31">
        <v>3.6897858147432641E-2</v>
      </c>
      <c r="H38" s="30">
        <v>4043041.9724324737</v>
      </c>
      <c r="I38" s="30">
        <v>31444576.365268406</v>
      </c>
      <c r="J38" s="125">
        <f t="shared" si="3"/>
        <v>35487618.337700881</v>
      </c>
      <c r="K38" s="53" t="s">
        <v>82</v>
      </c>
      <c r="L38" s="109" t="s">
        <v>84</v>
      </c>
      <c r="M38" s="126">
        <f>VLOOKUP(L38,'РейтPD FRED Graph'!$R$4:$V$26,5,0)</f>
        <v>1.3647274556882657E-2</v>
      </c>
      <c r="N38" s="127">
        <f t="shared" si="4"/>
        <v>13125674.365414783</v>
      </c>
      <c r="O38" s="127">
        <f t="shared" si="5"/>
        <v>48613292.703115664</v>
      </c>
      <c r="Q38" s="130">
        <f t="shared" si="6"/>
        <v>0</v>
      </c>
    </row>
    <row r="39" spans="1:17" x14ac:dyDescent="0.25">
      <c r="A39" s="29" t="s">
        <v>43</v>
      </c>
      <c r="B39" s="29" t="s">
        <v>486</v>
      </c>
      <c r="C39" s="29" t="s">
        <v>158</v>
      </c>
      <c r="D39" s="29" t="s">
        <v>524</v>
      </c>
      <c r="E39" s="29" t="s">
        <v>585</v>
      </c>
      <c r="F39" s="30">
        <v>148274383.03999999</v>
      </c>
      <c r="G39" s="31">
        <v>3.6897858147432641E-2</v>
      </c>
      <c r="H39" s="30">
        <v>623302.22720977908</v>
      </c>
      <c r="I39" s="30">
        <v>4847704.9250982329</v>
      </c>
      <c r="J39" s="125">
        <f t="shared" si="3"/>
        <v>5471007.1523080124</v>
      </c>
      <c r="K39" s="53" t="s">
        <v>82</v>
      </c>
      <c r="L39" s="109" t="s">
        <v>84</v>
      </c>
      <c r="M39" s="126">
        <f>VLOOKUP(L39,'РейтPD FRED Graph'!$R$4:$V$26,5,0)</f>
        <v>1.3647274556882657E-2</v>
      </c>
      <c r="N39" s="127">
        <f t="shared" si="4"/>
        <v>2023541.2150992653</v>
      </c>
      <c r="O39" s="127">
        <f t="shared" si="5"/>
        <v>7494548.3674072772</v>
      </c>
      <c r="Q39" s="130">
        <f t="shared" si="6"/>
        <v>0</v>
      </c>
    </row>
    <row r="40" spans="1:17" x14ac:dyDescent="0.25">
      <c r="A40" s="29" t="s">
        <v>43</v>
      </c>
      <c r="B40" s="29" t="s">
        <v>486</v>
      </c>
      <c r="C40" s="29" t="s">
        <v>134</v>
      </c>
      <c r="D40" s="29" t="s">
        <v>525</v>
      </c>
      <c r="E40" s="29" t="s">
        <v>586</v>
      </c>
      <c r="F40" s="30">
        <v>376388504.98000002</v>
      </c>
      <c r="G40" s="31">
        <v>2.5445769658936176E-2</v>
      </c>
      <c r="H40" s="30">
        <v>962580.36990004277</v>
      </c>
      <c r="I40" s="30">
        <v>8614914.830092391</v>
      </c>
      <c r="J40" s="125">
        <f t="shared" ref="J40:J71" si="7">F40*G40</f>
        <v>9577495.1999924332</v>
      </c>
      <c r="K40" s="53" t="s">
        <v>80</v>
      </c>
      <c r="L40" s="109" t="s">
        <v>80</v>
      </c>
      <c r="M40" s="126">
        <f>VLOOKUP(L40,'РейтPD FRED Graph'!$R$4:$V$26,5,0)</f>
        <v>4.3231037193945891E-3</v>
      </c>
      <c r="N40" s="127">
        <f t="shared" si="4"/>
        <v>1627166.5458164068</v>
      </c>
      <c r="O40" s="127">
        <f t="shared" si="5"/>
        <v>11204661.74580884</v>
      </c>
      <c r="Q40" s="130">
        <f t="shared" si="6"/>
        <v>0</v>
      </c>
    </row>
    <row r="41" spans="1:17" x14ac:dyDescent="0.25">
      <c r="A41" s="29" t="s">
        <v>43</v>
      </c>
      <c r="B41" s="29" t="s">
        <v>486</v>
      </c>
      <c r="C41" s="29" t="s">
        <v>159</v>
      </c>
      <c r="D41" s="29" t="s">
        <v>526</v>
      </c>
      <c r="E41" s="29" t="s">
        <v>587</v>
      </c>
      <c r="F41" s="30">
        <v>1531374607.8400002</v>
      </c>
      <c r="G41" s="31">
        <v>3.3927692878581571E-2</v>
      </c>
      <c r="H41" s="30">
        <v>5221807.1379853897</v>
      </c>
      <c r="I41" s="30">
        <v>46734200.23886843</v>
      </c>
      <c r="J41" s="125">
        <f t="shared" si="7"/>
        <v>51956007.376853816</v>
      </c>
      <c r="K41" s="53" t="s">
        <v>80</v>
      </c>
      <c r="L41" s="109" t="s">
        <v>80</v>
      </c>
      <c r="M41" s="126">
        <f>VLOOKUP(L41,'РейтPD FRED Graph'!$R$4:$V$26,5,0)</f>
        <v>4.3231037193945891E-3</v>
      </c>
      <c r="N41" s="127">
        <f t="shared" si="4"/>
        <v>6620291.2629395351</v>
      </c>
      <c r="O41" s="127">
        <f t="shared" si="5"/>
        <v>58576298.639793351</v>
      </c>
      <c r="Q41" s="130">
        <f t="shared" si="6"/>
        <v>0</v>
      </c>
    </row>
    <row r="42" spans="1:17" x14ac:dyDescent="0.25">
      <c r="A42" s="29" t="s">
        <v>43</v>
      </c>
      <c r="B42" s="29" t="s">
        <v>486</v>
      </c>
      <c r="C42" s="29" t="s">
        <v>489</v>
      </c>
      <c r="D42" s="29" t="s">
        <v>527</v>
      </c>
      <c r="E42" s="29" t="s">
        <v>588</v>
      </c>
      <c r="F42" s="30">
        <v>1250427640.76</v>
      </c>
      <c r="G42" s="31">
        <v>1.0463168480298844E-2</v>
      </c>
      <c r="H42" s="30">
        <v>1077224.2870553653</v>
      </c>
      <c r="I42" s="30">
        <v>12006210.790639114</v>
      </c>
      <c r="J42" s="125">
        <f t="shared" si="7"/>
        <v>13083435.077694478</v>
      </c>
      <c r="K42" s="53" t="s">
        <v>76</v>
      </c>
      <c r="L42" s="109" t="s">
        <v>76</v>
      </c>
      <c r="M42" s="126">
        <f>VLOOKUP(L42,'РейтPD FRED Graph'!$R$4:$V$26,5,0)</f>
        <v>1.3367227501891068E-3</v>
      </c>
      <c r="N42" s="127">
        <f t="shared" si="4"/>
        <v>1671475.0748691836</v>
      </c>
      <c r="O42" s="127">
        <f t="shared" si="5"/>
        <v>14754910.152563661</v>
      </c>
      <c r="Q42" s="130">
        <f t="shared" si="6"/>
        <v>0</v>
      </c>
    </row>
    <row r="43" spans="1:17" x14ac:dyDescent="0.25">
      <c r="A43" s="29" t="s">
        <v>43</v>
      </c>
      <c r="B43" s="29" t="s">
        <v>486</v>
      </c>
      <c r="C43" s="29" t="s">
        <v>146</v>
      </c>
      <c r="D43" s="29" t="s">
        <v>528</v>
      </c>
      <c r="E43" s="29" t="s">
        <v>589</v>
      </c>
      <c r="F43" s="30">
        <v>1017837202.63</v>
      </c>
      <c r="G43" s="31">
        <v>2.5480795125555275E-2</v>
      </c>
      <c r="H43" s="30">
        <v>2414875.9060440436</v>
      </c>
      <c r="I43" s="30">
        <v>23520425.325339276</v>
      </c>
      <c r="J43" s="125">
        <f t="shared" si="7"/>
        <v>25935301.23138332</v>
      </c>
      <c r="K43" s="53" t="s">
        <v>78</v>
      </c>
      <c r="L43" s="109" t="s">
        <v>80</v>
      </c>
      <c r="M43" s="126">
        <f>VLOOKUP(L43,'РейтPD FRED Graph'!$R$4:$V$26,5,0)</f>
        <v>4.3231037193945891E-3</v>
      </c>
      <c r="N43" s="127">
        <f t="shared" si="4"/>
        <v>4400215.7964279372</v>
      </c>
      <c r="O43" s="127">
        <f t="shared" si="5"/>
        <v>30335517.027811259</v>
      </c>
      <c r="Q43" s="130">
        <f t="shared" si="6"/>
        <v>0</v>
      </c>
    </row>
    <row r="44" spans="1:17" x14ac:dyDescent="0.25">
      <c r="A44" s="29" t="s">
        <v>43</v>
      </c>
      <c r="B44" s="29" t="s">
        <v>486</v>
      </c>
      <c r="C44" s="29" t="s">
        <v>160</v>
      </c>
      <c r="D44" s="29" t="s">
        <v>529</v>
      </c>
      <c r="E44" s="29" t="s">
        <v>590</v>
      </c>
      <c r="F44" s="30">
        <v>500661953.08999997</v>
      </c>
      <c r="G44" s="31">
        <v>1.3950891307065127E-2</v>
      </c>
      <c r="H44" s="30">
        <v>575083.48652660346</v>
      </c>
      <c r="I44" s="30">
        <v>6409597.0026149256</v>
      </c>
      <c r="J44" s="125">
        <f t="shared" si="7"/>
        <v>6984680.4891415285</v>
      </c>
      <c r="K44" s="53" t="s">
        <v>76</v>
      </c>
      <c r="L44" s="109" t="s">
        <v>78</v>
      </c>
      <c r="M44" s="126">
        <f>VLOOKUP(L44,'РейтPD FRED Graph'!$R$4:$V$26,5,0)</f>
        <v>2.9499026019492382E-3</v>
      </c>
      <c r="N44" s="127">
        <f t="shared" si="4"/>
        <v>1476903.9981171784</v>
      </c>
      <c r="O44" s="127">
        <f t="shared" si="5"/>
        <v>8461584.4872587062</v>
      </c>
      <c r="Q44" s="130">
        <f t="shared" si="6"/>
        <v>0</v>
      </c>
    </row>
    <row r="45" spans="1:17" x14ac:dyDescent="0.25">
      <c r="A45" s="29" t="s">
        <v>43</v>
      </c>
      <c r="B45" s="29" t="s">
        <v>486</v>
      </c>
      <c r="C45" s="29" t="s">
        <v>489</v>
      </c>
      <c r="D45" s="29" t="s">
        <v>530</v>
      </c>
      <c r="E45" s="29" t="s">
        <v>591</v>
      </c>
      <c r="F45" s="30">
        <v>2087675180.1800001</v>
      </c>
      <c r="G45" s="31">
        <v>1.0463168480298844E-2</v>
      </c>
      <c r="H45" s="30">
        <v>1798500.2364516845</v>
      </c>
      <c r="I45" s="30">
        <v>20045196.905909903</v>
      </c>
      <c r="J45" s="125">
        <f t="shared" si="7"/>
        <v>21843697.142361589</v>
      </c>
      <c r="K45" s="53" t="s">
        <v>76</v>
      </c>
      <c r="L45" s="109" t="s">
        <v>76</v>
      </c>
      <c r="M45" s="126">
        <f>VLOOKUP(L45,'РейтPD FRED Graph'!$R$4:$V$26,5,0)</f>
        <v>1.3367227501891068E-3</v>
      </c>
      <c r="N45" s="127">
        <f t="shared" si="4"/>
        <v>2790642.9083517487</v>
      </c>
      <c r="O45" s="127">
        <f t="shared" si="5"/>
        <v>24634340.050713338</v>
      </c>
      <c r="Q45" s="130">
        <f t="shared" si="6"/>
        <v>0</v>
      </c>
    </row>
    <row r="46" spans="1:17" x14ac:dyDescent="0.25">
      <c r="A46" s="29" t="s">
        <v>43</v>
      </c>
      <c r="B46" s="29" t="s">
        <v>486</v>
      </c>
      <c r="C46" s="29" t="s">
        <v>161</v>
      </c>
      <c r="D46" s="29" t="s">
        <v>531</v>
      </c>
      <c r="E46" s="29" t="s">
        <v>592</v>
      </c>
      <c r="F46" s="30">
        <v>2085488933.6099999</v>
      </c>
      <c r="G46" s="31">
        <v>1.9110596344166456E-2</v>
      </c>
      <c r="H46" s="30">
        <v>3710954.6829418251</v>
      </c>
      <c r="I46" s="30">
        <v>36143982.507505037</v>
      </c>
      <c r="J46" s="125">
        <f t="shared" si="7"/>
        <v>39854937.190446869</v>
      </c>
      <c r="K46" s="53" t="s">
        <v>78</v>
      </c>
      <c r="L46" s="109" t="s">
        <v>80</v>
      </c>
      <c r="M46" s="126">
        <f>VLOOKUP(L46,'РейтPD FRED Graph'!$R$4:$V$26,5,0)</f>
        <v>4.3231037193945891E-3</v>
      </c>
      <c r="N46" s="127">
        <f t="shared" si="4"/>
        <v>9015784.9656456467</v>
      </c>
      <c r="O46" s="127">
        <f t="shared" si="5"/>
        <v>48870722.156092517</v>
      </c>
      <c r="Q46" s="130">
        <f t="shared" si="6"/>
        <v>6.5192580223083496E-9</v>
      </c>
    </row>
    <row r="47" spans="1:17" x14ac:dyDescent="0.25">
      <c r="A47" s="29" t="s">
        <v>43</v>
      </c>
      <c r="B47" s="29" t="s">
        <v>486</v>
      </c>
      <c r="C47" s="29" t="s">
        <v>343</v>
      </c>
      <c r="D47" s="29" t="s">
        <v>532</v>
      </c>
      <c r="E47" s="29" t="s">
        <v>593</v>
      </c>
      <c r="F47" s="30">
        <v>623517589.28999996</v>
      </c>
      <c r="G47" s="31">
        <v>5.8927158902003771E-2</v>
      </c>
      <c r="H47" s="30">
        <v>5219688.518051954</v>
      </c>
      <c r="I47" s="30">
        <v>31522431.544234201</v>
      </c>
      <c r="J47" s="125">
        <f t="shared" si="7"/>
        <v>36742120.062286153</v>
      </c>
      <c r="K47" s="53" t="s">
        <v>84</v>
      </c>
      <c r="L47" s="53" t="s">
        <v>84</v>
      </c>
      <c r="M47" s="126">
        <f>VLOOKUP(L47,'РейтPD FRED Graph'!$R$4:$V$26,5,0)</f>
        <v>1.3647274556882657E-2</v>
      </c>
      <c r="N47" s="127">
        <f t="shared" si="4"/>
        <v>8509315.7320862263</v>
      </c>
      <c r="O47" s="127">
        <f t="shared" si="5"/>
        <v>45251435.79437238</v>
      </c>
      <c r="Q47" s="130">
        <f t="shared" si="6"/>
        <v>0</v>
      </c>
    </row>
    <row r="48" spans="1:17" x14ac:dyDescent="0.25">
      <c r="A48" s="29" t="s">
        <v>43</v>
      </c>
      <c r="B48" s="29" t="s">
        <v>486</v>
      </c>
      <c r="C48" s="29" t="s">
        <v>149</v>
      </c>
      <c r="D48" s="29" t="s">
        <v>533</v>
      </c>
      <c r="E48" s="29" t="s">
        <v>594</v>
      </c>
      <c r="F48" s="30">
        <v>1448569588.9000001</v>
      </c>
      <c r="G48" s="31">
        <v>1.0463168480298844E-2</v>
      </c>
      <c r="H48" s="30">
        <v>1247920.5447701609</v>
      </c>
      <c r="I48" s="30">
        <v>13908707.119327774</v>
      </c>
      <c r="J48" s="125">
        <f t="shared" si="7"/>
        <v>15156627.664097935</v>
      </c>
      <c r="K48" s="53" t="s">
        <v>76</v>
      </c>
      <c r="L48" s="109" t="s">
        <v>76</v>
      </c>
      <c r="M48" s="126">
        <f>VLOOKUP(L48,'РейтPD FRED Graph'!$R$4:$V$26,5,0)</f>
        <v>1.3367227501891068E-3</v>
      </c>
      <c r="N48" s="127">
        <f t="shared" si="4"/>
        <v>1936335.924714712</v>
      </c>
      <c r="O48" s="127">
        <f t="shared" si="5"/>
        <v>17092963.588812646</v>
      </c>
      <c r="Q48" s="130">
        <f t="shared" si="6"/>
        <v>0</v>
      </c>
    </row>
    <row r="49" spans="1:17" x14ac:dyDescent="0.25">
      <c r="A49" s="29" t="s">
        <v>43</v>
      </c>
      <c r="B49" s="29" t="s">
        <v>486</v>
      </c>
      <c r="C49" s="29" t="s">
        <v>203</v>
      </c>
      <c r="D49" s="29" t="s">
        <v>534</v>
      </c>
      <c r="E49" s="29" t="s">
        <v>595</v>
      </c>
      <c r="F49" s="30">
        <v>1512851830.28</v>
      </c>
      <c r="G49" s="31">
        <v>1.0463168480298844E-2</v>
      </c>
      <c r="H49" s="30">
        <v>1303298.712513481</v>
      </c>
      <c r="I49" s="30">
        <v>14525924.873434631</v>
      </c>
      <c r="J49" s="125">
        <f t="shared" si="7"/>
        <v>15829223.585948111</v>
      </c>
      <c r="K49" s="53" t="s">
        <v>76</v>
      </c>
      <c r="L49" s="109" t="s">
        <v>76</v>
      </c>
      <c r="M49" s="126">
        <f>VLOOKUP(L49,'РейтPD FRED Graph'!$R$4:$V$26,5,0)</f>
        <v>1.3367227501891068E-3</v>
      </c>
      <c r="N49" s="127">
        <f t="shared" si="4"/>
        <v>2022263.4592005054</v>
      </c>
      <c r="O49" s="127">
        <f t="shared" si="5"/>
        <v>17851487.045148619</v>
      </c>
      <c r="Q49" s="130">
        <f t="shared" si="6"/>
        <v>0</v>
      </c>
    </row>
    <row r="50" spans="1:17" x14ac:dyDescent="0.25">
      <c r="A50" s="29" t="s">
        <v>43</v>
      </c>
      <c r="B50" s="29" t="s">
        <v>486</v>
      </c>
      <c r="C50" s="29" t="s">
        <v>147</v>
      </c>
      <c r="D50" s="29" t="s">
        <v>535</v>
      </c>
      <c r="E50" s="29" t="s">
        <v>596</v>
      </c>
      <c r="F50" s="30">
        <v>307433311.69</v>
      </c>
      <c r="G50" s="31">
        <v>2.5480795125555275E-2</v>
      </c>
      <c r="H50" s="30">
        <v>729402.79172069975</v>
      </c>
      <c r="I50" s="30">
        <v>7104242.4382231673</v>
      </c>
      <c r="J50" s="125">
        <f t="shared" si="7"/>
        <v>7833645.2299438678</v>
      </c>
      <c r="K50" s="53" t="s">
        <v>78</v>
      </c>
      <c r="L50" s="109" t="s">
        <v>80</v>
      </c>
      <c r="M50" s="126">
        <f>VLOOKUP(L50,'РейтPD FRED Graph'!$R$4:$V$26,5,0)</f>
        <v>4.3231037193945891E-3</v>
      </c>
      <c r="N50" s="127">
        <f t="shared" si="4"/>
        <v>1329066.0932328349</v>
      </c>
      <c r="O50" s="127">
        <f t="shared" si="5"/>
        <v>9162711.3231767025</v>
      </c>
      <c r="Q50" s="130">
        <f t="shared" si="6"/>
        <v>0</v>
      </c>
    </row>
    <row r="51" spans="1:17" x14ac:dyDescent="0.25">
      <c r="A51" s="29" t="s">
        <v>43</v>
      </c>
      <c r="B51" s="29" t="s">
        <v>486</v>
      </c>
      <c r="C51" s="29" t="s">
        <v>157</v>
      </c>
      <c r="D51" s="29" t="s">
        <v>536</v>
      </c>
      <c r="E51" s="29" t="s">
        <v>597</v>
      </c>
      <c r="F51" s="30">
        <v>1317550000</v>
      </c>
      <c r="G51" s="31">
        <v>7.6645829511292583E-3</v>
      </c>
      <c r="H51" s="30">
        <v>760480.99102651328</v>
      </c>
      <c r="I51" s="30">
        <v>9337990.2762338407</v>
      </c>
      <c r="J51" s="125">
        <f t="shared" si="7"/>
        <v>10098471.267260354</v>
      </c>
      <c r="K51" s="53" t="s">
        <v>72</v>
      </c>
      <c r="L51" s="109" t="s">
        <v>72</v>
      </c>
      <c r="M51" s="126">
        <f>VLOOKUP(L51,'РейтPD FRED Graph'!$R$4:$V$26,5,0)</f>
        <v>6.1642390567728691E-4</v>
      </c>
      <c r="N51" s="127">
        <f t="shared" si="4"/>
        <v>812169.31692510936</v>
      </c>
      <c r="O51" s="127">
        <f t="shared" si="5"/>
        <v>10910640.584185462</v>
      </c>
      <c r="Q51" s="130">
        <f t="shared" si="6"/>
        <v>0</v>
      </c>
    </row>
    <row r="52" spans="1:17" x14ac:dyDescent="0.25">
      <c r="A52" s="29" t="s">
        <v>43</v>
      </c>
      <c r="B52" s="29" t="s">
        <v>486</v>
      </c>
      <c r="C52" s="29" t="s">
        <v>140</v>
      </c>
      <c r="D52" s="29" t="s">
        <v>537</v>
      </c>
      <c r="E52" s="29" t="s">
        <v>598</v>
      </c>
      <c r="F52" s="30">
        <v>642140673.57000005</v>
      </c>
      <c r="G52" s="31">
        <v>5.8927158902003771E-2</v>
      </c>
      <c r="H52" s="30">
        <v>5375589.0104465941</v>
      </c>
      <c r="I52" s="30">
        <v>32463936.498452533</v>
      </c>
      <c r="J52" s="125">
        <f t="shared" si="7"/>
        <v>37839525.508899122</v>
      </c>
      <c r="K52" s="53" t="s">
        <v>84</v>
      </c>
      <c r="L52" s="53" t="s">
        <v>84</v>
      </c>
      <c r="M52" s="126">
        <f>VLOOKUP(L52,'РейтPD FRED Graph'!$R$4:$V$26,5,0)</f>
        <v>1.3647274556882657E-2</v>
      </c>
      <c r="N52" s="127">
        <f t="shared" si="4"/>
        <v>8763470.0763513539</v>
      </c>
      <c r="O52" s="127">
        <f t="shared" si="5"/>
        <v>46602995.585250475</v>
      </c>
      <c r="Q52" s="130">
        <f t="shared" si="6"/>
        <v>0</v>
      </c>
    </row>
    <row r="53" spans="1:17" x14ac:dyDescent="0.25">
      <c r="A53" s="29" t="s">
        <v>43</v>
      </c>
      <c r="B53" s="29" t="s">
        <v>486</v>
      </c>
      <c r="C53" s="29" t="s">
        <v>162</v>
      </c>
      <c r="D53" s="29" t="s">
        <v>538</v>
      </c>
      <c r="E53" s="29" t="s">
        <v>599</v>
      </c>
      <c r="F53" s="30">
        <v>167460818.18000001</v>
      </c>
      <c r="G53" s="31">
        <v>2.5445769658936176E-2</v>
      </c>
      <c r="H53" s="30">
        <v>428266.25727061863</v>
      </c>
      <c r="I53" s="30">
        <v>3832903.1490346533</v>
      </c>
      <c r="J53" s="125">
        <f t="shared" si="7"/>
        <v>4261169.4063052721</v>
      </c>
      <c r="K53" s="53" t="s">
        <v>80</v>
      </c>
      <c r="L53" s="109" t="s">
        <v>80</v>
      </c>
      <c r="M53" s="126">
        <f>VLOOKUP(L53,'РейтPD FRED Graph'!$R$4:$V$26,5,0)</f>
        <v>4.3231037193945891E-3</v>
      </c>
      <c r="N53" s="127">
        <f t="shared" si="4"/>
        <v>723950.48592681903</v>
      </c>
      <c r="O53" s="127">
        <f t="shared" si="5"/>
        <v>4985119.8922320912</v>
      </c>
      <c r="Q53" s="130">
        <f t="shared" si="6"/>
        <v>0</v>
      </c>
    </row>
    <row r="54" spans="1:17" x14ac:dyDescent="0.25">
      <c r="A54" s="29" t="s">
        <v>43</v>
      </c>
      <c r="B54" s="29" t="s">
        <v>486</v>
      </c>
      <c r="C54" s="29" t="s">
        <v>163</v>
      </c>
      <c r="D54" s="29" t="s">
        <v>539</v>
      </c>
      <c r="E54" s="29" t="s">
        <v>600</v>
      </c>
      <c r="F54" s="30">
        <v>1041881454.55</v>
      </c>
      <c r="G54" s="31">
        <v>1.0463168480298844E-2</v>
      </c>
      <c r="H54" s="30">
        <v>897564.93737748906</v>
      </c>
      <c r="I54" s="30">
        <v>10003816.258077983</v>
      </c>
      <c r="J54" s="125">
        <f t="shared" si="7"/>
        <v>10901381.195455473</v>
      </c>
      <c r="K54" s="53" t="s">
        <v>76</v>
      </c>
      <c r="L54" s="109" t="s">
        <v>78</v>
      </c>
      <c r="M54" s="126">
        <f>VLOOKUP(L54,'РейтPD FRED Graph'!$R$4:$V$26,5,0)</f>
        <v>2.9499026019492382E-3</v>
      </c>
      <c r="N54" s="127">
        <f t="shared" si="4"/>
        <v>3073448.8136997018</v>
      </c>
      <c r="O54" s="127">
        <f t="shared" si="5"/>
        <v>13974830.009155175</v>
      </c>
      <c r="Q54" s="130">
        <f t="shared" si="6"/>
        <v>1.0477378964424133E-9</v>
      </c>
    </row>
    <row r="55" spans="1:17" x14ac:dyDescent="0.25">
      <c r="A55" s="29" t="s">
        <v>43</v>
      </c>
      <c r="B55" s="29" t="s">
        <v>486</v>
      </c>
      <c r="C55" s="29" t="s">
        <v>233</v>
      </c>
      <c r="D55" s="29" t="s">
        <v>540</v>
      </c>
      <c r="E55" s="29" t="s">
        <v>601</v>
      </c>
      <c r="F55" s="30">
        <v>315544125</v>
      </c>
      <c r="G55" s="31">
        <v>2.5445769658936176E-2</v>
      </c>
      <c r="H55" s="30">
        <v>806976.24009113887</v>
      </c>
      <c r="I55" s="30">
        <v>7222286.8818894261</v>
      </c>
      <c r="J55" s="125">
        <f t="shared" si="7"/>
        <v>8029263.1219805647</v>
      </c>
      <c r="K55" s="53" t="s">
        <v>80</v>
      </c>
      <c r="L55" s="109" t="s">
        <v>80</v>
      </c>
      <c r="M55" s="126">
        <f>VLOOKUP(L55,'РейтPD FRED Graph'!$R$4:$V$26,5,0)</f>
        <v>4.3231037193945891E-3</v>
      </c>
      <c r="N55" s="127">
        <f t="shared" si="4"/>
        <v>1364129.9804206111</v>
      </c>
      <c r="O55" s="127">
        <f t="shared" si="5"/>
        <v>9393393.1024011765</v>
      </c>
      <c r="Q55" s="130">
        <f t="shared" si="6"/>
        <v>0</v>
      </c>
    </row>
    <row r="56" spans="1:17" x14ac:dyDescent="0.25">
      <c r="A56" s="29" t="s">
        <v>43</v>
      </c>
      <c r="B56" s="29" t="s">
        <v>486</v>
      </c>
      <c r="C56" s="29" t="s">
        <v>233</v>
      </c>
      <c r="D56" s="29" t="s">
        <v>541</v>
      </c>
      <c r="E56" s="29" t="s">
        <v>602</v>
      </c>
      <c r="F56" s="30">
        <v>210547778.86000001</v>
      </c>
      <c r="G56" s="31">
        <v>2.5445769658936176E-2</v>
      </c>
      <c r="H56" s="30">
        <v>538457.35503389069</v>
      </c>
      <c r="I56" s="30">
        <v>4819092.9280383019</v>
      </c>
      <c r="J56" s="125">
        <f t="shared" si="7"/>
        <v>5357550.2830721922</v>
      </c>
      <c r="K56" s="53" t="s">
        <v>80</v>
      </c>
      <c r="L56" s="109" t="s">
        <v>80</v>
      </c>
      <c r="M56" s="126">
        <f>VLOOKUP(L56,'РейтPD FRED Graph'!$R$4:$V$26,5,0)</f>
        <v>4.3231037193945891E-3</v>
      </c>
      <c r="N56" s="127">
        <f t="shared" si="4"/>
        <v>910219.8858999355</v>
      </c>
      <c r="O56" s="127">
        <f t="shared" si="5"/>
        <v>6267770.1689721281</v>
      </c>
      <c r="Q56" s="130">
        <f t="shared" si="6"/>
        <v>0</v>
      </c>
    </row>
    <row r="57" spans="1:17" x14ac:dyDescent="0.25">
      <c r="A57" s="29" t="s">
        <v>43</v>
      </c>
      <c r="B57" s="29" t="s">
        <v>486</v>
      </c>
      <c r="C57" s="29" t="s">
        <v>146</v>
      </c>
      <c r="D57" s="29" t="s">
        <v>542</v>
      </c>
      <c r="E57" s="29" t="s">
        <v>603</v>
      </c>
      <c r="F57" s="30">
        <v>959440700</v>
      </c>
      <c r="G57" s="31">
        <v>2.5480795125555275E-2</v>
      </c>
      <c r="H57" s="30">
        <v>2276326.9250930222</v>
      </c>
      <c r="I57" s="30">
        <v>22170984.986726318</v>
      </c>
      <c r="J57" s="125">
        <f t="shared" si="7"/>
        <v>24447311.911819343</v>
      </c>
      <c r="K57" s="53" t="s">
        <v>78</v>
      </c>
      <c r="L57" s="109" t="s">
        <v>80</v>
      </c>
      <c r="M57" s="126">
        <f>VLOOKUP(L57,'РейтPD FRED Graph'!$R$4:$V$26,5,0)</f>
        <v>4.3231037193945891E-3</v>
      </c>
      <c r="N57" s="127">
        <f t="shared" si="4"/>
        <v>4147761.6587085482</v>
      </c>
      <c r="O57" s="127">
        <f t="shared" si="5"/>
        <v>28595073.570527889</v>
      </c>
      <c r="Q57" s="130">
        <f t="shared" si="6"/>
        <v>0</v>
      </c>
    </row>
    <row r="58" spans="1:17" x14ac:dyDescent="0.25">
      <c r="A58" s="29" t="s">
        <v>43</v>
      </c>
      <c r="B58" s="29" t="s">
        <v>486</v>
      </c>
      <c r="C58" s="29" t="s">
        <v>468</v>
      </c>
      <c r="D58" s="29" t="s">
        <v>543</v>
      </c>
      <c r="E58" s="29" t="s">
        <v>604</v>
      </c>
      <c r="F58" s="30">
        <v>317617100.62</v>
      </c>
      <c r="G58" s="31">
        <v>1.0463168480298844E-2</v>
      </c>
      <c r="H58" s="30">
        <v>273622.27418774815</v>
      </c>
      <c r="I58" s="30">
        <v>3049658.9618233424</v>
      </c>
      <c r="J58" s="125">
        <f t="shared" si="7"/>
        <v>3323281.2360110907</v>
      </c>
      <c r="K58" s="53" t="s">
        <v>76</v>
      </c>
      <c r="L58" s="109" t="s">
        <v>78</v>
      </c>
      <c r="M58" s="126">
        <f>VLOOKUP(L58,'РейтPD FRED Graph'!$R$4:$V$26,5,0)</f>
        <v>2.9499026019492382E-3</v>
      </c>
      <c r="N58" s="127">
        <f t="shared" si="4"/>
        <v>936939.51154251106</v>
      </c>
      <c r="O58" s="127">
        <f t="shared" si="5"/>
        <v>4260220.7475536019</v>
      </c>
      <c r="Q58" s="130">
        <f t="shared" si="6"/>
        <v>0</v>
      </c>
    </row>
    <row r="59" spans="1:17" x14ac:dyDescent="0.25">
      <c r="A59" s="29" t="s">
        <v>43</v>
      </c>
      <c r="B59" s="29" t="s">
        <v>486</v>
      </c>
      <c r="C59" s="29" t="s">
        <v>490</v>
      </c>
      <c r="D59" s="29" t="s">
        <v>544</v>
      </c>
      <c r="E59" s="29" t="s">
        <v>605</v>
      </c>
      <c r="F59" s="30">
        <v>502283420</v>
      </c>
      <c r="G59" s="31">
        <v>5.8927158902003771E-2</v>
      </c>
      <c r="H59" s="30">
        <v>4204793.9708762197</v>
      </c>
      <c r="I59" s="30">
        <v>25393340.933305681</v>
      </c>
      <c r="J59" s="125">
        <f t="shared" si="7"/>
        <v>29598134.904181898</v>
      </c>
      <c r="K59" s="53" t="s">
        <v>84</v>
      </c>
      <c r="L59" s="109" t="s">
        <v>86</v>
      </c>
      <c r="M59" s="126">
        <f>VLOOKUP(L59,'РейтPD FRED Graph'!$R$4:$V$26,5,0)</f>
        <v>2.0239437618496649E-2</v>
      </c>
      <c r="N59" s="127">
        <f t="shared" si="4"/>
        <v>10165933.945895152</v>
      </c>
      <c r="O59" s="127">
        <f t="shared" si="5"/>
        <v>39764068.850077048</v>
      </c>
      <c r="Q59" s="130">
        <f t="shared" si="6"/>
        <v>0</v>
      </c>
    </row>
    <row r="60" spans="1:17" x14ac:dyDescent="0.25">
      <c r="A60" s="29" t="s">
        <v>43</v>
      </c>
      <c r="B60" s="29" t="s">
        <v>486</v>
      </c>
      <c r="C60" s="29" t="s">
        <v>491</v>
      </c>
      <c r="D60" s="29" t="s">
        <v>545</v>
      </c>
      <c r="E60" s="29" t="s">
        <v>606</v>
      </c>
      <c r="F60" s="30">
        <v>4017527272.73</v>
      </c>
      <c r="G60" s="31">
        <v>4.919714419657685E-2</v>
      </c>
      <c r="H60" s="30">
        <v>22518015.99734728</v>
      </c>
      <c r="I60" s="30">
        <v>175132852.55283067</v>
      </c>
      <c r="J60" s="125">
        <f t="shared" si="7"/>
        <v>197650868.55017793</v>
      </c>
      <c r="K60" s="53" t="s">
        <v>82</v>
      </c>
      <c r="L60" s="109" t="s">
        <v>82</v>
      </c>
      <c r="M60" s="126">
        <f>VLOOKUP(L60,'РейтPD FRED Graph'!$R$4:$V$26,5,0)</f>
        <v>7.1516069880933021E-3</v>
      </c>
      <c r="N60" s="127">
        <f t="shared" si="4"/>
        <v>28731776.118511293</v>
      </c>
      <c r="O60" s="127">
        <f t="shared" si="5"/>
        <v>226382644.66868922</v>
      </c>
      <c r="Q60" s="130">
        <f t="shared" si="6"/>
        <v>0</v>
      </c>
    </row>
    <row r="61" spans="1:17" x14ac:dyDescent="0.25">
      <c r="A61" s="29" t="s">
        <v>43</v>
      </c>
      <c r="B61" s="29" t="s">
        <v>486</v>
      </c>
      <c r="C61" s="29" t="s">
        <v>491</v>
      </c>
      <c r="D61" s="29" t="s">
        <v>546</v>
      </c>
      <c r="E61" s="29" t="s">
        <v>607</v>
      </c>
      <c r="F61" s="30">
        <v>1010986774.85</v>
      </c>
      <c r="G61" s="31">
        <v>4.919714419657685E-2</v>
      </c>
      <c r="H61" s="30">
        <v>5666524.4125920329</v>
      </c>
      <c r="I61" s="30">
        <v>44071137.730535597</v>
      </c>
      <c r="J61" s="125">
        <f t="shared" si="7"/>
        <v>49737662.143127628</v>
      </c>
      <c r="K61" s="53" t="s">
        <v>82</v>
      </c>
      <c r="L61" s="109" t="s">
        <v>82</v>
      </c>
      <c r="M61" s="126">
        <f>VLOOKUP(L61,'РейтPD FRED Graph'!$R$4:$V$26,5,0)</f>
        <v>7.1516069880933021E-3</v>
      </c>
      <c r="N61" s="127">
        <f t="shared" si="4"/>
        <v>7230180.0838871701</v>
      </c>
      <c r="O61" s="127">
        <f t="shared" si="5"/>
        <v>56967842.227014795</v>
      </c>
      <c r="Q61" s="130">
        <f t="shared" si="6"/>
        <v>0</v>
      </c>
    </row>
    <row r="62" spans="1:17" x14ac:dyDescent="0.25">
      <c r="A62" s="29" t="s">
        <v>43</v>
      </c>
      <c r="B62" s="29" t="s">
        <v>450</v>
      </c>
      <c r="C62" s="29" t="s">
        <v>164</v>
      </c>
      <c r="D62" s="29" t="s">
        <v>547</v>
      </c>
      <c r="E62" s="29" t="s">
        <v>608</v>
      </c>
      <c r="F62" s="30">
        <v>770390042.66000009</v>
      </c>
      <c r="G62" s="31">
        <v>1.0463168480298844E-2</v>
      </c>
      <c r="H62" s="30">
        <v>663679.23853200721</v>
      </c>
      <c r="I62" s="30">
        <v>7397041.573364188</v>
      </c>
      <c r="J62" s="125">
        <f t="shared" si="7"/>
        <v>8060720.8118961947</v>
      </c>
      <c r="K62" s="53" t="s">
        <v>76</v>
      </c>
      <c r="L62" s="109" t="s">
        <v>78</v>
      </c>
      <c r="M62" s="126">
        <f>VLOOKUP(L62,'РейтPD FRED Graph'!$R$4:$V$26,5,0)</f>
        <v>2.9499026019492382E-3</v>
      </c>
      <c r="N62" s="127">
        <f t="shared" si="4"/>
        <v>2272575.5913585187</v>
      </c>
      <c r="O62" s="127">
        <f t="shared" si="5"/>
        <v>10333296.403254714</v>
      </c>
      <c r="Q62" s="130">
        <f t="shared" si="6"/>
        <v>0</v>
      </c>
    </row>
    <row r="63" spans="1:17" x14ac:dyDescent="0.25">
      <c r="A63" s="29" t="s">
        <v>43</v>
      </c>
      <c r="B63" s="29" t="s">
        <v>487</v>
      </c>
      <c r="C63" s="29" t="s">
        <v>164</v>
      </c>
      <c r="D63" s="29" t="s">
        <v>548</v>
      </c>
      <c r="E63" s="29" t="s">
        <v>609</v>
      </c>
      <c r="F63" s="30">
        <v>989321035.62999988</v>
      </c>
      <c r="G63" s="31">
        <v>1.0463168480298844E-2</v>
      </c>
      <c r="H63" s="30">
        <v>852284.94039660366</v>
      </c>
      <c r="I63" s="30">
        <v>9499147.7365038209</v>
      </c>
      <c r="J63" s="125">
        <f t="shared" si="7"/>
        <v>10351432.676900424</v>
      </c>
      <c r="K63" s="53" t="s">
        <v>76</v>
      </c>
      <c r="L63" s="109" t="s">
        <v>78</v>
      </c>
      <c r="M63" s="126">
        <f>VLOOKUP(L63,'РейтPD FRED Graph'!$R$4:$V$26,5,0)</f>
        <v>2.9499026019492382E-3</v>
      </c>
      <c r="N63" s="127">
        <f t="shared" si="4"/>
        <v>2918400.6971680517</v>
      </c>
      <c r="O63" s="127">
        <f t="shared" si="5"/>
        <v>13269833.374068476</v>
      </c>
      <c r="Q63" s="130">
        <f t="shared" si="6"/>
        <v>0</v>
      </c>
    </row>
    <row r="64" spans="1:17" x14ac:dyDescent="0.25">
      <c r="A64" s="29" t="s">
        <v>488</v>
      </c>
      <c r="B64" s="29" t="s">
        <v>485</v>
      </c>
      <c r="C64" s="29" t="s">
        <v>138</v>
      </c>
      <c r="D64" s="29" t="s">
        <v>495</v>
      </c>
      <c r="E64" s="29" t="s">
        <v>556</v>
      </c>
      <c r="F64" s="30">
        <v>661320950.39999998</v>
      </c>
      <c r="G64" s="31">
        <v>3.3927692878581571E-2</v>
      </c>
      <c r="H64" s="30">
        <v>2255026.5895872852</v>
      </c>
      <c r="I64" s="30">
        <v>20182067.509755589</v>
      </c>
      <c r="J64" s="125">
        <f t="shared" si="7"/>
        <v>22437094.099342875</v>
      </c>
      <c r="K64" s="53" t="s">
        <v>80</v>
      </c>
      <c r="L64" s="109" t="s">
        <v>82</v>
      </c>
      <c r="M64" s="126">
        <f>VLOOKUP(L64,'РейтPD FRED Graph'!$R$4:$V$26,5,0)</f>
        <v>7.1516069880933021E-3</v>
      </c>
      <c r="N64" s="127">
        <f t="shared" si="4"/>
        <v>4729507.530253144</v>
      </c>
      <c r="O64" s="127">
        <f t="shared" si="5"/>
        <v>27166601.629596017</v>
      </c>
      <c r="Q64" s="130">
        <f t="shared" si="6"/>
        <v>0</v>
      </c>
    </row>
    <row r="65" spans="1:17" x14ac:dyDescent="0.25">
      <c r="A65" s="29" t="s">
        <v>488</v>
      </c>
      <c r="B65" s="29" t="s">
        <v>485</v>
      </c>
      <c r="C65" s="29" t="s">
        <v>492</v>
      </c>
      <c r="D65" s="29" t="s">
        <v>549</v>
      </c>
      <c r="E65" s="29" t="s">
        <v>575</v>
      </c>
      <c r="F65" s="30">
        <v>737413437.39108014</v>
      </c>
      <c r="G65" s="31">
        <v>4.919714419657685E-2</v>
      </c>
      <c r="H65" s="30">
        <v>4133161.1343481084</v>
      </c>
      <c r="I65" s="30">
        <v>32145474.077474259</v>
      </c>
      <c r="J65" s="125">
        <f t="shared" si="7"/>
        <v>36278635.211822368</v>
      </c>
      <c r="K65" s="53" t="s">
        <v>82</v>
      </c>
      <c r="L65" s="109" t="s">
        <v>84</v>
      </c>
      <c r="M65" s="126">
        <f>VLOOKUP(L65,'РейтPD FRED Graph'!$R$4:$V$26,5,0)</f>
        <v>1.3647274556882657E-2</v>
      </c>
      <c r="N65" s="127">
        <f t="shared" si="4"/>
        <v>10063683.64201067</v>
      </c>
      <c r="O65" s="127">
        <f t="shared" si="5"/>
        <v>46342318.853833035</v>
      </c>
      <c r="Q65" s="130">
        <f t="shared" si="6"/>
        <v>0</v>
      </c>
    </row>
    <row r="66" spans="1:17" x14ac:dyDescent="0.25">
      <c r="A66" s="29" t="s">
        <v>488</v>
      </c>
      <c r="B66" s="29" t="s">
        <v>485</v>
      </c>
      <c r="C66" s="29" t="s">
        <v>492</v>
      </c>
      <c r="D66" s="29" t="s">
        <v>549</v>
      </c>
      <c r="E66" s="29" t="s">
        <v>610</v>
      </c>
      <c r="F66" s="30">
        <v>82370215.196999997</v>
      </c>
      <c r="G66" s="31">
        <v>4.919714419657685E-2</v>
      </c>
      <c r="H66" s="30">
        <v>461680.45606087358</v>
      </c>
      <c r="I66" s="30">
        <v>3590698.8984890012</v>
      </c>
      <c r="J66" s="125">
        <f t="shared" si="7"/>
        <v>4052379.3545498746</v>
      </c>
      <c r="K66" s="53" t="s">
        <v>82</v>
      </c>
      <c r="L66" s="109" t="s">
        <v>84</v>
      </c>
      <c r="M66" s="126">
        <f>VLOOKUP(L66,'РейтPD FRED Graph'!$R$4:$V$26,5,0)</f>
        <v>1.3647274556882657E-2</v>
      </c>
      <c r="N66" s="127">
        <f t="shared" ref="N66:N67" si="8">M66*F66</f>
        <v>1124128.9421029673</v>
      </c>
      <c r="O66" s="127">
        <f t="shared" ref="O66:O67" si="9">N66+J66</f>
        <v>5176508.2966528423</v>
      </c>
      <c r="Q66" s="130">
        <f t="shared" si="6"/>
        <v>0</v>
      </c>
    </row>
    <row r="67" spans="1:17" x14ac:dyDescent="0.25">
      <c r="A67" s="29" t="s">
        <v>488</v>
      </c>
      <c r="B67" s="29" t="s">
        <v>485</v>
      </c>
      <c r="C67" s="29" t="s">
        <v>146</v>
      </c>
      <c r="D67" s="29" t="s">
        <v>501</v>
      </c>
      <c r="E67" s="29" t="s">
        <v>562</v>
      </c>
      <c r="F67" s="30">
        <v>782402848.65750003</v>
      </c>
      <c r="G67" s="31">
        <v>2.5480795125555275E-2</v>
      </c>
      <c r="H67" s="30">
        <v>1856294.6836303154</v>
      </c>
      <c r="I67" s="30">
        <v>18079952.008662272</v>
      </c>
      <c r="J67" s="125">
        <f t="shared" si="7"/>
        <v>19936246.69229259</v>
      </c>
      <c r="K67" s="53" t="s">
        <v>78</v>
      </c>
      <c r="L67" s="109" t="s">
        <v>80</v>
      </c>
      <c r="M67" s="126">
        <f>VLOOKUP(L67,'РейтPD FRED Graph'!$R$4:$V$26,5,0)</f>
        <v>4.3231037193945891E-3</v>
      </c>
      <c r="N67" s="127">
        <f t="shared" si="8"/>
        <v>3382408.66509616</v>
      </c>
      <c r="O67" s="127">
        <f t="shared" si="9"/>
        <v>23318655.35738875</v>
      </c>
      <c r="Q67" s="130">
        <f t="shared" si="6"/>
        <v>2.0954757928848267E-9</v>
      </c>
    </row>
    <row r="68" spans="1:17" x14ac:dyDescent="0.25">
      <c r="A68" s="29" t="s">
        <v>488</v>
      </c>
      <c r="B68" s="29" t="s">
        <v>485</v>
      </c>
      <c r="C68" s="29" t="s">
        <v>139</v>
      </c>
      <c r="D68" s="29" t="s">
        <v>550</v>
      </c>
      <c r="E68" s="29" t="s">
        <v>576</v>
      </c>
      <c r="F68" s="30">
        <v>304967430</v>
      </c>
      <c r="G68" s="31">
        <v>4.919714419657685E-2</v>
      </c>
      <c r="H68" s="30">
        <v>1709325.4136750211</v>
      </c>
      <c r="I68" s="30">
        <v>13294201.215294437</v>
      </c>
      <c r="J68" s="125">
        <f t="shared" si="7"/>
        <v>15003526.628969457</v>
      </c>
      <c r="K68" s="53" t="s">
        <v>82</v>
      </c>
      <c r="L68" s="109" t="s">
        <v>84</v>
      </c>
      <c r="M68" s="126">
        <f>VLOOKUP(L68,'РейтPD FRED Graph'!$R$4:$V$26,5,0)</f>
        <v>1.3647274556882657E-2</v>
      </c>
      <c r="N68" s="127">
        <f t="shared" ref="N68:N71" si="10">M68*F68</f>
        <v>4161974.2481168928</v>
      </c>
      <c r="O68" s="127">
        <f t="shared" ref="O68:O71" si="11">N68+J68</f>
        <v>19165500.877086349</v>
      </c>
      <c r="Q68" s="130">
        <f t="shared" si="6"/>
        <v>0</v>
      </c>
    </row>
    <row r="69" spans="1:17" x14ac:dyDescent="0.25">
      <c r="A69" s="29" t="s">
        <v>488</v>
      </c>
      <c r="B69" s="29" t="s">
        <v>485</v>
      </c>
      <c r="C69" s="29" t="s">
        <v>106</v>
      </c>
      <c r="D69" s="29" t="s">
        <v>551</v>
      </c>
      <c r="E69" s="29" t="s">
        <v>611</v>
      </c>
      <c r="F69" s="30">
        <v>195819958.71450001</v>
      </c>
      <c r="G69" s="31">
        <v>8.7229155996452999E-3</v>
      </c>
      <c r="H69" s="30">
        <v>136496.24819725321</v>
      </c>
      <c r="I69" s="30">
        <v>1571624.7243953575</v>
      </c>
      <c r="J69" s="125">
        <f t="shared" si="7"/>
        <v>1708120.9725926106</v>
      </c>
      <c r="K69" s="53" t="s">
        <v>74</v>
      </c>
      <c r="L69" s="109" t="s">
        <v>76</v>
      </c>
      <c r="M69" s="126">
        <f>VLOOKUP(L69,'РейтPD FRED Graph'!$R$4:$V$26,5,0)</f>
        <v>1.3367227501891068E-3</v>
      </c>
      <c r="N69" s="127">
        <f t="shared" si="10"/>
        <v>261756.99375476383</v>
      </c>
      <c r="O69" s="127">
        <f t="shared" si="11"/>
        <v>1969877.9663473745</v>
      </c>
      <c r="Q69" s="130">
        <f t="shared" si="6"/>
        <v>0</v>
      </c>
    </row>
    <row r="70" spans="1:17" x14ac:dyDescent="0.25">
      <c r="A70" s="29" t="s">
        <v>488</v>
      </c>
      <c r="B70" s="29" t="s">
        <v>485</v>
      </c>
      <c r="C70" s="29" t="s">
        <v>134</v>
      </c>
      <c r="D70" s="29" t="s">
        <v>552</v>
      </c>
      <c r="E70" s="29" t="s">
        <v>612</v>
      </c>
      <c r="F70" s="30">
        <v>117698497.68465</v>
      </c>
      <c r="G70" s="31">
        <v>2.5445769658936176E-2</v>
      </c>
      <c r="H70" s="30">
        <v>301003.51615145575</v>
      </c>
      <c r="I70" s="30">
        <v>2693925.3451349814</v>
      </c>
      <c r="J70" s="125">
        <f t="shared" si="7"/>
        <v>2994928.8612864367</v>
      </c>
      <c r="K70" s="53" t="s">
        <v>80</v>
      </c>
      <c r="L70" s="109" t="s">
        <v>82</v>
      </c>
      <c r="M70" s="126">
        <f>VLOOKUP(L70,'РейтPD FRED Graph'!$R$4:$V$26,5,0)</f>
        <v>7.1516069880933021E-3</v>
      </c>
      <c r="N70" s="127">
        <f t="shared" si="10"/>
        <v>841733.39852962631</v>
      </c>
      <c r="O70" s="127">
        <f t="shared" si="11"/>
        <v>3836662.2598160631</v>
      </c>
      <c r="Q70" s="130">
        <f t="shared" si="6"/>
        <v>-5.2386894822120667E-10</v>
      </c>
    </row>
    <row r="71" spans="1:17" x14ac:dyDescent="0.25">
      <c r="A71" s="29" t="s">
        <v>488</v>
      </c>
      <c r="B71" s="29" t="s">
        <v>485</v>
      </c>
      <c r="C71" s="29" t="s">
        <v>134</v>
      </c>
      <c r="D71" s="29" t="s">
        <v>553</v>
      </c>
      <c r="E71" s="29" t="s">
        <v>613</v>
      </c>
      <c r="F71" s="30">
        <v>350491368.73095</v>
      </c>
      <c r="G71" s="31">
        <v>2.5445769658936176E-2</v>
      </c>
      <c r="H71" s="30">
        <v>896350.73041812773</v>
      </c>
      <c r="I71" s="30">
        <v>8022171.9057548922</v>
      </c>
      <c r="J71" s="125">
        <f t="shared" si="7"/>
        <v>8918522.6361730192</v>
      </c>
      <c r="K71" s="53" t="s">
        <v>80</v>
      </c>
      <c r="L71" s="110" t="s">
        <v>82</v>
      </c>
      <c r="M71" s="126">
        <f>VLOOKUP(L71,'РейтPD FRED Graph'!$R$4:$V$26,5,0)</f>
        <v>7.1516069880933021E-3</v>
      </c>
      <c r="N71" s="127">
        <f t="shared" si="10"/>
        <v>2506576.5218826481</v>
      </c>
      <c r="O71" s="127">
        <f t="shared" si="11"/>
        <v>11425099.158055667</v>
      </c>
      <c r="Q71" s="130">
        <f t="shared" si="6"/>
        <v>0</v>
      </c>
    </row>
    <row r="72" spans="1:17" x14ac:dyDescent="0.25">
      <c r="A72" s="29"/>
      <c r="B72" s="29"/>
      <c r="C72" s="29"/>
      <c r="D72" s="29"/>
      <c r="E72" s="29"/>
      <c r="F72" s="30"/>
      <c r="G72" s="31"/>
      <c r="H72" s="30"/>
      <c r="I72" s="30"/>
      <c r="J72" s="30"/>
      <c r="K72" s="53"/>
      <c r="L72" s="109"/>
      <c r="M72" s="30"/>
      <c r="N72" s="30"/>
      <c r="O72" s="30"/>
      <c r="Q72" s="130">
        <f t="shared" si="6"/>
        <v>0</v>
      </c>
    </row>
    <row r="73" spans="1:17" x14ac:dyDescent="0.25">
      <c r="A73" s="29"/>
      <c r="B73" s="29"/>
      <c r="C73" s="29"/>
      <c r="D73" s="29"/>
      <c r="E73" s="29"/>
      <c r="F73" s="30"/>
      <c r="G73" s="31"/>
      <c r="H73" s="30"/>
      <c r="I73" s="30"/>
      <c r="J73" s="30"/>
      <c r="K73" s="53"/>
      <c r="L73" s="109"/>
      <c r="M73" s="30"/>
      <c r="N73" s="30"/>
      <c r="O73" s="30"/>
      <c r="Q73" s="130">
        <f t="shared" ref="Q73:Q100" si="12">J73-I73-H73</f>
        <v>0</v>
      </c>
    </row>
    <row r="74" spans="1:17" x14ac:dyDescent="0.25">
      <c r="A74" s="29"/>
      <c r="B74" s="29"/>
      <c r="C74" s="29"/>
      <c r="D74" s="29"/>
      <c r="E74" s="29"/>
      <c r="F74" s="30"/>
      <c r="G74" s="31"/>
      <c r="H74" s="30"/>
      <c r="I74" s="30"/>
      <c r="J74" s="30"/>
      <c r="K74" s="53"/>
      <c r="L74" s="109"/>
      <c r="M74" s="30"/>
      <c r="N74" s="30"/>
      <c r="O74" s="30"/>
      <c r="Q74" s="130">
        <f t="shared" si="12"/>
        <v>0</v>
      </c>
    </row>
    <row r="75" spans="1:17" x14ac:dyDescent="0.25">
      <c r="A75" s="29"/>
      <c r="B75" s="29"/>
      <c r="C75" s="29"/>
      <c r="D75" s="29"/>
      <c r="E75" s="29"/>
      <c r="F75" s="30"/>
      <c r="G75" s="31"/>
      <c r="H75" s="30"/>
      <c r="I75" s="30"/>
      <c r="J75" s="30"/>
      <c r="K75" s="53"/>
      <c r="L75" s="109"/>
      <c r="M75" s="30"/>
      <c r="N75" s="30"/>
      <c r="O75" s="30"/>
      <c r="Q75" s="130">
        <f t="shared" si="12"/>
        <v>0</v>
      </c>
    </row>
    <row r="76" spans="1:17" x14ac:dyDescent="0.25">
      <c r="A76" s="29"/>
      <c r="B76" s="29"/>
      <c r="C76" s="29"/>
      <c r="D76" s="29"/>
      <c r="E76" s="29"/>
      <c r="F76" s="30"/>
      <c r="G76" s="31"/>
      <c r="H76" s="30"/>
      <c r="I76" s="30"/>
      <c r="J76" s="30"/>
      <c r="K76" s="53"/>
      <c r="L76" s="109"/>
      <c r="M76" s="30"/>
      <c r="N76" s="30"/>
      <c r="O76" s="30"/>
      <c r="Q76" s="130">
        <f t="shared" si="12"/>
        <v>0</v>
      </c>
    </row>
    <row r="77" spans="1:17" x14ac:dyDescent="0.25">
      <c r="A77" s="29"/>
      <c r="B77" s="29"/>
      <c r="C77" s="29"/>
      <c r="D77" s="29"/>
      <c r="E77" s="29"/>
      <c r="F77" s="30"/>
      <c r="G77" s="31"/>
      <c r="H77" s="30"/>
      <c r="I77" s="30"/>
      <c r="J77" s="30"/>
      <c r="K77" s="53"/>
      <c r="L77" s="109"/>
      <c r="M77" s="30"/>
      <c r="N77" s="30"/>
      <c r="O77" s="30"/>
      <c r="Q77" s="130">
        <f t="shared" si="12"/>
        <v>0</v>
      </c>
    </row>
    <row r="78" spans="1:17" x14ac:dyDescent="0.25">
      <c r="A78" s="29"/>
      <c r="B78" s="29"/>
      <c r="C78" s="29"/>
      <c r="D78" s="29"/>
      <c r="E78" s="29"/>
      <c r="F78" s="30"/>
      <c r="G78" s="31"/>
      <c r="H78" s="30"/>
      <c r="I78" s="30"/>
      <c r="J78" s="30"/>
      <c r="K78" s="53"/>
      <c r="L78" s="109"/>
      <c r="M78" s="30"/>
      <c r="N78" s="30"/>
      <c r="O78" s="30"/>
      <c r="Q78" s="130">
        <f t="shared" si="12"/>
        <v>0</v>
      </c>
    </row>
    <row r="79" spans="1:17" x14ac:dyDescent="0.25">
      <c r="A79" s="29"/>
      <c r="B79" s="29"/>
      <c r="C79" s="29"/>
      <c r="D79" s="29"/>
      <c r="E79" s="29"/>
      <c r="F79" s="30"/>
      <c r="G79" s="31"/>
      <c r="H79" s="30"/>
      <c r="I79" s="30"/>
      <c r="J79" s="30"/>
      <c r="K79" s="53"/>
      <c r="L79" s="82"/>
      <c r="M79" s="82"/>
      <c r="N79" s="82"/>
      <c r="O79" s="82"/>
      <c r="Q79" s="130">
        <f t="shared" si="12"/>
        <v>0</v>
      </c>
    </row>
    <row r="80" spans="1:17" x14ac:dyDescent="0.25">
      <c r="A80" s="29"/>
      <c r="B80" s="29"/>
      <c r="C80" s="29"/>
      <c r="D80" s="29"/>
      <c r="E80" s="29"/>
      <c r="F80" s="30"/>
      <c r="G80" s="31"/>
      <c r="H80" s="30"/>
      <c r="I80" s="30"/>
      <c r="J80" s="30"/>
      <c r="K80" s="53"/>
      <c r="L80" s="82"/>
      <c r="M80" s="82"/>
      <c r="N80" s="82"/>
      <c r="O80" s="82"/>
      <c r="Q80" s="130">
        <f t="shared" si="12"/>
        <v>0</v>
      </c>
    </row>
    <row r="81" spans="1:17" x14ac:dyDescent="0.25">
      <c r="A81" s="29"/>
      <c r="B81" s="29"/>
      <c r="C81" s="29"/>
      <c r="D81" s="29"/>
      <c r="E81" s="29"/>
      <c r="F81" s="30"/>
      <c r="G81" s="31"/>
      <c r="H81" s="30"/>
      <c r="I81" s="30"/>
      <c r="J81" s="30"/>
      <c r="K81" s="53"/>
      <c r="L81" s="82"/>
      <c r="M81" s="82"/>
      <c r="N81" s="82"/>
      <c r="O81" s="82"/>
      <c r="Q81" s="130">
        <f t="shared" si="12"/>
        <v>0</v>
      </c>
    </row>
    <row r="82" spans="1:17" x14ac:dyDescent="0.25">
      <c r="A82" s="29"/>
      <c r="B82" s="29"/>
      <c r="C82" s="29"/>
      <c r="D82" s="29"/>
      <c r="E82" s="29"/>
      <c r="F82" s="30"/>
      <c r="G82" s="31"/>
      <c r="H82" s="30"/>
      <c r="I82" s="30"/>
      <c r="J82" s="30"/>
      <c r="K82" s="53"/>
      <c r="L82" s="82"/>
      <c r="M82" s="82"/>
      <c r="N82" s="82"/>
      <c r="O82" s="82"/>
      <c r="Q82" s="130">
        <f t="shared" si="12"/>
        <v>0</v>
      </c>
    </row>
    <row r="83" spans="1:17" x14ac:dyDescent="0.25">
      <c r="A83" s="29"/>
      <c r="B83" s="29"/>
      <c r="C83" s="29"/>
      <c r="D83" s="29"/>
      <c r="E83" s="29"/>
      <c r="F83" s="30"/>
      <c r="G83" s="31"/>
      <c r="H83" s="30"/>
      <c r="I83" s="30"/>
      <c r="J83" s="30"/>
      <c r="K83" s="53"/>
      <c r="L83" s="82"/>
      <c r="M83" s="82"/>
      <c r="N83" s="82"/>
      <c r="O83" s="82"/>
      <c r="Q83" s="130">
        <f t="shared" si="12"/>
        <v>0</v>
      </c>
    </row>
    <row r="84" spans="1:17" x14ac:dyDescent="0.25">
      <c r="A84" s="29"/>
      <c r="B84" s="29"/>
      <c r="C84" s="29"/>
      <c r="D84" s="29"/>
      <c r="E84" s="29"/>
      <c r="F84" s="30"/>
      <c r="G84" s="31"/>
      <c r="H84" s="30"/>
      <c r="I84" s="30"/>
      <c r="J84" s="30"/>
      <c r="K84" s="53"/>
      <c r="L84" s="82"/>
      <c r="M84" s="82"/>
      <c r="N84" s="82"/>
      <c r="O84" s="82"/>
      <c r="Q84" s="130">
        <f t="shared" si="12"/>
        <v>0</v>
      </c>
    </row>
    <row r="85" spans="1:17" x14ac:dyDescent="0.25">
      <c r="A85" s="29"/>
      <c r="B85" s="29"/>
      <c r="C85" s="29"/>
      <c r="D85" s="29"/>
      <c r="E85" s="29"/>
      <c r="F85" s="30"/>
      <c r="G85" s="31"/>
      <c r="H85" s="30"/>
      <c r="I85" s="30"/>
      <c r="J85" s="30"/>
      <c r="K85" s="53"/>
      <c r="L85" s="82"/>
      <c r="M85" s="82"/>
      <c r="N85" s="82"/>
      <c r="O85" s="82"/>
      <c r="Q85" s="130">
        <f t="shared" si="12"/>
        <v>0</v>
      </c>
    </row>
    <row r="86" spans="1:17" x14ac:dyDescent="0.25">
      <c r="A86" s="29"/>
      <c r="B86" s="29"/>
      <c r="C86" s="29"/>
      <c r="D86" s="29"/>
      <c r="E86" s="29"/>
      <c r="F86" s="30"/>
      <c r="G86" s="31"/>
      <c r="H86" s="30"/>
      <c r="I86" s="30"/>
      <c r="J86" s="30"/>
      <c r="K86" s="53"/>
      <c r="L86" s="82"/>
      <c r="M86" s="82"/>
      <c r="N86" s="82"/>
      <c r="O86" s="82"/>
      <c r="Q86" s="130">
        <f t="shared" si="12"/>
        <v>0</v>
      </c>
    </row>
    <row r="87" spans="1:17" x14ac:dyDescent="0.25">
      <c r="A87" s="29"/>
      <c r="B87" s="29"/>
      <c r="C87" s="29"/>
      <c r="D87" s="29"/>
      <c r="E87" s="29"/>
      <c r="F87" s="30"/>
      <c r="G87" s="31"/>
      <c r="H87" s="30"/>
      <c r="I87" s="30"/>
      <c r="J87" s="30"/>
      <c r="K87" s="53"/>
      <c r="L87" s="82"/>
      <c r="M87" s="82"/>
      <c r="N87" s="82"/>
      <c r="O87" s="82"/>
      <c r="Q87" s="130">
        <f t="shared" si="12"/>
        <v>0</v>
      </c>
    </row>
    <row r="88" spans="1:17" x14ac:dyDescent="0.25">
      <c r="A88" s="29"/>
      <c r="B88" s="29"/>
      <c r="C88" s="29"/>
      <c r="D88" s="29"/>
      <c r="E88" s="29"/>
      <c r="F88" s="30"/>
      <c r="G88" s="31"/>
      <c r="H88" s="30"/>
      <c r="I88" s="30"/>
      <c r="J88" s="30"/>
      <c r="K88" s="53"/>
      <c r="L88" s="82"/>
      <c r="M88" s="82"/>
      <c r="N88" s="82"/>
      <c r="O88" s="82"/>
      <c r="Q88" s="130">
        <f t="shared" si="12"/>
        <v>0</v>
      </c>
    </row>
    <row r="89" spans="1:17" x14ac:dyDescent="0.25">
      <c r="A89" s="29"/>
      <c r="B89" s="29"/>
      <c r="C89" s="29"/>
      <c r="D89" s="29"/>
      <c r="E89" s="29"/>
      <c r="F89" s="30"/>
      <c r="G89" s="31"/>
      <c r="H89" s="30"/>
      <c r="I89" s="30"/>
      <c r="J89" s="30"/>
      <c r="K89" s="53"/>
      <c r="L89" s="82"/>
      <c r="M89" s="82"/>
      <c r="N89" s="82"/>
      <c r="O89" s="82"/>
      <c r="Q89" s="130">
        <f t="shared" si="12"/>
        <v>0</v>
      </c>
    </row>
    <row r="90" spans="1:17" x14ac:dyDescent="0.25">
      <c r="A90" s="29"/>
      <c r="B90" s="29"/>
      <c r="C90" s="29"/>
      <c r="D90" s="29"/>
      <c r="E90" s="29"/>
      <c r="F90" s="30"/>
      <c r="G90" s="31"/>
      <c r="H90" s="30"/>
      <c r="I90" s="30"/>
      <c r="J90" s="30"/>
      <c r="K90" s="53"/>
      <c r="L90" s="82"/>
      <c r="M90" s="82"/>
      <c r="N90" s="82"/>
      <c r="O90" s="82"/>
      <c r="Q90" s="130">
        <f t="shared" si="12"/>
        <v>0</v>
      </c>
    </row>
    <row r="91" spans="1:17" x14ac:dyDescent="0.25">
      <c r="A91" s="29"/>
      <c r="B91" s="29"/>
      <c r="C91" s="29"/>
      <c r="D91" s="29"/>
      <c r="E91" s="29"/>
      <c r="F91" s="30"/>
      <c r="G91" s="31"/>
      <c r="H91" s="30"/>
      <c r="I91" s="30"/>
      <c r="J91" s="30"/>
      <c r="K91" s="53"/>
      <c r="L91" s="82"/>
      <c r="M91" s="82"/>
      <c r="N91" s="82"/>
      <c r="O91" s="82"/>
      <c r="Q91" s="130">
        <f t="shared" si="12"/>
        <v>0</v>
      </c>
    </row>
    <row r="92" spans="1:17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82"/>
      <c r="M92" s="82"/>
      <c r="N92" s="82"/>
      <c r="O92" s="82"/>
      <c r="Q92" s="130">
        <f t="shared" si="12"/>
        <v>0</v>
      </c>
    </row>
    <row r="93" spans="1:17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82"/>
      <c r="M93" s="82"/>
      <c r="N93" s="82"/>
      <c r="O93" s="82"/>
      <c r="Q93" s="130">
        <f t="shared" si="12"/>
        <v>0</v>
      </c>
    </row>
    <row r="94" spans="1:17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82"/>
      <c r="M94" s="82"/>
      <c r="N94" s="82"/>
      <c r="O94" s="82"/>
      <c r="Q94" s="130">
        <f t="shared" si="12"/>
        <v>0</v>
      </c>
    </row>
    <row r="95" spans="1:17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82"/>
      <c r="M95" s="82"/>
      <c r="N95" s="82"/>
      <c r="O95" s="82"/>
      <c r="Q95" s="130">
        <f t="shared" si="12"/>
        <v>0</v>
      </c>
    </row>
    <row r="96" spans="1:17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82"/>
      <c r="M96" s="82"/>
      <c r="N96" s="82"/>
      <c r="O96" s="82"/>
      <c r="Q96" s="130">
        <f t="shared" si="12"/>
        <v>0</v>
      </c>
    </row>
    <row r="97" spans="1:17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82"/>
      <c r="M97" s="82"/>
      <c r="N97" s="82"/>
      <c r="O97" s="82"/>
      <c r="Q97" s="130">
        <f t="shared" si="12"/>
        <v>0</v>
      </c>
    </row>
    <row r="98" spans="1:17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82"/>
      <c r="M98" s="82"/>
      <c r="N98" s="82"/>
      <c r="O98" s="82"/>
      <c r="Q98" s="130">
        <f t="shared" si="12"/>
        <v>0</v>
      </c>
    </row>
    <row r="99" spans="1:17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82"/>
      <c r="M99" s="82"/>
      <c r="N99" s="82"/>
      <c r="O99" s="82"/>
      <c r="Q99" s="130">
        <f t="shared" si="12"/>
        <v>0</v>
      </c>
    </row>
    <row r="100" spans="1:17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82"/>
      <c r="M100" s="82"/>
      <c r="N100" s="82"/>
      <c r="O100" s="82"/>
      <c r="Q100" s="130">
        <f t="shared" si="12"/>
        <v>0</v>
      </c>
    </row>
  </sheetData>
  <autoFilter ref="A7:O71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20"/>
  <sheetViews>
    <sheetView zoomScale="90" zoomScaleNormal="90" workbookViewId="0">
      <selection activeCell="G29" sqref="G29"/>
    </sheetView>
  </sheetViews>
  <sheetFormatPr defaultColWidth="12.85546875" defaultRowHeight="12.75" x14ac:dyDescent="0.25"/>
  <cols>
    <col min="1" max="1" width="28.5703125" style="28" customWidth="1"/>
    <col min="2" max="2" width="24.7109375" style="28" customWidth="1"/>
    <col min="3" max="3" width="25.42578125" style="28" customWidth="1"/>
    <col min="4" max="4" width="18.5703125" style="28" customWidth="1"/>
    <col min="5" max="5" width="22.7109375" style="28" customWidth="1"/>
    <col min="6" max="6" width="12.85546875" style="28"/>
    <col min="7" max="7" width="15.5703125" style="28" customWidth="1"/>
    <col min="8" max="8" width="14.5703125" style="28" customWidth="1"/>
    <col min="9" max="9" width="12.85546875" style="28"/>
    <col min="10" max="10" width="14.7109375" style="28" customWidth="1"/>
    <col min="11" max="14" width="14.7109375" style="80" bestFit="1" customWidth="1"/>
    <col min="15" max="15" width="12.85546875" style="28"/>
    <col min="16" max="16" width="12.85546875" style="129"/>
    <col min="17" max="17" width="29.5703125" style="28" customWidth="1"/>
    <col min="18" max="16384" width="12.85546875" style="28"/>
  </cols>
  <sheetData>
    <row r="1" spans="1:16" x14ac:dyDescent="0.25">
      <c r="A1" s="236"/>
      <c r="B1" s="236"/>
      <c r="C1" s="237"/>
      <c r="D1" s="61"/>
      <c r="E1" s="34" t="s">
        <v>108</v>
      </c>
      <c r="I1" s="35" t="s">
        <v>109</v>
      </c>
      <c r="J1" s="35"/>
      <c r="K1" s="35"/>
      <c r="L1" s="35"/>
      <c r="M1" s="35"/>
      <c r="N1" s="123" t="str">
        <f>N5</f>
        <v>Стрессс итог</v>
      </c>
      <c r="O1" s="123" t="s">
        <v>197</v>
      </c>
    </row>
    <row r="2" spans="1:16" x14ac:dyDescent="0.25">
      <c r="A2" s="234"/>
      <c r="B2" s="234"/>
      <c r="C2" s="234"/>
      <c r="D2" s="226"/>
      <c r="E2" s="37">
        <f>SUM(E6:E21)</f>
        <v>48974114363.220001</v>
      </c>
      <c r="F2" s="37"/>
      <c r="G2" s="37"/>
      <c r="H2" s="37"/>
      <c r="I2" s="37">
        <f>SUM(I6:I21)</f>
        <v>512424409.75579441</v>
      </c>
      <c r="J2" s="37"/>
      <c r="K2" s="37"/>
      <c r="L2" s="37"/>
      <c r="M2" s="37"/>
      <c r="N2" s="37" t="e">
        <f>SUM(N6:N21)</f>
        <v>#N/A</v>
      </c>
      <c r="O2" s="132" t="e">
        <f>N2/E2</f>
        <v>#N/A</v>
      </c>
    </row>
    <row r="4" spans="1:16" x14ac:dyDescent="0.25">
      <c r="C4" s="54" t="s">
        <v>13</v>
      </c>
      <c r="D4" s="54"/>
      <c r="E4" s="55">
        <f>SUM(E6:E20)</f>
        <v>48974114363.220001</v>
      </c>
      <c r="F4" s="55"/>
      <c r="G4" s="55">
        <f>SUM(G6:G20)</f>
        <v>42190450.458231114</v>
      </c>
      <c r="H4" s="55">
        <f>SUM(H6:H20)</f>
        <v>470233959.29756331</v>
      </c>
      <c r="I4" s="55">
        <f>SUM(I6:I20)</f>
        <v>512424409.75579441</v>
      </c>
      <c r="J4" s="55"/>
      <c r="K4" s="55"/>
      <c r="L4" s="55"/>
      <c r="M4" s="55" t="e">
        <f>SUM(M6:M20)</f>
        <v>#N/A</v>
      </c>
      <c r="N4" s="55" t="e">
        <f>SUM(N6:N20)</f>
        <v>#N/A</v>
      </c>
    </row>
    <row r="5" spans="1:16" ht="30.75" customHeight="1" x14ac:dyDescent="0.25">
      <c r="A5" s="29" t="s">
        <v>223</v>
      </c>
      <c r="B5" s="29" t="s">
        <v>103</v>
      </c>
      <c r="C5" s="29" t="s">
        <v>44</v>
      </c>
      <c r="D5" s="62" t="s">
        <v>107</v>
      </c>
      <c r="E5" s="33" t="s">
        <v>479</v>
      </c>
      <c r="F5" s="33" t="s">
        <v>49</v>
      </c>
      <c r="G5" s="33" t="s">
        <v>57</v>
      </c>
      <c r="H5" s="33" t="s">
        <v>58</v>
      </c>
      <c r="I5" s="32" t="s">
        <v>109</v>
      </c>
      <c r="J5" s="32" t="s">
        <v>104</v>
      </c>
      <c r="K5" s="81" t="s">
        <v>166</v>
      </c>
      <c r="L5" s="81" t="s">
        <v>167</v>
      </c>
      <c r="M5" s="81" t="s">
        <v>168</v>
      </c>
      <c r="N5" s="81" t="s">
        <v>169</v>
      </c>
      <c r="P5" s="128" t="s">
        <v>194</v>
      </c>
    </row>
    <row r="6" spans="1:16" x14ac:dyDescent="0.25">
      <c r="A6" s="29" t="s">
        <v>486</v>
      </c>
      <c r="B6" s="29" t="s">
        <v>678</v>
      </c>
      <c r="C6" s="29" t="s">
        <v>679</v>
      </c>
      <c r="D6" s="29" t="s">
        <v>684</v>
      </c>
      <c r="E6" s="30">
        <v>566531290.23999989</v>
      </c>
      <c r="F6" s="31">
        <v>1.0463168480298844E-2</v>
      </c>
      <c r="G6" s="30">
        <v>488058.04136928392</v>
      </c>
      <c r="H6" s="30">
        <v>5439654.2977729198</v>
      </c>
      <c r="I6" s="125">
        <f>E6*F6</f>
        <v>5927712.3391422033</v>
      </c>
      <c r="J6" s="53" t="s">
        <v>76</v>
      </c>
      <c r="K6" s="109" t="s">
        <v>78</v>
      </c>
      <c r="L6" s="126">
        <f>VLOOKUP(K6,'РейтPD FRED Graph'!$R$4:$V$26,5,0)</f>
        <v>2.9499026019492382E-3</v>
      </c>
      <c r="M6" s="127">
        <f>L6*E6</f>
        <v>1671212.1271646346</v>
      </c>
      <c r="N6" s="127">
        <f>M6+I6</f>
        <v>7598924.4663068382</v>
      </c>
      <c r="P6" s="130">
        <f>I6-H6-G6</f>
        <v>0</v>
      </c>
    </row>
    <row r="7" spans="1:16" x14ac:dyDescent="0.25">
      <c r="A7" s="29" t="s">
        <v>486</v>
      </c>
      <c r="B7" s="29" t="s">
        <v>678</v>
      </c>
      <c r="C7" s="29" t="s">
        <v>680</v>
      </c>
      <c r="D7" s="29" t="s">
        <v>685</v>
      </c>
      <c r="E7" s="30">
        <v>13198223032.080002</v>
      </c>
      <c r="F7" s="31">
        <v>1.0463168480298844E-2</v>
      </c>
      <c r="G7" s="30">
        <v>11370067.273535982</v>
      </c>
      <c r="H7" s="30">
        <v>126725163.95167774</v>
      </c>
      <c r="I7" s="125">
        <f t="shared" ref="I7:I20" si="0">E7*F7</f>
        <v>138095231.22521371</v>
      </c>
      <c r="J7" s="53" t="s">
        <v>76</v>
      </c>
      <c r="K7" s="109" t="s">
        <v>78</v>
      </c>
      <c r="L7" s="126">
        <f>VLOOKUP(K7,'РейтPD FRED Graph'!$R$4:$V$26,5,0)</f>
        <v>2.9499026019492382E-3</v>
      </c>
      <c r="M7" s="127">
        <f t="shared" ref="M7:M20" si="1">L7*E7</f>
        <v>38933472.463439159</v>
      </c>
      <c r="N7" s="127">
        <f t="shared" ref="N7:N20" si="2">M7+I7</f>
        <v>177028703.68865287</v>
      </c>
      <c r="P7" s="130">
        <f t="shared" ref="P7:P20" si="3">I7-H7-G7</f>
        <v>-1.4901161193847656E-8</v>
      </c>
    </row>
    <row r="8" spans="1:16" x14ac:dyDescent="0.25">
      <c r="A8" s="29" t="s">
        <v>486</v>
      </c>
      <c r="B8" s="29" t="s">
        <v>678</v>
      </c>
      <c r="C8" s="29" t="s">
        <v>681</v>
      </c>
      <c r="D8" s="29" t="s">
        <v>686</v>
      </c>
      <c r="E8" s="30">
        <v>12395153456.699999</v>
      </c>
      <c r="F8" s="31">
        <v>1.0463168480298844E-2</v>
      </c>
      <c r="G8" s="30">
        <v>10678235.117403552</v>
      </c>
      <c r="H8" s="30">
        <v>119014343.83920714</v>
      </c>
      <c r="I8" s="125">
        <f t="shared" si="0"/>
        <v>129692578.95661069</v>
      </c>
      <c r="J8" s="53" t="s">
        <v>76</v>
      </c>
      <c r="K8" s="109" t="s">
        <v>78</v>
      </c>
      <c r="L8" s="126">
        <f>VLOOKUP(K8,'РейтPD FRED Graph'!$R$4:$V$26,5,0)</f>
        <v>2.9499026019492382E-3</v>
      </c>
      <c r="M8" s="127">
        <f t="shared" si="1"/>
        <v>36564495.433479421</v>
      </c>
      <c r="N8" s="127">
        <f t="shared" si="2"/>
        <v>166257074.39009011</v>
      </c>
      <c r="P8" s="130">
        <f t="shared" si="3"/>
        <v>0</v>
      </c>
    </row>
    <row r="9" spans="1:16" x14ac:dyDescent="0.25">
      <c r="A9" s="29" t="s">
        <v>486</v>
      </c>
      <c r="B9" s="29" t="s">
        <v>678</v>
      </c>
      <c r="C9" s="29" t="s">
        <v>682</v>
      </c>
      <c r="D9" s="29" t="s">
        <v>687</v>
      </c>
      <c r="E9" s="30">
        <v>17836061888.060001</v>
      </c>
      <c r="F9" s="31">
        <v>1.0463168480298844E-2</v>
      </c>
      <c r="G9" s="30">
        <v>15365494.511592077</v>
      </c>
      <c r="H9" s="30">
        <v>171256226.04821682</v>
      </c>
      <c r="I9" s="125">
        <f t="shared" si="0"/>
        <v>186621720.55980891</v>
      </c>
      <c r="J9" s="53" t="s">
        <v>76</v>
      </c>
      <c r="K9" s="109" t="s">
        <v>78</v>
      </c>
      <c r="L9" s="126">
        <f>VLOOKUP(K9,'РейтPD FRED Graph'!$R$4:$V$26,5,0)</f>
        <v>2.9499026019492382E-3</v>
      </c>
      <c r="M9" s="127">
        <f t="shared" si="1"/>
        <v>52614645.372115843</v>
      </c>
      <c r="N9" s="127">
        <f t="shared" si="2"/>
        <v>239236365.93192476</v>
      </c>
      <c r="P9" s="130">
        <f t="shared" si="3"/>
        <v>0</v>
      </c>
    </row>
    <row r="10" spans="1:16" x14ac:dyDescent="0.25">
      <c r="A10" s="29" t="s">
        <v>486</v>
      </c>
      <c r="B10" s="29" t="s">
        <v>149</v>
      </c>
      <c r="C10" s="29" t="s">
        <v>683</v>
      </c>
      <c r="D10" s="29" t="s">
        <v>688</v>
      </c>
      <c r="E10" s="30">
        <v>4978144696.1399994</v>
      </c>
      <c r="F10" s="31">
        <v>1.0463168480298844E-2</v>
      </c>
      <c r="G10" s="30">
        <v>4288595.5143302232</v>
      </c>
      <c r="H10" s="30">
        <v>47798571.160688691</v>
      </c>
      <c r="I10" s="125">
        <f t="shared" si="0"/>
        <v>52087166.675018907</v>
      </c>
      <c r="J10" s="53" t="s">
        <v>76</v>
      </c>
      <c r="K10" s="109" t="s">
        <v>76</v>
      </c>
      <c r="L10" s="126">
        <f>VLOOKUP(K10,'РейтPD FRED Graph'!$R$4:$V$26,5,0)</f>
        <v>1.3367227501891068E-3</v>
      </c>
      <c r="M10" s="127">
        <f t="shared" si="1"/>
        <v>6654399.2690635752</v>
      </c>
      <c r="N10" s="127">
        <f t="shared" si="2"/>
        <v>58741565.944082484</v>
      </c>
      <c r="P10" s="130">
        <f t="shared" si="3"/>
        <v>-7.4505805969238281E-9</v>
      </c>
    </row>
    <row r="11" spans="1:16" x14ac:dyDescent="0.25">
      <c r="A11" s="29"/>
      <c r="B11" s="29"/>
      <c r="C11" s="29"/>
      <c r="D11" s="29"/>
      <c r="E11" s="30"/>
      <c r="F11" s="31"/>
      <c r="G11" s="30"/>
      <c r="H11" s="30"/>
      <c r="I11" s="125">
        <f t="shared" si="0"/>
        <v>0</v>
      </c>
      <c r="J11" s="53"/>
      <c r="K11" s="109"/>
      <c r="L11" s="126" t="e">
        <f>VLOOKUP(K11,'РейтPD FRED Graph'!$R$4:$V$26,5,0)</f>
        <v>#N/A</v>
      </c>
      <c r="M11" s="127" t="e">
        <f t="shared" si="1"/>
        <v>#N/A</v>
      </c>
      <c r="N11" s="127" t="e">
        <f t="shared" si="2"/>
        <v>#N/A</v>
      </c>
      <c r="P11" s="130">
        <f>I11-H11-G11</f>
        <v>0</v>
      </c>
    </row>
    <row r="12" spans="1:16" x14ac:dyDescent="0.25">
      <c r="A12" s="29"/>
      <c r="B12" s="29"/>
      <c r="C12" s="29"/>
      <c r="D12" s="29"/>
      <c r="E12" s="30"/>
      <c r="F12" s="31"/>
      <c r="G12" s="30"/>
      <c r="H12" s="30"/>
      <c r="I12" s="125">
        <f t="shared" si="0"/>
        <v>0</v>
      </c>
      <c r="J12" s="53"/>
      <c r="K12" s="109"/>
      <c r="L12" s="126" t="e">
        <f>VLOOKUP(K12,'РейтPD FRED Graph'!$R$4:$V$26,5,0)</f>
        <v>#N/A</v>
      </c>
      <c r="M12" s="127" t="e">
        <f t="shared" si="1"/>
        <v>#N/A</v>
      </c>
      <c r="N12" s="127" t="e">
        <f t="shared" si="2"/>
        <v>#N/A</v>
      </c>
      <c r="P12" s="130">
        <f t="shared" si="3"/>
        <v>0</v>
      </c>
    </row>
    <row r="13" spans="1:16" x14ac:dyDescent="0.25">
      <c r="A13" s="29"/>
      <c r="B13" s="29"/>
      <c r="C13" s="29"/>
      <c r="D13" s="29"/>
      <c r="E13" s="30"/>
      <c r="F13" s="31"/>
      <c r="G13" s="30"/>
      <c r="H13" s="30"/>
      <c r="I13" s="125">
        <f t="shared" si="0"/>
        <v>0</v>
      </c>
      <c r="J13" s="53"/>
      <c r="K13" s="109"/>
      <c r="L13" s="126" t="e">
        <f>VLOOKUP(K13,'РейтPD FRED Graph'!$R$4:$V$26,5,0)</f>
        <v>#N/A</v>
      </c>
      <c r="M13" s="127" t="e">
        <f t="shared" si="1"/>
        <v>#N/A</v>
      </c>
      <c r="N13" s="127" t="e">
        <f t="shared" si="2"/>
        <v>#N/A</v>
      </c>
      <c r="P13" s="130">
        <f t="shared" si="3"/>
        <v>0</v>
      </c>
    </row>
    <row r="14" spans="1:16" x14ac:dyDescent="0.25">
      <c r="A14" s="29"/>
      <c r="B14" s="29"/>
      <c r="C14" s="29"/>
      <c r="D14" s="29"/>
      <c r="E14" s="30"/>
      <c r="F14" s="31"/>
      <c r="G14" s="30"/>
      <c r="H14" s="30"/>
      <c r="I14" s="125">
        <f t="shared" si="0"/>
        <v>0</v>
      </c>
      <c r="J14" s="53"/>
      <c r="K14" s="109"/>
      <c r="L14" s="126" t="e">
        <f>VLOOKUP(K14,'РейтPD FRED Graph'!$R$4:$V$26,5,0)</f>
        <v>#N/A</v>
      </c>
      <c r="M14" s="127" t="e">
        <f t="shared" si="1"/>
        <v>#N/A</v>
      </c>
      <c r="N14" s="127" t="e">
        <f t="shared" si="2"/>
        <v>#N/A</v>
      </c>
      <c r="P14" s="130">
        <f t="shared" si="3"/>
        <v>0</v>
      </c>
    </row>
    <row r="15" spans="1:16" x14ac:dyDescent="0.25">
      <c r="A15" s="29"/>
      <c r="B15" s="29"/>
      <c r="C15" s="29"/>
      <c r="D15" s="29"/>
      <c r="E15" s="30"/>
      <c r="F15" s="31"/>
      <c r="G15" s="30"/>
      <c r="H15" s="30"/>
      <c r="I15" s="125">
        <f t="shared" si="0"/>
        <v>0</v>
      </c>
      <c r="J15" s="53"/>
      <c r="K15" s="109"/>
      <c r="L15" s="126" t="e">
        <f>VLOOKUP(K15,'РейтPD FRED Graph'!$R$4:$V$26,5,0)</f>
        <v>#N/A</v>
      </c>
      <c r="M15" s="127" t="e">
        <f t="shared" si="1"/>
        <v>#N/A</v>
      </c>
      <c r="N15" s="127" t="e">
        <f t="shared" si="2"/>
        <v>#N/A</v>
      </c>
      <c r="P15" s="130">
        <f t="shared" si="3"/>
        <v>0</v>
      </c>
    </row>
    <row r="16" spans="1:16" x14ac:dyDescent="0.25">
      <c r="A16" s="29"/>
      <c r="B16" s="29"/>
      <c r="C16" s="29"/>
      <c r="D16" s="29"/>
      <c r="E16" s="30"/>
      <c r="F16" s="31"/>
      <c r="G16" s="30"/>
      <c r="H16" s="30"/>
      <c r="I16" s="125">
        <f t="shared" si="0"/>
        <v>0</v>
      </c>
      <c r="J16" s="53"/>
      <c r="K16" s="109"/>
      <c r="L16" s="126" t="e">
        <f>VLOOKUP(K16,'РейтPD FRED Graph'!$R$4:$V$26,5,0)</f>
        <v>#N/A</v>
      </c>
      <c r="M16" s="127" t="e">
        <f t="shared" si="1"/>
        <v>#N/A</v>
      </c>
      <c r="N16" s="127" t="e">
        <f t="shared" si="2"/>
        <v>#N/A</v>
      </c>
      <c r="P16" s="130">
        <f t="shared" si="3"/>
        <v>0</v>
      </c>
    </row>
    <row r="17" spans="1:16" x14ac:dyDescent="0.25">
      <c r="A17" s="29"/>
      <c r="B17" s="29"/>
      <c r="C17" s="29"/>
      <c r="D17" s="29"/>
      <c r="E17" s="30"/>
      <c r="F17" s="31"/>
      <c r="G17" s="30"/>
      <c r="H17" s="30"/>
      <c r="I17" s="125">
        <f t="shared" si="0"/>
        <v>0</v>
      </c>
      <c r="J17" s="53"/>
      <c r="K17" s="109"/>
      <c r="L17" s="126" t="e">
        <f>VLOOKUP(K17,'РейтPD FRED Graph'!$R$4:$V$26,5,0)</f>
        <v>#N/A</v>
      </c>
      <c r="M17" s="127" t="e">
        <f t="shared" si="1"/>
        <v>#N/A</v>
      </c>
      <c r="N17" s="127" t="e">
        <f t="shared" si="2"/>
        <v>#N/A</v>
      </c>
      <c r="P17" s="130">
        <f t="shared" si="3"/>
        <v>0</v>
      </c>
    </row>
    <row r="18" spans="1:16" x14ac:dyDescent="0.25">
      <c r="A18" s="29"/>
      <c r="B18" s="29"/>
      <c r="C18" s="29"/>
      <c r="D18" s="29"/>
      <c r="E18" s="30"/>
      <c r="F18" s="31"/>
      <c r="G18" s="30"/>
      <c r="H18" s="30"/>
      <c r="I18" s="125">
        <f t="shared" si="0"/>
        <v>0</v>
      </c>
      <c r="J18" s="53"/>
      <c r="K18" s="109"/>
      <c r="L18" s="126" t="e">
        <f>VLOOKUP(K18,'РейтPD FRED Graph'!$R$4:$V$26,5,0)</f>
        <v>#N/A</v>
      </c>
      <c r="M18" s="127" t="e">
        <f t="shared" si="1"/>
        <v>#N/A</v>
      </c>
      <c r="N18" s="127" t="e">
        <f t="shared" si="2"/>
        <v>#N/A</v>
      </c>
      <c r="P18" s="130">
        <f t="shared" si="3"/>
        <v>0</v>
      </c>
    </row>
    <row r="19" spans="1:16" x14ac:dyDescent="0.25">
      <c r="A19" s="29"/>
      <c r="B19" s="29"/>
      <c r="C19" s="29"/>
      <c r="D19" s="29"/>
      <c r="E19" s="30"/>
      <c r="F19" s="31"/>
      <c r="G19" s="30"/>
      <c r="H19" s="30"/>
      <c r="I19" s="125">
        <f t="shared" si="0"/>
        <v>0</v>
      </c>
      <c r="J19" s="53"/>
      <c r="K19" s="109"/>
      <c r="L19" s="126" t="e">
        <f>VLOOKUP(K19,'РейтPD FRED Graph'!$R$4:$V$26,5,0)</f>
        <v>#N/A</v>
      </c>
      <c r="M19" s="127" t="e">
        <f t="shared" si="1"/>
        <v>#N/A</v>
      </c>
      <c r="N19" s="127" t="e">
        <f t="shared" si="2"/>
        <v>#N/A</v>
      </c>
      <c r="P19" s="130">
        <f t="shared" si="3"/>
        <v>0</v>
      </c>
    </row>
    <row r="20" spans="1:16" x14ac:dyDescent="0.25">
      <c r="A20" s="29"/>
      <c r="B20" s="29"/>
      <c r="C20" s="29"/>
      <c r="D20" s="29"/>
      <c r="E20" s="30"/>
      <c r="F20" s="31"/>
      <c r="G20" s="30"/>
      <c r="H20" s="30"/>
      <c r="I20" s="125">
        <f t="shared" si="0"/>
        <v>0</v>
      </c>
      <c r="J20" s="53"/>
      <c r="K20" s="109"/>
      <c r="L20" s="126" t="e">
        <f>VLOOKUP(K20,'РейтPD FRED Graph'!$R$4:$V$26,5,0)</f>
        <v>#N/A</v>
      </c>
      <c r="M20" s="127" t="e">
        <f t="shared" si="1"/>
        <v>#N/A</v>
      </c>
      <c r="N20" s="127" t="e">
        <f t="shared" si="2"/>
        <v>#N/A</v>
      </c>
      <c r="P20" s="130">
        <f t="shared" si="3"/>
        <v>0</v>
      </c>
    </row>
  </sheetData>
  <autoFilter ref="A5:N20"/>
  <mergeCells count="2">
    <mergeCell ref="A1:C1"/>
    <mergeCell ref="A2:C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5"/>
  <sheetViews>
    <sheetView topLeftCell="A71" zoomScale="80" zoomScaleNormal="80" workbookViewId="0">
      <selection activeCell="A38" sqref="A38"/>
    </sheetView>
  </sheetViews>
  <sheetFormatPr defaultColWidth="9.140625" defaultRowHeight="12.75" x14ac:dyDescent="0.2"/>
  <cols>
    <col min="1" max="1" width="19.42578125" style="39" customWidth="1"/>
    <col min="2" max="2" width="14.42578125" style="39" customWidth="1"/>
    <col min="3" max="5" width="10.5703125" style="39" customWidth="1"/>
    <col min="6" max="6" width="14.5703125" style="39" customWidth="1"/>
    <col min="7" max="7" width="10.7109375" style="39" bestFit="1" customWidth="1"/>
    <col min="8" max="8" width="10.7109375" style="39" customWidth="1"/>
    <col min="9" max="9" width="16" style="40" customWidth="1"/>
    <col min="10" max="10" width="17.42578125" style="40" customWidth="1"/>
    <col min="11" max="11" width="11.85546875" style="39" customWidth="1"/>
    <col min="12" max="12" width="9.140625" style="39"/>
    <col min="13" max="13" width="11.85546875" style="39" customWidth="1"/>
    <col min="14" max="14" width="13.5703125" style="39" customWidth="1"/>
    <col min="15" max="15" width="12.5703125" style="39" customWidth="1"/>
    <col min="16" max="16" width="11.28515625" style="39" customWidth="1"/>
    <col min="17" max="17" width="9.42578125" style="39" customWidth="1"/>
    <col min="18" max="18" width="10" style="39" customWidth="1"/>
    <col min="19" max="19" width="14.5703125" style="39" customWidth="1"/>
    <col min="20" max="21" width="9.140625" style="39"/>
    <col min="22" max="22" width="14.85546875" style="39" customWidth="1"/>
    <col min="23" max="23" width="9.140625" style="39"/>
    <col min="24" max="24" width="10.28515625" style="39" bestFit="1" customWidth="1"/>
    <col min="25" max="29" width="9.140625" style="39"/>
    <col min="30" max="30" width="13.7109375" style="39" customWidth="1"/>
    <col min="31" max="31" width="9.140625" style="39"/>
    <col min="32" max="32" width="22.5703125" style="39" customWidth="1"/>
    <col min="33" max="16384" width="9.140625" style="39"/>
  </cols>
  <sheetData>
    <row r="1" spans="1:32" x14ac:dyDescent="0.2">
      <c r="H1" s="241" t="s">
        <v>110</v>
      </c>
      <c r="I1" s="242"/>
      <c r="J1" s="242"/>
      <c r="K1" s="243"/>
      <c r="M1" s="241" t="s">
        <v>110</v>
      </c>
      <c r="N1" s="242"/>
      <c r="O1" s="242"/>
      <c r="P1" s="243"/>
    </row>
    <row r="2" spans="1:32" ht="14.45" customHeight="1" x14ac:dyDescent="0.2">
      <c r="A2" s="239" t="s">
        <v>187</v>
      </c>
      <c r="B2" s="239"/>
      <c r="C2" s="239"/>
      <c r="D2" s="239"/>
      <c r="E2" s="239"/>
      <c r="F2" s="239"/>
      <c r="H2" s="241" t="s">
        <v>111</v>
      </c>
      <c r="I2" s="243"/>
      <c r="J2" s="87" t="s">
        <v>51</v>
      </c>
      <c r="K2" s="88">
        <v>0.75</v>
      </c>
      <c r="M2" s="241" t="s">
        <v>23</v>
      </c>
      <c r="N2" s="243"/>
      <c r="O2" s="87" t="s">
        <v>51</v>
      </c>
      <c r="P2" s="88">
        <v>1</v>
      </c>
      <c r="R2" s="240" t="s">
        <v>170</v>
      </c>
      <c r="S2" s="240"/>
      <c r="T2" s="240"/>
      <c r="U2" s="240"/>
      <c r="V2" s="240"/>
      <c r="W2" s="240"/>
      <c r="X2" s="240"/>
    </row>
    <row r="3" spans="1:32" ht="38.25" x14ac:dyDescent="0.2">
      <c r="A3" s="41" t="s">
        <v>52</v>
      </c>
      <c r="B3" s="41" t="s">
        <v>112</v>
      </c>
      <c r="C3" s="41" t="s">
        <v>53</v>
      </c>
      <c r="D3" s="41" t="s">
        <v>54</v>
      </c>
      <c r="E3" s="41" t="s">
        <v>55</v>
      </c>
      <c r="F3" s="41" t="s">
        <v>113</v>
      </c>
      <c r="G3" s="42"/>
      <c r="H3" s="41" t="s">
        <v>56</v>
      </c>
      <c r="I3" s="43" t="s">
        <v>57</v>
      </c>
      <c r="J3" s="43" t="s">
        <v>58</v>
      </c>
      <c r="K3" s="41" t="s">
        <v>46</v>
      </c>
      <c r="L3" s="42"/>
      <c r="M3" s="41" t="s">
        <v>56</v>
      </c>
      <c r="N3" s="43" t="s">
        <v>57</v>
      </c>
      <c r="O3" s="43" t="s">
        <v>58</v>
      </c>
      <c r="P3" s="41" t="s">
        <v>46</v>
      </c>
      <c r="R3" s="41" t="str">
        <f>B3</f>
        <v>Универсальная шкала</v>
      </c>
      <c r="S3" s="41" t="s">
        <v>56</v>
      </c>
      <c r="T3" s="43" t="s">
        <v>51</v>
      </c>
      <c r="U3" s="43"/>
      <c r="V3" s="41" t="s">
        <v>186</v>
      </c>
    </row>
    <row r="4" spans="1:32" x14ac:dyDescent="0.2">
      <c r="A4" s="44" t="s">
        <v>59</v>
      </c>
      <c r="B4" s="45" t="s">
        <v>60</v>
      </c>
      <c r="C4" s="46">
        <v>0</v>
      </c>
      <c r="D4" s="46">
        <v>1.1723329425556859E-3</v>
      </c>
      <c r="E4" s="46">
        <v>0</v>
      </c>
      <c r="F4" s="47">
        <v>1.0000000000000001E-5</v>
      </c>
      <c r="H4" s="46">
        <v>0.23994001499750031</v>
      </c>
      <c r="I4" s="48">
        <v>7.500000000000001E-6</v>
      </c>
      <c r="J4" s="48">
        <v>1.1895639320110399E-4</v>
      </c>
      <c r="K4" s="49">
        <v>1.26456393201104E-4</v>
      </c>
      <c r="M4" s="46">
        <v>0.23994001499750031</v>
      </c>
      <c r="N4" s="48">
        <v>1.0000000000000001E-5</v>
      </c>
      <c r="O4" s="48">
        <v>1.5860852426813866E-4</v>
      </c>
      <c r="P4" s="49">
        <v>1.6860852426813866E-4</v>
      </c>
      <c r="R4" s="45" t="str">
        <f>B4</f>
        <v>AAA</v>
      </c>
      <c r="S4" s="46">
        <f>0.06*((1-EXP(-50*F4)/(1-EXP(-50))))+0.12*(1-(1-EXP(-50*F4)/(1-EXP(-50))))</f>
        <v>0.11997000749875016</v>
      </c>
      <c r="T4" s="48">
        <f>1-0.90736*(1-F4^0.30224)^4.5948</f>
        <v>0.21419364827164478</v>
      </c>
      <c r="U4" s="48">
        <f>(_xlfn.NORM.S.INV(F4)+S4^0.5*_xlfn.NORM.S.INV($X$6))/((1-S4)^0.5)</f>
        <v>-3.9696877074540788</v>
      </c>
      <c r="V4" s="121">
        <f>(_xlfn.NORM.S.DIST(U4,TRUE)-F4)*T4</f>
        <v>5.5654892477399891E-6</v>
      </c>
      <c r="X4" s="210">
        <f>_xlfn.NORM.DIST(-0.04,E31,E32,TRUE)</f>
        <v>5.9176263941502924E-2</v>
      </c>
      <c r="Y4" s="119" t="s">
        <v>185</v>
      </c>
      <c r="Z4" s="118" t="s">
        <v>195</v>
      </c>
      <c r="AF4" s="120"/>
    </row>
    <row r="5" spans="1:32" x14ac:dyDescent="0.2">
      <c r="A5" s="44" t="s">
        <v>61</v>
      </c>
      <c r="B5" s="45" t="s">
        <v>62</v>
      </c>
      <c r="C5" s="46">
        <v>0</v>
      </c>
      <c r="D5" s="46">
        <v>0</v>
      </c>
      <c r="E5" s="46">
        <v>0</v>
      </c>
      <c r="F5" s="47">
        <v>5.0000000000000002E-5</v>
      </c>
      <c r="H5" s="46">
        <v>0.2397003746876952</v>
      </c>
      <c r="I5" s="48">
        <v>3.7500000000000003E-5</v>
      </c>
      <c r="J5" s="48">
        <v>5.628953701183625E-4</v>
      </c>
      <c r="K5" s="49">
        <v>6.0039537011836249E-4</v>
      </c>
      <c r="M5" s="46">
        <v>0.2397003746876952</v>
      </c>
      <c r="N5" s="48">
        <v>5.0000000000000002E-5</v>
      </c>
      <c r="O5" s="48">
        <v>7.5052716015781655E-4</v>
      </c>
      <c r="P5" s="49">
        <v>8.0052716015781658E-4</v>
      </c>
      <c r="R5" s="45" t="str">
        <f t="shared" ref="R5:R26" si="0">B5</f>
        <v>AA+</v>
      </c>
      <c r="S5" s="46">
        <f>0.06*((1-EXP(-50*F5)/(1-EXP(-50))))+0.12*(1-(1-EXP(-50*F5)/(1-EXP(-50))))</f>
        <v>0.1198501873438476</v>
      </c>
      <c r="T5" s="48">
        <f t="shared" ref="T5:T24" si="1">1-0.90736*(1-F5^0.30224)^4.5948</f>
        <v>0.28359120437045782</v>
      </c>
      <c r="U5" s="48">
        <f t="shared" ref="U5:U24" si="2">(_xlfn.NORM.S.INV(F5)+S5^0.5*_xlfn.NORM.S.INV($X$6))/((1-S5)^0.5)</f>
        <v>-3.5707354765683732</v>
      </c>
      <c r="V5" s="121">
        <f t="shared" ref="V5:V24" si="3">(_xlfn.NORM.S.DIST(U5,TRUE)-F5)*T5</f>
        <v>3.6296875489130776E-5</v>
      </c>
      <c r="Z5" s="39" t="s">
        <v>196</v>
      </c>
      <c r="AF5" s="120"/>
    </row>
    <row r="6" spans="1:32" x14ac:dyDescent="0.2">
      <c r="A6" s="44" t="s">
        <v>63</v>
      </c>
      <c r="B6" s="45" t="s">
        <v>64</v>
      </c>
      <c r="C6" s="46">
        <v>2.0000000000000001E-4</v>
      </c>
      <c r="D6" s="46">
        <v>0</v>
      </c>
      <c r="E6" s="46">
        <v>0</v>
      </c>
      <c r="F6" s="50">
        <v>6.666666666666667E-5</v>
      </c>
      <c r="H6" s="46">
        <v>0.23960066592654278</v>
      </c>
      <c r="I6" s="48">
        <v>5.0000000000000002E-5</v>
      </c>
      <c r="J6" s="48">
        <v>7.3918043068642845E-4</v>
      </c>
      <c r="K6" s="49">
        <v>7.8918043068642847E-4</v>
      </c>
      <c r="M6" s="46">
        <v>0.23960066592654278</v>
      </c>
      <c r="N6" s="48">
        <v>6.666666666666667E-5</v>
      </c>
      <c r="O6" s="48">
        <v>9.855739075819046E-4</v>
      </c>
      <c r="P6" s="49">
        <v>1.0522405742485713E-3</v>
      </c>
      <c r="R6" s="45" t="str">
        <f t="shared" si="0"/>
        <v>AA</v>
      </c>
      <c r="S6" s="46">
        <f t="shared" ref="S6:S24" si="4">0.06*((1-EXP(-50*F6)/(1-EXP(-50))))+0.12*(1-(1-EXP(-50*F6)/(1-EXP(-50))))</f>
        <v>0.11980033296327139</v>
      </c>
      <c r="T6" s="48">
        <f t="shared" si="1"/>
        <v>0.29923555646084898</v>
      </c>
      <c r="U6" s="48">
        <f t="shared" si="2"/>
        <v>-3.4957447848214867</v>
      </c>
      <c r="V6" s="121">
        <f t="shared" si="3"/>
        <v>5.0781364397777653E-5</v>
      </c>
      <c r="X6" s="39">
        <f>1-X4</f>
        <v>0.94082373605849712</v>
      </c>
      <c r="AF6" s="120"/>
    </row>
    <row r="7" spans="1:32" x14ac:dyDescent="0.2">
      <c r="A7" s="44" t="s">
        <v>65</v>
      </c>
      <c r="B7" s="45" t="s">
        <v>66</v>
      </c>
      <c r="C7" s="46">
        <v>2.9999999999999997E-4</v>
      </c>
      <c r="D7" s="46">
        <v>8.1059173196433392E-4</v>
      </c>
      <c r="E7" s="46">
        <v>4.3323699898556445E-4</v>
      </c>
      <c r="F7" s="50">
        <v>5.1460957698329943E-4</v>
      </c>
      <c r="H7" s="46">
        <v>0.23695172746982804</v>
      </c>
      <c r="I7" s="48">
        <v>3.859571827374746E-4</v>
      </c>
      <c r="J7" s="48">
        <v>4.8054626362045603E-3</v>
      </c>
      <c r="K7" s="49">
        <v>5.1914198189420349E-3</v>
      </c>
      <c r="M7" s="46">
        <v>0.23695172746982804</v>
      </c>
      <c r="N7" s="48">
        <v>5.1460957698329943E-4</v>
      </c>
      <c r="O7" s="48">
        <v>6.4072835149394129E-3</v>
      </c>
      <c r="P7" s="49">
        <v>6.9218930919227126E-3</v>
      </c>
      <c r="R7" s="45" t="str">
        <f t="shared" si="0"/>
        <v>AA-</v>
      </c>
      <c r="S7" s="46">
        <f t="shared" si="4"/>
        <v>0.11847586373491402</v>
      </c>
      <c r="T7" s="48">
        <f t="shared" si="1"/>
        <v>0.4448551584383259</v>
      </c>
      <c r="U7" s="48">
        <f t="shared" si="2"/>
        <v>-2.9235043322732315</v>
      </c>
      <c r="V7" s="121">
        <f t="shared" si="3"/>
        <v>5.4092940028114308E-4</v>
      </c>
      <c r="AF7" s="120"/>
    </row>
    <row r="8" spans="1:32" x14ac:dyDescent="0.2">
      <c r="A8" s="44" t="s">
        <v>67</v>
      </c>
      <c r="B8" s="45" t="s">
        <v>68</v>
      </c>
      <c r="C8" s="46">
        <v>5.0000000000000001E-4</v>
      </c>
      <c r="D8" s="46">
        <v>0</v>
      </c>
      <c r="E8" s="46">
        <v>6.2597187978419289E-4</v>
      </c>
      <c r="F8" s="50">
        <v>5.2999999999999998E-4</v>
      </c>
      <c r="H8" s="46">
        <v>0.2368617652602642</v>
      </c>
      <c r="I8" s="48">
        <v>3.9749999999999996E-4</v>
      </c>
      <c r="J8" s="48">
        <v>4.9318340484964234E-3</v>
      </c>
      <c r="K8" s="49">
        <v>5.3293340484964237E-3</v>
      </c>
      <c r="M8" s="46">
        <v>0.2368617652602642</v>
      </c>
      <c r="N8" s="48">
        <v>5.2999999999999998E-4</v>
      </c>
      <c r="O8" s="48">
        <v>6.5757787313285654E-3</v>
      </c>
      <c r="P8" s="49">
        <v>7.1057787313285655E-3</v>
      </c>
      <c r="R8" s="45" t="str">
        <f t="shared" si="0"/>
        <v>A+</v>
      </c>
      <c r="S8" s="46">
        <f t="shared" si="4"/>
        <v>0.1184308826301321</v>
      </c>
      <c r="T8" s="48">
        <f t="shared" si="1"/>
        <v>0.44742582196396341</v>
      </c>
      <c r="U8" s="48">
        <f t="shared" si="2"/>
        <v>-2.9146796599858922</v>
      </c>
      <c r="V8" s="121">
        <f t="shared" si="3"/>
        <v>5.5940264637337612E-4</v>
      </c>
      <c r="AF8" s="120"/>
    </row>
    <row r="9" spans="1:32" x14ac:dyDescent="0.2">
      <c r="A9" s="44" t="s">
        <v>69</v>
      </c>
      <c r="B9" s="45" t="s">
        <v>70</v>
      </c>
      <c r="C9" s="46">
        <v>5.0000000000000001E-4</v>
      </c>
      <c r="D9" s="46">
        <v>7.0621468926553672E-4</v>
      </c>
      <c r="E9" s="46">
        <v>4.3750455518509757E-4</v>
      </c>
      <c r="F9" s="50">
        <v>5.4790641481687814E-4</v>
      </c>
      <c r="H9" s="46">
        <v>0.23675718332219026</v>
      </c>
      <c r="I9" s="48">
        <v>4.1092981111265857E-4</v>
      </c>
      <c r="J9" s="48">
        <v>5.0780870835640205E-3</v>
      </c>
      <c r="K9" s="49">
        <v>5.4890168946766793E-3</v>
      </c>
      <c r="M9" s="46">
        <v>0.23675718332219026</v>
      </c>
      <c r="N9" s="48">
        <v>5.4790641481687814E-4</v>
      </c>
      <c r="O9" s="48">
        <v>6.7707827780853613E-3</v>
      </c>
      <c r="P9" s="49">
        <v>7.3186891929022391E-3</v>
      </c>
      <c r="R9" s="45" t="str">
        <f t="shared" si="0"/>
        <v>A</v>
      </c>
      <c r="S9" s="46">
        <f t="shared" si="4"/>
        <v>0.11837859166109513</v>
      </c>
      <c r="T9" s="48">
        <f t="shared" si="1"/>
        <v>0.4503406505876516</v>
      </c>
      <c r="U9" s="48">
        <f t="shared" si="2"/>
        <v>-2.9047076238775014</v>
      </c>
      <c r="V9" s="121">
        <f t="shared" si="3"/>
        <v>5.8097326812807815E-4</v>
      </c>
      <c r="AF9" s="120"/>
    </row>
    <row r="10" spans="1:32" x14ac:dyDescent="0.2">
      <c r="A10" s="44" t="s">
        <v>71</v>
      </c>
      <c r="B10" s="45" t="s">
        <v>72</v>
      </c>
      <c r="C10" s="46">
        <v>5.9999999999999995E-4</v>
      </c>
      <c r="D10" s="46">
        <v>5.9180352123095132E-4</v>
      </c>
      <c r="E10" s="46">
        <v>5.3977628452939186E-4</v>
      </c>
      <c r="F10" s="50">
        <v>5.77193268586781E-4</v>
      </c>
      <c r="H10" s="46">
        <v>0.23658633591456821</v>
      </c>
      <c r="I10" s="48">
        <v>4.3289495144008575E-4</v>
      </c>
      <c r="J10" s="48">
        <v>5.3155422619068568E-3</v>
      </c>
      <c r="K10" s="49">
        <v>5.7484372133469429E-3</v>
      </c>
      <c r="M10" s="46">
        <v>0.23658633591456821</v>
      </c>
      <c r="N10" s="48">
        <v>5.77193268586781E-4</v>
      </c>
      <c r="O10" s="48">
        <v>7.0873896825424769E-3</v>
      </c>
      <c r="P10" s="49">
        <v>7.6645829511292583E-3</v>
      </c>
      <c r="R10" s="45" t="str">
        <f t="shared" si="0"/>
        <v>A-</v>
      </c>
      <c r="S10" s="46">
        <f t="shared" si="4"/>
        <v>0.1182931679572841</v>
      </c>
      <c r="T10" s="48">
        <f t="shared" si="1"/>
        <v>0.45494321569513807</v>
      </c>
      <c r="U10" s="48">
        <f t="shared" si="2"/>
        <v>-2.8890333922565832</v>
      </c>
      <c r="V10" s="121">
        <f t="shared" si="3"/>
        <v>6.1642390567728691E-4</v>
      </c>
      <c r="AF10" s="120"/>
    </row>
    <row r="11" spans="1:32" x14ac:dyDescent="0.2">
      <c r="A11" s="44" t="s">
        <v>73</v>
      </c>
      <c r="B11" s="45" t="s">
        <v>74</v>
      </c>
      <c r="C11" s="46">
        <v>8.9999999999999998E-4</v>
      </c>
      <c r="D11" s="46">
        <v>8.3010514665190918E-4</v>
      </c>
      <c r="E11" s="46">
        <v>1.0580937497897125E-3</v>
      </c>
      <c r="F11" s="50">
        <v>9.2939963214720733E-4</v>
      </c>
      <c r="G11" s="51"/>
      <c r="H11" s="46">
        <v>0.23455118585926016</v>
      </c>
      <c r="I11" s="48">
        <v>6.9704972411040547E-4</v>
      </c>
      <c r="J11" s="48">
        <v>8.0258658755348947E-3</v>
      </c>
      <c r="K11" s="49">
        <v>8.7229155996452999E-3</v>
      </c>
      <c r="M11" s="46">
        <v>0.23455118585926016</v>
      </c>
      <c r="N11" s="48">
        <v>9.2939963214720733E-4</v>
      </c>
      <c r="O11" s="48">
        <v>1.0701154500713194E-2</v>
      </c>
      <c r="P11" s="49">
        <v>1.1630554132860401E-2</v>
      </c>
      <c r="R11" s="45" t="str">
        <f t="shared" si="0"/>
        <v>BBB+</v>
      </c>
      <c r="S11" s="46">
        <f t="shared" si="4"/>
        <v>0.11727559292963008</v>
      </c>
      <c r="T11" s="48">
        <f t="shared" si="1"/>
        <v>0.49897449389572135</v>
      </c>
      <c r="U11" s="48">
        <f t="shared" si="2"/>
        <v>-2.7429451977276322</v>
      </c>
      <c r="V11" s="121">
        <f t="shared" si="3"/>
        <v>1.0554022591909467E-3</v>
      </c>
      <c r="AF11" s="120"/>
    </row>
    <row r="12" spans="1:32" x14ac:dyDescent="0.2">
      <c r="A12" s="44" t="s">
        <v>75</v>
      </c>
      <c r="B12" s="45" t="s">
        <v>76</v>
      </c>
      <c r="C12" s="46">
        <v>1.5E-3</v>
      </c>
      <c r="D12" s="46">
        <v>5.1948051948051948E-4</v>
      </c>
      <c r="E12" s="46">
        <v>1.4264582999801156E-3</v>
      </c>
      <c r="F12" s="50">
        <v>1.1486462731535451E-3</v>
      </c>
      <c r="G12" s="51"/>
      <c r="H12" s="46">
        <v>0.23330229560479887</v>
      </c>
      <c r="I12" s="48">
        <v>8.6148470486515879E-4</v>
      </c>
      <c r="J12" s="48">
        <v>9.6016837754336858E-3</v>
      </c>
      <c r="K12" s="49">
        <v>1.0463168480298844E-2</v>
      </c>
      <c r="M12" s="46">
        <v>0.23330229560479887</v>
      </c>
      <c r="N12" s="48">
        <v>1.1486462731535451E-3</v>
      </c>
      <c r="O12" s="48">
        <v>1.2802245033911582E-2</v>
      </c>
      <c r="P12" s="49">
        <v>1.3950891307065127E-2</v>
      </c>
      <c r="R12" s="45" t="str">
        <f t="shared" si="0"/>
        <v>BBB</v>
      </c>
      <c r="S12" s="46">
        <f t="shared" si="4"/>
        <v>0.11665114780239944</v>
      </c>
      <c r="T12" s="48">
        <f t="shared" si="1"/>
        <v>0.51963117380453938</v>
      </c>
      <c r="U12" s="48">
        <f t="shared" si="2"/>
        <v>-2.6763817137660477</v>
      </c>
      <c r="V12" s="121">
        <f t="shared" si="3"/>
        <v>1.3367227501891068E-3</v>
      </c>
      <c r="AF12" s="120"/>
    </row>
    <row r="13" spans="1:32" x14ac:dyDescent="0.2">
      <c r="A13" s="44" t="s">
        <v>77</v>
      </c>
      <c r="B13" s="45" t="s">
        <v>78</v>
      </c>
      <c r="C13" s="46">
        <v>2.3999999999999998E-3</v>
      </c>
      <c r="D13" s="46">
        <v>2.4528591139046452E-3</v>
      </c>
      <c r="E13" s="46">
        <v>2.2648093102919375E-3</v>
      </c>
      <c r="F13" s="50">
        <v>2.372556141398861E-3</v>
      </c>
      <c r="G13" s="51"/>
      <c r="H13" s="46">
        <v>0.22657659576590455</v>
      </c>
      <c r="I13" s="48">
        <v>1.7794171060491457E-3</v>
      </c>
      <c r="J13" s="48">
        <v>1.7331179238117309E-2</v>
      </c>
      <c r="K13" s="49">
        <v>1.9110596344166456E-2</v>
      </c>
      <c r="M13" s="46">
        <v>0.22657659576590455</v>
      </c>
      <c r="N13" s="48">
        <v>2.372556141398861E-3</v>
      </c>
      <c r="O13" s="48">
        <v>2.3108238984156412E-2</v>
      </c>
      <c r="P13" s="49">
        <v>2.5480795125555275E-2</v>
      </c>
      <c r="R13" s="45" t="str">
        <f t="shared" si="0"/>
        <v>BBB-</v>
      </c>
      <c r="S13" s="46">
        <f t="shared" si="4"/>
        <v>0.11328829788295228</v>
      </c>
      <c r="T13" s="48">
        <f t="shared" si="1"/>
        <v>0.59486021440851933</v>
      </c>
      <c r="U13" s="48">
        <f t="shared" si="2"/>
        <v>-2.4405951816254596</v>
      </c>
      <c r="V13" s="121">
        <f t="shared" si="3"/>
        <v>2.9499026019492382E-3</v>
      </c>
      <c r="AF13" s="120"/>
    </row>
    <row r="14" spans="1:32" x14ac:dyDescent="0.2">
      <c r="A14" s="44" t="s">
        <v>79</v>
      </c>
      <c r="B14" s="45" t="s">
        <v>80</v>
      </c>
      <c r="C14" s="46">
        <v>3.2000000000000002E-3</v>
      </c>
      <c r="D14" s="46">
        <v>2.7950310559006208E-3</v>
      </c>
      <c r="E14" s="46">
        <v>4.2346157814935337E-3</v>
      </c>
      <c r="F14" s="50">
        <v>3.4098822791313846E-3</v>
      </c>
      <c r="G14" s="51"/>
      <c r="H14" s="46">
        <v>0.22118976636104029</v>
      </c>
      <c r="I14" s="48">
        <v>2.5574117093485386E-3</v>
      </c>
      <c r="J14" s="48">
        <v>2.2888357949587639E-2</v>
      </c>
      <c r="K14" s="49">
        <v>2.5445769658936176E-2</v>
      </c>
      <c r="M14" s="46">
        <v>0.22118976636104029</v>
      </c>
      <c r="N14" s="48">
        <v>3.4098822791313846E-3</v>
      </c>
      <c r="O14" s="48">
        <v>3.0517810599450187E-2</v>
      </c>
      <c r="P14" s="49">
        <v>3.3927692878581571E-2</v>
      </c>
      <c r="R14" s="45" t="str">
        <f t="shared" si="0"/>
        <v>BB+</v>
      </c>
      <c r="S14" s="46">
        <f t="shared" si="4"/>
        <v>0.11059488318052015</v>
      </c>
      <c r="T14" s="48">
        <f t="shared" si="1"/>
        <v>0.63461060334031372</v>
      </c>
      <c r="U14" s="48">
        <f t="shared" si="2"/>
        <v>-2.3180943469749491</v>
      </c>
      <c r="V14" s="121">
        <f t="shared" si="3"/>
        <v>4.3231037193945891E-3</v>
      </c>
      <c r="AF14" s="120"/>
    </row>
    <row r="15" spans="1:32" x14ac:dyDescent="0.2">
      <c r="A15" s="44" t="s">
        <v>81</v>
      </c>
      <c r="B15" s="45" t="s">
        <v>82</v>
      </c>
      <c r="C15" s="46">
        <v>4.7999999999999996E-3</v>
      </c>
      <c r="D15" s="46">
        <v>5.2210233205708338E-3</v>
      </c>
      <c r="E15" s="46">
        <v>6.7938091388333177E-3</v>
      </c>
      <c r="F15" s="50">
        <v>5.6049441531347173E-3</v>
      </c>
      <c r="G15" s="51"/>
      <c r="H15" s="46">
        <v>0.21067163148236215</v>
      </c>
      <c r="I15" s="48">
        <v>4.203708114851038E-3</v>
      </c>
      <c r="J15" s="48">
        <v>3.2694150032581602E-2</v>
      </c>
      <c r="K15" s="49">
        <v>3.6897858147432641E-2</v>
      </c>
      <c r="M15" s="46">
        <v>0.21067163148236215</v>
      </c>
      <c r="N15" s="48">
        <v>5.6049441531347173E-3</v>
      </c>
      <c r="O15" s="48">
        <v>4.3592200043442136E-2</v>
      </c>
      <c r="P15" s="49">
        <v>4.919714419657685E-2</v>
      </c>
      <c r="R15" s="45" t="str">
        <f t="shared" si="0"/>
        <v>BB</v>
      </c>
      <c r="S15" s="46">
        <f t="shared" si="4"/>
        <v>0.10533581574118107</v>
      </c>
      <c r="T15" s="48">
        <f t="shared" si="1"/>
        <v>0.69049286501005969</v>
      </c>
      <c r="U15" s="48">
        <f t="shared" si="2"/>
        <v>-2.1453560828047169</v>
      </c>
      <c r="V15" s="121">
        <f t="shared" si="3"/>
        <v>7.1516069880933021E-3</v>
      </c>
      <c r="AF15" s="120"/>
    </row>
    <row r="16" spans="1:32" x14ac:dyDescent="0.2">
      <c r="A16" s="44" t="s">
        <v>83</v>
      </c>
      <c r="B16" s="45" t="s">
        <v>84</v>
      </c>
      <c r="C16" s="46">
        <v>9.5999999999999992E-3</v>
      </c>
      <c r="D16" s="46">
        <v>1.0948905109489048E-2</v>
      </c>
      <c r="E16" s="46">
        <v>1.2936524060171539E-2</v>
      </c>
      <c r="F16" s="50">
        <v>1.1161809723220196E-2</v>
      </c>
      <c r="G16" s="51"/>
      <c r="H16" s="46">
        <v>0.18867610050094885</v>
      </c>
      <c r="I16" s="48">
        <v>8.3713572924151471E-3</v>
      </c>
      <c r="J16" s="48">
        <v>5.0555801609588627E-2</v>
      </c>
      <c r="K16" s="49">
        <v>5.8927158902003771E-2</v>
      </c>
      <c r="M16" s="46">
        <v>0.18867610050094885</v>
      </c>
      <c r="N16" s="48">
        <v>1.1161809723220196E-2</v>
      </c>
      <c r="O16" s="48">
        <v>6.7407735479451503E-2</v>
      </c>
      <c r="P16" s="49">
        <v>7.8569545202671703E-2</v>
      </c>
      <c r="R16" s="45" t="str">
        <f t="shared" si="0"/>
        <v>BB-</v>
      </c>
      <c r="S16" s="46">
        <f t="shared" si="4"/>
        <v>9.4338050250474426E-2</v>
      </c>
      <c r="T16" s="48">
        <f t="shared" si="1"/>
        <v>0.76827308288818041</v>
      </c>
      <c r="U16" s="48">
        <f t="shared" si="2"/>
        <v>-1.8968270778024996</v>
      </c>
      <c r="V16" s="121">
        <f t="shared" si="3"/>
        <v>1.3647274556882657E-2</v>
      </c>
      <c r="AF16" s="120"/>
    </row>
    <row r="17" spans="1:32" x14ac:dyDescent="0.2">
      <c r="A17" s="44" t="s">
        <v>85</v>
      </c>
      <c r="B17" s="45" t="s">
        <v>86</v>
      </c>
      <c r="C17" s="46">
        <v>1.9800000000000002E-2</v>
      </c>
      <c r="D17" s="46">
        <v>1.4095851792186869E-2</v>
      </c>
      <c r="E17" s="46">
        <v>1.9341351803721873E-2</v>
      </c>
      <c r="F17" s="50">
        <v>1.7745734531969582E-2</v>
      </c>
      <c r="G17" s="51"/>
      <c r="H17" s="46">
        <v>0.16941257844540847</v>
      </c>
      <c r="I17" s="48">
        <v>1.3309300898977187E-2</v>
      </c>
      <c r="J17" s="48">
        <v>6.503289224274178E-2</v>
      </c>
      <c r="K17" s="49">
        <v>7.8342193141718974E-2</v>
      </c>
      <c r="M17" s="46">
        <v>0.16941257844540847</v>
      </c>
      <c r="N17" s="48">
        <v>1.7745734531969582E-2</v>
      </c>
      <c r="O17" s="48">
        <v>8.6710522990322392E-2</v>
      </c>
      <c r="P17" s="49">
        <v>0.10445625752229197</v>
      </c>
      <c r="R17" s="45" t="str">
        <f t="shared" si="0"/>
        <v>B+</v>
      </c>
      <c r="S17" s="46">
        <f t="shared" si="4"/>
        <v>8.4706289222704234E-2</v>
      </c>
      <c r="T17" s="48">
        <f t="shared" si="1"/>
        <v>0.81872255593563936</v>
      </c>
      <c r="U17" s="48">
        <f t="shared" si="2"/>
        <v>-1.7227542574832397</v>
      </c>
      <c r="V17" s="121">
        <f t="shared" si="3"/>
        <v>2.0239437618496649E-2</v>
      </c>
      <c r="AF17" s="120"/>
    </row>
    <row r="18" spans="1:32" x14ac:dyDescent="0.2">
      <c r="A18" s="44" t="s">
        <v>87</v>
      </c>
      <c r="B18" s="45" t="s">
        <v>88</v>
      </c>
      <c r="C18" s="46">
        <v>3.1300000000000001E-2</v>
      </c>
      <c r="D18" s="46">
        <v>2.1015067406819989E-2</v>
      </c>
      <c r="E18" s="46">
        <v>2.9758011021272401E-2</v>
      </c>
      <c r="F18" s="50">
        <v>2.7357692809364131E-2</v>
      </c>
      <c r="G18" s="51"/>
      <c r="H18" s="46">
        <v>0.15055740672779094</v>
      </c>
      <c r="I18" s="48">
        <v>2.0518269607023097E-2</v>
      </c>
      <c r="J18" s="48">
        <v>8.040939285227644E-2</v>
      </c>
      <c r="K18" s="49">
        <v>0.10092766245929954</v>
      </c>
      <c r="M18" s="46">
        <v>0.15055740672779094</v>
      </c>
      <c r="N18" s="48">
        <v>2.7357692809364131E-2</v>
      </c>
      <c r="O18" s="48">
        <v>0.10721252380303524</v>
      </c>
      <c r="P18" s="49">
        <v>0.13457021661239937</v>
      </c>
      <c r="R18" s="45" t="str">
        <f t="shared" si="0"/>
        <v>B</v>
      </c>
      <c r="S18" s="46">
        <f t="shared" si="4"/>
        <v>7.5278703363895472E-2</v>
      </c>
      <c r="T18" s="48">
        <f t="shared" si="1"/>
        <v>0.86269500270015786</v>
      </c>
      <c r="U18" s="48">
        <f t="shared" si="2"/>
        <v>-1.5522062425272265</v>
      </c>
      <c r="V18" s="121">
        <f t="shared" si="3"/>
        <v>2.8424720798995207E-2</v>
      </c>
      <c r="AF18" s="120"/>
    </row>
    <row r="19" spans="1:32" x14ac:dyDescent="0.2">
      <c r="A19" s="44" t="s">
        <v>89</v>
      </c>
      <c r="B19" s="45" t="s">
        <v>90</v>
      </c>
      <c r="C19" s="46">
        <v>6.5199999999999994E-2</v>
      </c>
      <c r="D19" s="46">
        <v>3.2000000000000001E-2</v>
      </c>
      <c r="E19" s="46">
        <v>4.6433445927740236E-2</v>
      </c>
      <c r="F19" s="50">
        <v>4.787781530924675E-2</v>
      </c>
      <c r="G19" s="51"/>
      <c r="H19" s="46">
        <v>0.13095286403006209</v>
      </c>
      <c r="I19" s="48">
        <v>3.5908361481935061E-2</v>
      </c>
      <c r="J19" s="48">
        <v>0.10538433903618909</v>
      </c>
      <c r="K19" s="49">
        <v>0.14129270051812415</v>
      </c>
      <c r="M19" s="46">
        <v>0.13095286403006209</v>
      </c>
      <c r="N19" s="48">
        <v>4.787781530924675E-2</v>
      </c>
      <c r="O19" s="48">
        <v>0.14051245204825211</v>
      </c>
      <c r="P19" s="49">
        <v>0.18839026735749886</v>
      </c>
      <c r="R19" s="45" t="str">
        <f t="shared" si="0"/>
        <v>B-</v>
      </c>
      <c r="S19" s="46">
        <f t="shared" si="4"/>
        <v>6.5476432015031047E-2</v>
      </c>
      <c r="T19" s="48">
        <f t="shared" si="1"/>
        <v>0.91261967052796855</v>
      </c>
      <c r="U19" s="48">
        <f t="shared" si="2"/>
        <v>-1.3097734522662958</v>
      </c>
      <c r="V19" s="121">
        <f t="shared" si="3"/>
        <v>4.3128970979898276E-2</v>
      </c>
      <c r="AF19" s="120"/>
    </row>
    <row r="20" spans="1:32" x14ac:dyDescent="0.2">
      <c r="A20" s="44" t="s">
        <v>91</v>
      </c>
      <c r="B20" s="44" t="s">
        <v>92</v>
      </c>
      <c r="C20" s="46">
        <v>0.17409999999999998</v>
      </c>
      <c r="D20" s="46">
        <v>0.13373255813953489</v>
      </c>
      <c r="E20" s="46">
        <v>6.2266718460657122E-2</v>
      </c>
      <c r="F20" s="50">
        <v>0.12336642553339733</v>
      </c>
      <c r="H20" s="46">
        <v>0.12025136994665954</v>
      </c>
      <c r="I20" s="48">
        <v>9.2524819150047996E-2</v>
      </c>
      <c r="J20" s="48">
        <v>0.17288459683164764</v>
      </c>
      <c r="K20" s="49">
        <v>0.26540941598169565</v>
      </c>
      <c r="M20" s="46">
        <v>0.12025136994665954</v>
      </c>
      <c r="N20" s="48">
        <v>0.12336642553339733</v>
      </c>
      <c r="O20" s="48">
        <v>0.23051279577553024</v>
      </c>
      <c r="P20" s="49">
        <v>0.35387922130892757</v>
      </c>
      <c r="R20" s="45" t="str">
        <f t="shared" si="0"/>
        <v>CCC+</v>
      </c>
      <c r="S20" s="46">
        <f t="shared" si="4"/>
        <v>6.012568497332977E-2</v>
      </c>
      <c r="T20" s="48">
        <f t="shared" si="1"/>
        <v>0.97209427002268345</v>
      </c>
      <c r="U20" s="48">
        <f t="shared" si="2"/>
        <v>-0.79979467090392309</v>
      </c>
      <c r="V20" s="121">
        <f t="shared" si="3"/>
        <v>8.6077450624101076E-2</v>
      </c>
      <c r="AF20" s="120"/>
    </row>
    <row r="21" spans="1:32" x14ac:dyDescent="0.2">
      <c r="A21" s="44" t="s">
        <v>93</v>
      </c>
      <c r="B21" s="44" t="s">
        <v>94</v>
      </c>
      <c r="C21" s="52">
        <v>0.28299999999999997</v>
      </c>
      <c r="D21" s="52">
        <v>0.2354651162790698</v>
      </c>
      <c r="E21" s="46">
        <v>7.8099990993574009E-2</v>
      </c>
      <c r="F21" s="50">
        <v>0.19885503575754793</v>
      </c>
      <c r="H21" s="46">
        <v>0.12000576897968515</v>
      </c>
      <c r="I21" s="48">
        <v>0.14914127681816094</v>
      </c>
      <c r="J21" s="48">
        <v>0.21315910841616251</v>
      </c>
      <c r="K21" s="49">
        <v>0.36230038523432345</v>
      </c>
      <c r="M21" s="46">
        <v>0.12000576897968515</v>
      </c>
      <c r="N21" s="48">
        <v>0.19885503575754793</v>
      </c>
      <c r="O21" s="48">
        <v>0.28421214455488336</v>
      </c>
      <c r="P21" s="49">
        <v>0.48306718031243129</v>
      </c>
      <c r="R21" s="45" t="str">
        <f t="shared" si="0"/>
        <v>CCC</v>
      </c>
      <c r="S21" s="46">
        <f t="shared" si="4"/>
        <v>6.0002884489842576E-2</v>
      </c>
      <c r="T21" s="48">
        <f t="shared" si="1"/>
        <v>0.98853071991874253</v>
      </c>
      <c r="U21" s="48">
        <f t="shared" si="2"/>
        <v>-0.47771958645327606</v>
      </c>
      <c r="V21" s="121">
        <f t="shared" si="3"/>
        <v>0.11622142342823263</v>
      </c>
      <c r="AF21" s="120"/>
    </row>
    <row r="22" spans="1:32" x14ac:dyDescent="0.2">
      <c r="A22" s="44" t="s">
        <v>114</v>
      </c>
      <c r="B22" s="44" t="s">
        <v>95</v>
      </c>
      <c r="C22" s="52">
        <v>0.28299999999999997</v>
      </c>
      <c r="D22" s="52">
        <v>0.2354651162790698</v>
      </c>
      <c r="E22" s="46">
        <v>0.21164126775008979</v>
      </c>
      <c r="F22" s="50">
        <v>0.2433687946763865</v>
      </c>
      <c r="H22" s="46">
        <v>0.12000062300999806</v>
      </c>
      <c r="I22" s="48">
        <v>0.18252659600728988</v>
      </c>
      <c r="J22" s="48">
        <v>0.22759407634678663</v>
      </c>
      <c r="K22" s="49">
        <v>0.41012067235407651</v>
      </c>
      <c r="M22" s="46">
        <v>0.12000062300999806</v>
      </c>
      <c r="N22" s="48">
        <v>0.2433687946763865</v>
      </c>
      <c r="O22" s="48">
        <v>0.30345876846238218</v>
      </c>
      <c r="P22" s="49">
        <v>0.54682756313876868</v>
      </c>
      <c r="R22" s="45" t="str">
        <f t="shared" si="0"/>
        <v>CCC-</v>
      </c>
      <c r="S22" s="46">
        <f t="shared" si="4"/>
        <v>6.0000311504999029E-2</v>
      </c>
      <c r="T22" s="48">
        <f t="shared" si="1"/>
        <v>0.99293336387402265</v>
      </c>
      <c r="U22" s="48">
        <f t="shared" si="2"/>
        <v>-0.32279659599630756</v>
      </c>
      <c r="V22" s="121">
        <f t="shared" si="3"/>
        <v>0.12913679351396351</v>
      </c>
      <c r="AF22" s="120"/>
    </row>
    <row r="23" spans="1:32" x14ac:dyDescent="0.2">
      <c r="A23" s="45" t="s">
        <v>115</v>
      </c>
      <c r="B23" s="45" t="s">
        <v>96</v>
      </c>
      <c r="C23" s="46">
        <v>0.28299999999999997</v>
      </c>
      <c r="D23" s="46">
        <v>0.2354651162790698</v>
      </c>
      <c r="E23" s="46">
        <v>0.34518254450660557</v>
      </c>
      <c r="F23" s="50">
        <v>0.28788255359522513</v>
      </c>
      <c r="H23" s="46">
        <v>0.12000006728078082</v>
      </c>
      <c r="I23" s="48">
        <v>0.21591191519641884</v>
      </c>
      <c r="J23" s="48">
        <v>0.23675025318474208</v>
      </c>
      <c r="K23" s="49">
        <v>0.45266216838116091</v>
      </c>
      <c r="M23" s="46">
        <v>0.12000006728078082</v>
      </c>
      <c r="N23" s="48">
        <v>0.28788255359522513</v>
      </c>
      <c r="O23" s="48">
        <v>0.31566700424632271</v>
      </c>
      <c r="P23" s="49">
        <v>0.60354955784154785</v>
      </c>
      <c r="R23" s="45" t="str">
        <f t="shared" si="0"/>
        <v>СС</v>
      </c>
      <c r="S23" s="46">
        <f t="shared" si="4"/>
        <v>6.0000033640390409E-2</v>
      </c>
      <c r="T23" s="48">
        <f t="shared" si="1"/>
        <v>0.99559475612004034</v>
      </c>
      <c r="U23" s="48">
        <f t="shared" si="2"/>
        <v>-0.18260067741080876</v>
      </c>
      <c r="V23" s="121">
        <f t="shared" si="3"/>
        <v>0.13905782862698146</v>
      </c>
      <c r="AF23" s="120"/>
    </row>
    <row r="24" spans="1:32" x14ac:dyDescent="0.2">
      <c r="A24" s="45" t="s">
        <v>99</v>
      </c>
      <c r="B24" s="45" t="s">
        <v>116</v>
      </c>
      <c r="C24" s="46">
        <v>0.64149999999999996</v>
      </c>
      <c r="D24" s="46">
        <v>0.61773255813953487</v>
      </c>
      <c r="E24" s="46">
        <v>0.67259127225330273</v>
      </c>
      <c r="F24" s="50">
        <v>0.64394127679761259</v>
      </c>
      <c r="H24" s="46">
        <v>0.12000000000000124</v>
      </c>
      <c r="I24" s="48">
        <v>0.48295595759820942</v>
      </c>
      <c r="J24" s="48">
        <v>0.18813920853945865</v>
      </c>
      <c r="K24" s="49">
        <v>0.67109516613766806</v>
      </c>
      <c r="M24" s="46">
        <v>0.12000000000000124</v>
      </c>
      <c r="N24" s="48">
        <v>0.64394127679761259</v>
      </c>
      <c r="O24" s="48">
        <v>0.25085227805261157</v>
      </c>
      <c r="P24" s="49">
        <v>0.89479355485022416</v>
      </c>
      <c r="R24" s="45" t="str">
        <f t="shared" si="0"/>
        <v>С</v>
      </c>
      <c r="S24" s="46">
        <f t="shared" si="4"/>
        <v>6.0000000000000622E-2</v>
      </c>
      <c r="T24" s="48">
        <f t="shared" si="1"/>
        <v>0.99993672275788015</v>
      </c>
      <c r="U24" s="48">
        <f t="shared" si="2"/>
        <v>0.77517185291733814</v>
      </c>
      <c r="V24" s="121">
        <f t="shared" si="3"/>
        <v>0.13693099904282638</v>
      </c>
      <c r="AF24" s="120"/>
    </row>
    <row r="25" spans="1:32" x14ac:dyDescent="0.2">
      <c r="A25" s="45" t="s">
        <v>99</v>
      </c>
      <c r="B25" s="45" t="s">
        <v>133</v>
      </c>
      <c r="C25" s="46">
        <v>1</v>
      </c>
      <c r="D25" s="46">
        <v>1</v>
      </c>
      <c r="E25" s="46">
        <v>1</v>
      </c>
      <c r="F25" s="50">
        <v>1</v>
      </c>
      <c r="H25" s="46"/>
      <c r="I25" s="48"/>
      <c r="J25" s="48"/>
      <c r="K25" s="49">
        <f>F25</f>
        <v>1</v>
      </c>
      <c r="M25" s="88"/>
      <c r="N25" s="88"/>
      <c r="O25" s="88"/>
      <c r="P25" s="122">
        <f>F25</f>
        <v>1</v>
      </c>
      <c r="R25" s="45" t="str">
        <f t="shared" si="0"/>
        <v>RD</v>
      </c>
      <c r="S25" s="46"/>
      <c r="T25" s="48"/>
      <c r="U25" s="48"/>
      <c r="V25" s="121">
        <f>F25</f>
        <v>1</v>
      </c>
      <c r="AF25" s="120"/>
    </row>
    <row r="26" spans="1:32" x14ac:dyDescent="0.2">
      <c r="A26" s="45" t="s">
        <v>116</v>
      </c>
      <c r="B26" s="45" t="s">
        <v>117</v>
      </c>
      <c r="C26" s="46">
        <v>1</v>
      </c>
      <c r="D26" s="46">
        <v>1</v>
      </c>
      <c r="E26" s="46">
        <v>1</v>
      </c>
      <c r="F26" s="50">
        <v>1</v>
      </c>
      <c r="H26" s="46"/>
      <c r="I26" s="48"/>
      <c r="J26" s="48"/>
      <c r="K26" s="49">
        <f>F26</f>
        <v>1</v>
      </c>
      <c r="M26" s="88"/>
      <c r="N26" s="88"/>
      <c r="O26" s="88"/>
      <c r="P26" s="122">
        <f>F26</f>
        <v>1</v>
      </c>
      <c r="R26" s="45" t="str">
        <f t="shared" si="0"/>
        <v>D</v>
      </c>
      <c r="S26" s="46"/>
      <c r="T26" s="48"/>
      <c r="U26" s="48"/>
      <c r="V26" s="121">
        <f>F26</f>
        <v>1</v>
      </c>
    </row>
    <row r="30" spans="1:32" ht="15" customHeight="1" x14ac:dyDescent="0.2">
      <c r="A30" s="238" t="s">
        <v>171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</row>
    <row r="31" spans="1:32" ht="15" x14ac:dyDescent="0.25">
      <c r="A31" s="111"/>
      <c r="B31" s="111"/>
      <c r="C31" s="111"/>
      <c r="D31" s="115" t="s">
        <v>172</v>
      </c>
      <c r="E31" s="117">
        <f>AVERAGE(C45:C230)</f>
        <v>2.5883678797359835E-2</v>
      </c>
      <c r="F31" s="116"/>
      <c r="G31" s="116">
        <v>0.999</v>
      </c>
      <c r="H31" s="117">
        <f>_xlfn.NORM.INV(1-G31,$E$31,$E$32)</f>
        <v>-0.10448224958041735</v>
      </c>
      <c r="I31" s="116">
        <f>COUNTIF(C48:C230,"&lt;=" &amp;H31)</f>
        <v>0</v>
      </c>
      <c r="J31" s="111"/>
    </row>
    <row r="32" spans="1:32" ht="15" x14ac:dyDescent="0.25">
      <c r="A32" s="111" t="s">
        <v>173</v>
      </c>
      <c r="B32" s="111"/>
      <c r="C32" s="111"/>
      <c r="D32" s="115" t="s">
        <v>174</v>
      </c>
      <c r="E32" s="117">
        <f>_xlfn.STDEV.S(C45:C230)</f>
        <v>4.218644925741636E-2</v>
      </c>
      <c r="F32" s="116"/>
      <c r="G32" s="116">
        <v>0.995</v>
      </c>
      <c r="H32" s="117">
        <f t="shared" ref="H32:H35" si="5">_xlfn.NORM.INV(1-G32,$E$31,$E$32)</f>
        <v>-8.2781413412571947E-2</v>
      </c>
      <c r="I32" s="116">
        <f>COUNTIF(C48:C230,"&lt;=" &amp;H32)</f>
        <v>1</v>
      </c>
      <c r="J32" s="111"/>
    </row>
    <row r="33" spans="1:10" ht="15" x14ac:dyDescent="0.25">
      <c r="A33" s="111" t="s">
        <v>175</v>
      </c>
      <c r="B33" s="111"/>
      <c r="C33" s="111"/>
      <c r="D33" s="116"/>
      <c r="E33" s="116"/>
      <c r="F33" s="116"/>
      <c r="G33" s="116">
        <v>0.99</v>
      </c>
      <c r="H33" s="117">
        <f t="shared" si="5"/>
        <v>-7.2256677745962519E-2</v>
      </c>
      <c r="I33" s="116">
        <f>COUNTIF(C48:C230,"&lt;=" &amp;H33)</f>
        <v>3</v>
      </c>
      <c r="J33" s="111"/>
    </row>
    <row r="34" spans="1:10" ht="15" x14ac:dyDescent="0.25">
      <c r="A34" s="111" t="s">
        <v>176</v>
      </c>
      <c r="B34" s="111"/>
      <c r="C34" s="111"/>
      <c r="D34" s="116"/>
      <c r="E34" s="116"/>
      <c r="F34" s="116"/>
      <c r="G34" s="116">
        <v>0.95</v>
      </c>
      <c r="H34" s="117">
        <f t="shared" si="5"/>
        <v>-4.3506855271905676E-2</v>
      </c>
      <c r="I34" s="116">
        <f>COUNTIF(C48:C230,"&lt;=" &amp;H34)</f>
        <v>4</v>
      </c>
      <c r="J34" s="111"/>
    </row>
    <row r="35" spans="1:10" ht="15" x14ac:dyDescent="0.25">
      <c r="A35" s="111" t="s">
        <v>177</v>
      </c>
      <c r="B35" s="111"/>
      <c r="C35" s="111"/>
      <c r="D35" s="116"/>
      <c r="E35" s="116"/>
      <c r="F35" s="116"/>
      <c r="G35" s="116">
        <v>0.9</v>
      </c>
      <c r="H35" s="117">
        <f t="shared" si="5"/>
        <v>-2.8180431293249954E-2</v>
      </c>
      <c r="I35" s="116">
        <f>COUNTIF(C48:C230,"&lt;=" &amp;H35)</f>
        <v>7</v>
      </c>
      <c r="J35" s="111"/>
    </row>
    <row r="36" spans="1:10" ht="15" x14ac:dyDescent="0.25">
      <c r="A36" s="111" t="s">
        <v>178</v>
      </c>
      <c r="B36" s="111"/>
      <c r="C36" s="111"/>
      <c r="D36" s="111"/>
      <c r="E36" s="111"/>
      <c r="F36" s="111"/>
      <c r="G36" s="111"/>
      <c r="H36" s="111"/>
      <c r="I36" s="111"/>
      <c r="J36" s="111"/>
    </row>
    <row r="37" spans="1:10" ht="15" x14ac:dyDescent="0.25">
      <c r="A37" s="111" t="s">
        <v>179</v>
      </c>
      <c r="B37" s="111" t="s">
        <v>180</v>
      </c>
      <c r="C37" s="111"/>
      <c r="D37" s="111"/>
      <c r="E37" s="111"/>
      <c r="F37" s="111"/>
      <c r="G37" s="111"/>
      <c r="H37" s="111"/>
      <c r="I37" s="111"/>
      <c r="J37" s="111"/>
    </row>
    <row r="38" spans="1:10" ht="15" x14ac:dyDescent="0.25">
      <c r="A38" s="131" t="s">
        <v>183</v>
      </c>
      <c r="B38" s="114"/>
      <c r="C38" s="111"/>
      <c r="D38" s="111"/>
      <c r="E38" s="111"/>
      <c r="F38" s="111"/>
      <c r="G38" s="111"/>
      <c r="H38" s="111"/>
      <c r="I38" s="111"/>
      <c r="J38" s="111"/>
    </row>
    <row r="39" spans="1:10" ht="15" x14ac:dyDescent="0.25">
      <c r="A39" s="113"/>
      <c r="B39" s="114"/>
      <c r="C39" s="111"/>
      <c r="D39" s="111"/>
      <c r="E39" s="111"/>
      <c r="F39" s="111"/>
      <c r="G39" s="111"/>
      <c r="H39" s="111"/>
      <c r="I39" s="111"/>
      <c r="J39" s="111"/>
    </row>
    <row r="40" spans="1:10" ht="15" x14ac:dyDescent="0.25">
      <c r="A40" s="113"/>
      <c r="B40" s="114" t="s">
        <v>184</v>
      </c>
      <c r="C40" s="111"/>
      <c r="D40" s="111"/>
      <c r="E40" s="111"/>
      <c r="F40" s="111"/>
      <c r="G40" s="111"/>
      <c r="H40" s="111"/>
      <c r="I40" s="111"/>
      <c r="J40" s="111"/>
    </row>
    <row r="41" spans="1:10" ht="15" x14ac:dyDescent="0.25">
      <c r="A41" s="111"/>
      <c r="B41" s="111"/>
      <c r="C41" s="111"/>
      <c r="D41" s="111"/>
      <c r="E41" s="111"/>
      <c r="F41" s="111"/>
      <c r="G41" s="111"/>
      <c r="H41" s="111"/>
      <c r="I41" s="111"/>
      <c r="J41" s="111"/>
    </row>
    <row r="42" spans="1:10" ht="15" x14ac:dyDescent="0.25">
      <c r="A42" s="111" t="s">
        <v>181</v>
      </c>
      <c r="B42" s="111"/>
      <c r="C42" s="111"/>
      <c r="D42" s="111"/>
      <c r="E42" s="111"/>
      <c r="F42" s="111"/>
      <c r="G42" s="111"/>
      <c r="H42" s="111"/>
      <c r="I42" s="111"/>
      <c r="J42" s="111"/>
    </row>
    <row r="43" spans="1:10" ht="15" x14ac:dyDescent="0.25">
      <c r="A43" s="111" t="s">
        <v>182</v>
      </c>
      <c r="B43" s="111" t="s">
        <v>179</v>
      </c>
      <c r="C43" s="111"/>
      <c r="D43" s="111"/>
      <c r="E43" s="111"/>
      <c r="F43" s="111"/>
      <c r="G43" s="111"/>
      <c r="H43" s="111"/>
      <c r="I43" s="111"/>
      <c r="J43" s="111"/>
    </row>
    <row r="44" spans="1:10" ht="15" x14ac:dyDescent="0.25">
      <c r="A44" s="112">
        <v>37622</v>
      </c>
      <c r="B44" s="209">
        <v>65.512628317237699</v>
      </c>
      <c r="C44" s="209"/>
      <c r="D44" s="209"/>
      <c r="E44" s="209"/>
      <c r="F44" s="111"/>
      <c r="G44" s="111"/>
      <c r="H44" s="111"/>
      <c r="I44" s="111"/>
      <c r="J44" s="111"/>
    </row>
    <row r="45" spans="1:10" ht="15" x14ac:dyDescent="0.25">
      <c r="A45" s="112">
        <v>37712</v>
      </c>
      <c r="B45" s="209">
        <v>66.243380112972901</v>
      </c>
      <c r="C45" s="209"/>
      <c r="D45" s="209"/>
      <c r="E45" s="209"/>
      <c r="F45" s="111"/>
      <c r="G45" s="111"/>
      <c r="H45" s="111"/>
      <c r="I45" s="111"/>
      <c r="J45" s="111"/>
    </row>
    <row r="46" spans="1:10" ht="15" x14ac:dyDescent="0.25">
      <c r="A46" s="112">
        <v>37803</v>
      </c>
      <c r="B46" s="209">
        <v>67.361679117407604</v>
      </c>
      <c r="C46" s="209"/>
      <c r="D46" s="209"/>
      <c r="E46" s="209"/>
      <c r="F46" s="111"/>
      <c r="G46" s="111"/>
      <c r="H46" s="111"/>
      <c r="I46" s="111"/>
      <c r="J46" s="111"/>
    </row>
    <row r="47" spans="1:10" ht="15" x14ac:dyDescent="0.25">
      <c r="A47" s="112">
        <v>37895</v>
      </c>
      <c r="B47" s="209">
        <v>68.590234064309399</v>
      </c>
      <c r="C47" s="209"/>
      <c r="D47" s="209"/>
      <c r="E47" s="209"/>
      <c r="F47" s="111"/>
      <c r="G47" s="111"/>
      <c r="H47" s="111"/>
      <c r="I47" s="111"/>
      <c r="J47" s="111"/>
    </row>
    <row r="48" spans="1:10" ht="15" x14ac:dyDescent="0.25">
      <c r="A48" s="112">
        <v>37987</v>
      </c>
      <c r="B48" s="209">
        <v>69.878816109722706</v>
      </c>
      <c r="C48" s="209">
        <f>LN(B48/B44)</f>
        <v>6.4519620566704391E-2</v>
      </c>
      <c r="D48" s="209">
        <f>(C48-$E$31)/$E$32</f>
        <v>0.91583772631806337</v>
      </c>
      <c r="E48" s="209">
        <f>_xlfn.NORM.DIST(C48,$E$31,$E$32,TRUE)</f>
        <v>0.82012399351554865</v>
      </c>
      <c r="F48" s="111"/>
      <c r="G48" s="111"/>
      <c r="H48" s="111"/>
      <c r="I48" s="111"/>
      <c r="J48" s="111"/>
    </row>
    <row r="49" spans="1:10" ht="15" x14ac:dyDescent="0.25">
      <c r="A49" s="112">
        <v>38078</v>
      </c>
      <c r="B49" s="209">
        <v>71.225509502001998</v>
      </c>
      <c r="C49" s="209">
        <f t="shared" ref="C49:C112" si="6">LN(B49/B45)</f>
        <v>7.2515496722984824E-2</v>
      </c>
      <c r="D49" s="209">
        <f t="shared" ref="D49:D112" si="7">(C49-$E$31)/$E$32</f>
        <v>1.1053743262696405</v>
      </c>
      <c r="E49" s="209">
        <f t="shared" ref="E49:E112" si="8">_xlfn.NORM.DIST(C49,$E$31,$E$32,TRUE)</f>
        <v>0.86550128816071248</v>
      </c>
      <c r="F49" s="111"/>
      <c r="G49" s="111"/>
      <c r="H49" s="111"/>
      <c r="I49" s="111"/>
      <c r="J49" s="111"/>
    </row>
    <row r="50" spans="1:10" ht="15" x14ac:dyDescent="0.25">
      <c r="A50" s="112">
        <v>38169</v>
      </c>
      <c r="B50" s="209">
        <v>72.304244910508203</v>
      </c>
      <c r="C50" s="209">
        <f t="shared" si="6"/>
        <v>7.0806542758027793E-2</v>
      </c>
      <c r="D50" s="209">
        <f t="shared" si="7"/>
        <v>1.0648647788903574</v>
      </c>
      <c r="E50" s="209">
        <f t="shared" si="8"/>
        <v>0.85653143719636771</v>
      </c>
      <c r="F50" s="111"/>
      <c r="G50" s="111"/>
      <c r="H50" s="111"/>
      <c r="I50" s="111"/>
      <c r="J50" s="111"/>
    </row>
    <row r="51" spans="1:10" ht="15" x14ac:dyDescent="0.25">
      <c r="A51" s="112">
        <v>38261</v>
      </c>
      <c r="B51" s="209">
        <v>73.112729852532496</v>
      </c>
      <c r="C51" s="209">
        <f t="shared" si="6"/>
        <v>6.3852330565072793E-2</v>
      </c>
      <c r="D51" s="209">
        <f t="shared" si="7"/>
        <v>0.90002008787307652</v>
      </c>
      <c r="E51" s="209">
        <f t="shared" si="8"/>
        <v>0.81594521969165079</v>
      </c>
      <c r="F51" s="111"/>
      <c r="G51" s="111"/>
      <c r="H51" s="111"/>
      <c r="I51" s="111"/>
      <c r="J51" s="111"/>
    </row>
    <row r="52" spans="1:10" ht="15" x14ac:dyDescent="0.25">
      <c r="A52" s="112">
        <v>38353</v>
      </c>
      <c r="B52" s="209">
        <v>74.390800365642704</v>
      </c>
      <c r="C52" s="209">
        <f t="shared" si="6"/>
        <v>6.2569739833128801E-2</v>
      </c>
      <c r="D52" s="209">
        <f t="shared" si="7"/>
        <v>0.86961717996021126</v>
      </c>
      <c r="E52" s="209">
        <f t="shared" si="8"/>
        <v>0.8077451770337587</v>
      </c>
      <c r="F52" s="111"/>
      <c r="G52" s="111"/>
      <c r="H52" s="111"/>
      <c r="I52" s="111"/>
      <c r="J52" s="111"/>
    </row>
    <row r="53" spans="1:10" ht="15" x14ac:dyDescent="0.25">
      <c r="A53" s="112">
        <v>38443</v>
      </c>
      <c r="B53" s="209">
        <v>75.523247927736307</v>
      </c>
      <c r="C53" s="209">
        <f t="shared" si="6"/>
        <v>5.8589494656495295E-2</v>
      </c>
      <c r="D53" s="209">
        <f t="shared" si="7"/>
        <v>0.77526827772512252</v>
      </c>
      <c r="E53" s="209">
        <f t="shared" si="8"/>
        <v>0.78090942498696281</v>
      </c>
      <c r="F53" s="111"/>
      <c r="G53" s="111"/>
      <c r="H53" s="111"/>
      <c r="I53" s="111"/>
      <c r="J53" s="111"/>
    </row>
    <row r="54" spans="1:10" ht="15" x14ac:dyDescent="0.25">
      <c r="A54" s="112">
        <v>38534</v>
      </c>
      <c r="B54" s="209">
        <v>76.854122337821906</v>
      </c>
      <c r="C54" s="209">
        <f t="shared" si="6"/>
        <v>6.1026270000555112E-2</v>
      </c>
      <c r="D54" s="209">
        <f t="shared" si="7"/>
        <v>0.8330303171229142</v>
      </c>
      <c r="E54" s="209">
        <f t="shared" si="8"/>
        <v>0.79758618438325735</v>
      </c>
      <c r="F54" s="111"/>
      <c r="G54" s="111"/>
      <c r="H54" s="111"/>
      <c r="I54" s="111"/>
      <c r="J54" s="111"/>
    </row>
    <row r="55" spans="1:10" ht="15" x14ac:dyDescent="0.25">
      <c r="A55" s="112">
        <v>38626</v>
      </c>
      <c r="B55" s="209">
        <v>78.439500279154899</v>
      </c>
      <c r="C55" s="209">
        <f t="shared" si="6"/>
        <v>7.0325135983755449E-2</v>
      </c>
      <c r="D55" s="209">
        <f t="shared" si="7"/>
        <v>1.0534533711339269</v>
      </c>
      <c r="E55" s="209">
        <f t="shared" si="8"/>
        <v>0.8539333728383256</v>
      </c>
      <c r="F55" s="111"/>
      <c r="G55" s="111"/>
      <c r="H55" s="111"/>
      <c r="I55" s="111"/>
      <c r="J55" s="111"/>
    </row>
    <row r="56" spans="1:10" ht="15" x14ac:dyDescent="0.25">
      <c r="A56" s="112">
        <v>38718</v>
      </c>
      <c r="B56" s="209">
        <v>79.953857354179803</v>
      </c>
      <c r="C56" s="209">
        <f t="shared" si="6"/>
        <v>7.2117402003578746E-2</v>
      </c>
      <c r="D56" s="209">
        <f t="shared" si="7"/>
        <v>1.0959377719633761</v>
      </c>
      <c r="E56" s="209">
        <f t="shared" si="8"/>
        <v>0.86344699611419518</v>
      </c>
      <c r="F56" s="111"/>
      <c r="G56" s="111"/>
      <c r="H56" s="111"/>
      <c r="I56" s="111"/>
      <c r="J56" s="111"/>
    </row>
    <row r="57" spans="1:10" ht="15" x14ac:dyDescent="0.25">
      <c r="A57" s="112">
        <v>38808</v>
      </c>
      <c r="B57" s="209">
        <v>81.4930522232263</v>
      </c>
      <c r="C57" s="209">
        <f t="shared" si="6"/>
        <v>7.607723938801951E-2</v>
      </c>
      <c r="D57" s="209">
        <f t="shared" si="7"/>
        <v>1.1898029218905088</v>
      </c>
      <c r="E57" s="209">
        <f t="shared" si="8"/>
        <v>0.88293806954687115</v>
      </c>
      <c r="F57" s="111"/>
      <c r="G57" s="111"/>
      <c r="H57" s="111"/>
      <c r="I57" s="111"/>
      <c r="J57" s="111"/>
    </row>
    <row r="58" spans="1:10" ht="15" x14ac:dyDescent="0.25">
      <c r="A58" s="112">
        <v>38899</v>
      </c>
      <c r="B58" s="209">
        <v>83.364237963255505</v>
      </c>
      <c r="C58" s="209">
        <f t="shared" si="6"/>
        <v>8.1310306106349692E-2</v>
      </c>
      <c r="D58" s="209">
        <f t="shared" si="7"/>
        <v>1.3138490743978857</v>
      </c>
      <c r="E58" s="209">
        <f t="shared" si="8"/>
        <v>0.90555150041346877</v>
      </c>
      <c r="F58" s="111"/>
      <c r="G58" s="111"/>
      <c r="H58" s="111"/>
      <c r="I58" s="111"/>
      <c r="J58" s="111"/>
    </row>
    <row r="59" spans="1:10" ht="15" x14ac:dyDescent="0.25">
      <c r="A59" s="112">
        <v>38991</v>
      </c>
      <c r="B59" s="209">
        <v>84.947525344130895</v>
      </c>
      <c r="C59" s="209">
        <f t="shared" si="6"/>
        <v>7.9706086391588216E-2</v>
      </c>
      <c r="D59" s="209">
        <f t="shared" si="7"/>
        <v>1.2758221784870036</v>
      </c>
      <c r="E59" s="209">
        <f t="shared" si="8"/>
        <v>0.89899080717185254</v>
      </c>
      <c r="F59" s="111"/>
      <c r="G59" s="111"/>
      <c r="H59" s="111"/>
      <c r="I59" s="111"/>
      <c r="J59" s="111"/>
    </row>
    <row r="60" spans="1:10" ht="15" x14ac:dyDescent="0.25">
      <c r="A60" s="112">
        <v>39083</v>
      </c>
      <c r="B60" s="209">
        <v>86.488176930452994</v>
      </c>
      <c r="C60" s="209">
        <f t="shared" si="6"/>
        <v>7.8558036513156529E-2</v>
      </c>
      <c r="D60" s="209">
        <f t="shared" si="7"/>
        <v>1.2486084665335175</v>
      </c>
      <c r="E60" s="209">
        <f t="shared" si="8"/>
        <v>0.89409584292501121</v>
      </c>
      <c r="F60" s="111"/>
      <c r="G60" s="111"/>
      <c r="H60" s="111"/>
      <c r="I60" s="111"/>
      <c r="J60" s="111"/>
    </row>
    <row r="61" spans="1:10" ht="15" x14ac:dyDescent="0.25">
      <c r="A61" s="112">
        <v>39173</v>
      </c>
      <c r="B61" s="209">
        <v>88.670963974094704</v>
      </c>
      <c r="C61" s="209">
        <f t="shared" si="6"/>
        <v>8.4414716994242689E-2</v>
      </c>
      <c r="D61" s="209">
        <f t="shared" si="7"/>
        <v>1.3874369430746325</v>
      </c>
      <c r="E61" s="209">
        <f t="shared" si="8"/>
        <v>0.91734571673685572</v>
      </c>
      <c r="F61" s="111"/>
      <c r="G61" s="111"/>
      <c r="H61" s="111"/>
      <c r="I61" s="111"/>
      <c r="J61" s="111"/>
    </row>
    <row r="62" spans="1:10" ht="15" x14ac:dyDescent="0.25">
      <c r="A62" s="112">
        <v>39264</v>
      </c>
      <c r="B62" s="209">
        <v>90.626256604610802</v>
      </c>
      <c r="C62" s="209">
        <f t="shared" si="6"/>
        <v>8.3524563057342308E-2</v>
      </c>
      <c r="D62" s="209">
        <f t="shared" si="7"/>
        <v>1.3663364723649793</v>
      </c>
      <c r="E62" s="209">
        <f t="shared" si="8"/>
        <v>0.9140833108330626</v>
      </c>
      <c r="F62" s="111"/>
      <c r="G62" s="111"/>
      <c r="H62" s="111"/>
      <c r="I62" s="111"/>
      <c r="J62" s="111"/>
    </row>
    <row r="63" spans="1:10" ht="15" x14ac:dyDescent="0.25">
      <c r="A63" s="112">
        <v>39356</v>
      </c>
      <c r="B63" s="209">
        <v>93.520707134506793</v>
      </c>
      <c r="C63" s="209">
        <f t="shared" si="6"/>
        <v>9.6149161494286678E-2</v>
      </c>
      <c r="D63" s="209">
        <f t="shared" si="7"/>
        <v>1.6655936665391244</v>
      </c>
      <c r="E63" s="209">
        <f t="shared" si="8"/>
        <v>0.95210281326571122</v>
      </c>
      <c r="F63" s="111"/>
      <c r="G63" s="111"/>
      <c r="H63" s="111"/>
      <c r="I63" s="111"/>
      <c r="J63" s="111"/>
    </row>
    <row r="64" spans="1:10" ht="15" x14ac:dyDescent="0.25">
      <c r="A64" s="112">
        <v>39448</v>
      </c>
      <c r="B64" s="209">
        <v>96.001972183673104</v>
      </c>
      <c r="C64" s="209">
        <f t="shared" si="6"/>
        <v>0.10436101312580764</v>
      </c>
      <c r="D64" s="209">
        <f t="shared" si="7"/>
        <v>1.860249812673</v>
      </c>
      <c r="E64" s="209">
        <f t="shared" si="8"/>
        <v>0.96857490476085228</v>
      </c>
      <c r="F64" s="111"/>
      <c r="G64" s="111"/>
      <c r="H64" s="111"/>
      <c r="I64" s="111"/>
      <c r="J64" s="111"/>
    </row>
    <row r="65" spans="1:10" ht="15" x14ac:dyDescent="0.25">
      <c r="A65" s="112">
        <v>39539</v>
      </c>
      <c r="B65" s="209">
        <v>96.598722741289706</v>
      </c>
      <c r="C65" s="209">
        <f t="shared" si="6"/>
        <v>8.5633034178795558E-2</v>
      </c>
      <c r="D65" s="209">
        <f t="shared" si="7"/>
        <v>1.4163162919176424</v>
      </c>
      <c r="E65" s="209">
        <f t="shared" si="8"/>
        <v>0.92165854004383452</v>
      </c>
      <c r="F65" s="111"/>
      <c r="G65" s="111"/>
      <c r="H65" s="111"/>
      <c r="I65" s="111"/>
      <c r="J65" s="111"/>
    </row>
    <row r="66" spans="1:10" ht="15" x14ac:dyDescent="0.25">
      <c r="A66" s="112">
        <v>39630</v>
      </c>
      <c r="B66" s="209">
        <v>95.158755916311193</v>
      </c>
      <c r="C66" s="209">
        <f t="shared" si="6"/>
        <v>4.8802632689593575E-2</v>
      </c>
      <c r="D66" s="209">
        <f t="shared" si="7"/>
        <v>0.54327762339952324</v>
      </c>
      <c r="E66" s="209">
        <f t="shared" si="8"/>
        <v>0.70653066573800039</v>
      </c>
      <c r="F66" s="111"/>
      <c r="G66" s="111"/>
      <c r="H66" s="111"/>
      <c r="I66" s="111"/>
      <c r="J66" s="111"/>
    </row>
    <row r="67" spans="1:10" ht="15" x14ac:dyDescent="0.25">
      <c r="A67" s="112">
        <v>39722</v>
      </c>
      <c r="B67" s="209">
        <v>92.063991928419199</v>
      </c>
      <c r="C67" s="209">
        <f t="shared" si="6"/>
        <v>-1.5698978758183581E-2</v>
      </c>
      <c r="D67" s="209">
        <f t="shared" si="7"/>
        <v>-0.98568754392699209</v>
      </c>
      <c r="E67" s="209">
        <f t="shared" si="8"/>
        <v>0.16214323186432572</v>
      </c>
      <c r="F67" s="111"/>
      <c r="G67" s="111"/>
      <c r="H67" s="111"/>
      <c r="I67" s="111"/>
      <c r="J67" s="111"/>
    </row>
    <row r="68" spans="1:10" ht="15" x14ac:dyDescent="0.25">
      <c r="A68" s="112">
        <v>39814</v>
      </c>
      <c r="B68" s="209">
        <v>88.816911727374205</v>
      </c>
      <c r="C68" s="209">
        <f t="shared" si="6"/>
        <v>-7.7791655591083586E-2</v>
      </c>
      <c r="D68" s="209">
        <f t="shared" si="7"/>
        <v>-2.4575506166880672</v>
      </c>
      <c r="E68" s="209">
        <f t="shared" si="8"/>
        <v>6.9944048064393268E-3</v>
      </c>
      <c r="F68" s="111"/>
      <c r="G68" s="111"/>
      <c r="H68" s="111"/>
      <c r="I68" s="111"/>
      <c r="J68" s="111"/>
    </row>
    <row r="69" spans="1:10" ht="15" x14ac:dyDescent="0.25">
      <c r="A69" s="112">
        <v>39904</v>
      </c>
      <c r="B69" s="209">
        <v>87.521196634943294</v>
      </c>
      <c r="C69" s="209">
        <f t="shared" si="6"/>
        <v>-9.8684507708266173E-2</v>
      </c>
      <c r="D69" s="209">
        <f t="shared" si="7"/>
        <v>-2.9528009277464133</v>
      </c>
      <c r="E69" s="209">
        <f t="shared" si="8"/>
        <v>1.5745248457822267E-3</v>
      </c>
      <c r="F69" s="111"/>
      <c r="G69" s="111"/>
      <c r="H69" s="111"/>
      <c r="I69" s="111"/>
      <c r="J69" s="111"/>
    </row>
    <row r="70" spans="1:10" ht="15" x14ac:dyDescent="0.25">
      <c r="A70" s="112">
        <v>39995</v>
      </c>
      <c r="B70" s="209">
        <v>87.8804056472582</v>
      </c>
      <c r="C70" s="209">
        <f t="shared" si="6"/>
        <v>-7.9569748322083175E-2</v>
      </c>
      <c r="D70" s="209">
        <f t="shared" si="7"/>
        <v>-2.4996990497109528</v>
      </c>
      <c r="E70" s="209">
        <f t="shared" si="8"/>
        <v>6.2149424577405826E-3</v>
      </c>
      <c r="F70" s="111"/>
      <c r="G70" s="111"/>
      <c r="H70" s="111"/>
      <c r="I70" s="111"/>
      <c r="J70" s="111"/>
    </row>
    <row r="71" spans="1:10" ht="15" x14ac:dyDescent="0.25">
      <c r="A71" s="112">
        <v>40087</v>
      </c>
      <c r="B71" s="209">
        <v>88.831015425949403</v>
      </c>
      <c r="C71" s="209">
        <f t="shared" si="6"/>
        <v>-3.5748037864230614E-2</v>
      </c>
      <c r="D71" s="209">
        <f t="shared" si="7"/>
        <v>-1.4609363372945074</v>
      </c>
      <c r="E71" s="209">
        <f t="shared" si="8"/>
        <v>7.2016456662110581E-2</v>
      </c>
      <c r="F71" s="111"/>
      <c r="G71" s="111"/>
      <c r="H71" s="111"/>
      <c r="I71" s="111"/>
      <c r="J71" s="111"/>
    </row>
    <row r="72" spans="1:10" ht="15" x14ac:dyDescent="0.25">
      <c r="A72" s="112">
        <v>40179</v>
      </c>
      <c r="B72" s="209">
        <v>90.730632954025694</v>
      </c>
      <c r="C72" s="209">
        <f t="shared" si="6"/>
        <v>2.131796014900977E-2</v>
      </c>
      <c r="D72" s="209">
        <f t="shared" si="7"/>
        <v>-0.10822713759317901</v>
      </c>
      <c r="E72" s="209">
        <f t="shared" si="8"/>
        <v>0.45690775934906536</v>
      </c>
      <c r="F72" s="111"/>
      <c r="G72" s="111"/>
      <c r="H72" s="111"/>
      <c r="I72" s="111"/>
      <c r="J72" s="111"/>
    </row>
    <row r="73" spans="1:10" ht="15" x14ac:dyDescent="0.25">
      <c r="A73" s="112">
        <v>40269</v>
      </c>
      <c r="B73" s="209">
        <v>91.592663846418304</v>
      </c>
      <c r="C73" s="209">
        <f t="shared" si="6"/>
        <v>4.5470168176953006E-2</v>
      </c>
      <c r="D73" s="209">
        <f t="shared" si="7"/>
        <v>0.46428390453244595</v>
      </c>
      <c r="E73" s="209">
        <f t="shared" si="8"/>
        <v>0.67877782294487554</v>
      </c>
      <c r="F73" s="111"/>
      <c r="G73" s="111"/>
      <c r="H73" s="111"/>
      <c r="I73" s="111"/>
      <c r="J73" s="111"/>
    </row>
    <row r="74" spans="1:10" ht="15" x14ac:dyDescent="0.25">
      <c r="A74" s="112">
        <v>40360</v>
      </c>
      <c r="B74" s="209">
        <v>92.072162913634301</v>
      </c>
      <c r="C74" s="209">
        <f t="shared" si="6"/>
        <v>4.6595785652107417E-2</v>
      </c>
      <c r="D74" s="209">
        <f t="shared" si="7"/>
        <v>0.49096587220140131</v>
      </c>
      <c r="E74" s="209">
        <f t="shared" si="8"/>
        <v>0.68827470720710338</v>
      </c>
      <c r="F74" s="111"/>
      <c r="G74" s="111"/>
      <c r="H74" s="111"/>
      <c r="I74" s="111"/>
      <c r="J74" s="111"/>
    </row>
    <row r="75" spans="1:10" ht="15" x14ac:dyDescent="0.25">
      <c r="A75" s="112">
        <v>40452</v>
      </c>
      <c r="B75" s="209">
        <v>93.229491614269193</v>
      </c>
      <c r="C75" s="209">
        <f t="shared" si="6"/>
        <v>4.8328243435161927E-2</v>
      </c>
      <c r="D75" s="209">
        <f t="shared" si="7"/>
        <v>0.53203256099721041</v>
      </c>
      <c r="E75" s="209">
        <f t="shared" si="8"/>
        <v>0.70264827801567187</v>
      </c>
      <c r="F75" s="111"/>
      <c r="G75" s="111"/>
      <c r="H75" s="111"/>
      <c r="I75" s="111"/>
      <c r="J75" s="111"/>
    </row>
    <row r="76" spans="1:10" ht="15" x14ac:dyDescent="0.25">
      <c r="A76" s="112">
        <v>40544</v>
      </c>
      <c r="B76" s="209">
        <v>94.165657394337899</v>
      </c>
      <c r="C76" s="209">
        <f t="shared" si="6"/>
        <v>3.716050453003953E-2</v>
      </c>
      <c r="D76" s="209">
        <f t="shared" si="7"/>
        <v>0.26730919361973166</v>
      </c>
      <c r="E76" s="209">
        <f t="shared" si="8"/>
        <v>0.6053844456213322</v>
      </c>
      <c r="F76" s="111"/>
      <c r="G76" s="111"/>
      <c r="H76" s="111"/>
      <c r="I76" s="111"/>
      <c r="J76" s="111"/>
    </row>
    <row r="77" spans="1:10" ht="15" x14ac:dyDescent="0.25">
      <c r="A77" s="112">
        <v>40634</v>
      </c>
      <c r="B77" s="209">
        <v>95.171650018798502</v>
      </c>
      <c r="C77" s="209">
        <f t="shared" si="6"/>
        <v>3.8330924067833706E-2</v>
      </c>
      <c r="D77" s="209">
        <f t="shared" si="7"/>
        <v>0.29505316255753977</v>
      </c>
      <c r="E77" s="209">
        <f t="shared" si="8"/>
        <v>0.61602336572123984</v>
      </c>
      <c r="F77" s="111"/>
      <c r="G77" s="111"/>
      <c r="H77" s="111"/>
      <c r="I77" s="111"/>
      <c r="J77" s="111"/>
    </row>
    <row r="78" spans="1:10" ht="15" x14ac:dyDescent="0.25">
      <c r="A78" s="112">
        <v>40725</v>
      </c>
      <c r="B78" s="209">
        <v>96.361658784881897</v>
      </c>
      <c r="C78" s="209">
        <f t="shared" si="6"/>
        <v>4.5535742973246522E-2</v>
      </c>
      <c r="D78" s="209">
        <f t="shared" si="7"/>
        <v>0.46583830878897359</v>
      </c>
      <c r="E78" s="209">
        <f t="shared" si="8"/>
        <v>0.67933437911923367</v>
      </c>
      <c r="F78" s="111"/>
      <c r="G78" s="111"/>
      <c r="H78" s="111"/>
      <c r="I78" s="111"/>
      <c r="J78" s="111"/>
    </row>
    <row r="79" spans="1:10" ht="15" x14ac:dyDescent="0.25">
      <c r="A79" s="112">
        <v>40817</v>
      </c>
      <c r="B79" s="209">
        <v>97.563096564995405</v>
      </c>
      <c r="C79" s="209">
        <f t="shared" si="6"/>
        <v>4.5435207686135466E-2</v>
      </c>
      <c r="D79" s="209">
        <f t="shared" si="7"/>
        <v>0.46345519077641928</v>
      </c>
      <c r="E79" s="209">
        <f t="shared" si="8"/>
        <v>0.67848093678270882</v>
      </c>
      <c r="F79" s="111"/>
      <c r="G79" s="111"/>
      <c r="H79" s="111"/>
      <c r="I79" s="111"/>
      <c r="J79" s="111"/>
    </row>
    <row r="80" spans="1:10" ht="15" x14ac:dyDescent="0.25">
      <c r="A80" s="112">
        <v>40909</v>
      </c>
      <c r="B80" s="209">
        <v>99.001211374891099</v>
      </c>
      <c r="C80" s="209">
        <f t="shared" si="6"/>
        <v>5.007654224502673E-2</v>
      </c>
      <c r="D80" s="209">
        <f t="shared" si="7"/>
        <v>0.57347475015128935</v>
      </c>
      <c r="E80" s="209">
        <f t="shared" si="8"/>
        <v>0.71683835466807833</v>
      </c>
      <c r="F80" s="111"/>
      <c r="G80" s="111"/>
      <c r="H80" s="111"/>
      <c r="I80" s="111"/>
      <c r="J80" s="111"/>
    </row>
    <row r="81" spans="1:10" ht="15" x14ac:dyDescent="0.25">
      <c r="A81" s="112">
        <v>41000</v>
      </c>
      <c r="B81" s="209">
        <v>99.412537823451203</v>
      </c>
      <c r="C81" s="209">
        <f t="shared" si="6"/>
        <v>4.3596137225231667E-2</v>
      </c>
      <c r="D81" s="209">
        <f t="shared" si="7"/>
        <v>0.4198613237106697</v>
      </c>
      <c r="E81" s="209">
        <f t="shared" si="8"/>
        <v>0.66270661840468847</v>
      </c>
      <c r="F81" s="111"/>
      <c r="G81" s="111"/>
      <c r="H81" s="111"/>
      <c r="I81" s="111"/>
      <c r="J81" s="111"/>
    </row>
    <row r="82" spans="1:10" ht="15" x14ac:dyDescent="0.25">
      <c r="A82" s="112">
        <v>41091</v>
      </c>
      <c r="B82" s="209">
        <v>99.924729016531003</v>
      </c>
      <c r="C82" s="209">
        <f t="shared" si="6"/>
        <v>3.630880067163475E-2</v>
      </c>
      <c r="D82" s="209">
        <f t="shared" si="7"/>
        <v>0.24712015487869446</v>
      </c>
      <c r="E82" s="209">
        <f t="shared" si="8"/>
        <v>0.59759238198260867</v>
      </c>
      <c r="F82" s="111"/>
      <c r="G82" s="111"/>
      <c r="H82" s="111"/>
      <c r="I82" s="111"/>
      <c r="J82" s="111"/>
    </row>
    <row r="83" spans="1:10" ht="15" x14ac:dyDescent="0.25">
      <c r="A83" s="112">
        <v>41183</v>
      </c>
      <c r="B83" s="209">
        <v>99.991549900426804</v>
      </c>
      <c r="C83" s="209">
        <f t="shared" si="6"/>
        <v>2.4586368469332209E-2</v>
      </c>
      <c r="D83" s="209">
        <f t="shared" si="7"/>
        <v>-3.0751825547383767E-2</v>
      </c>
      <c r="E83" s="209">
        <f t="shared" si="8"/>
        <v>0.48773372993711289</v>
      </c>
      <c r="F83" s="111"/>
      <c r="G83" s="111"/>
      <c r="H83" s="111"/>
      <c r="I83" s="111"/>
      <c r="J83" s="111"/>
    </row>
    <row r="84" spans="1:10" ht="15" x14ac:dyDescent="0.25">
      <c r="A84" s="112">
        <v>41275</v>
      </c>
      <c r="B84" s="209">
        <v>100.732108291909</v>
      </c>
      <c r="C84" s="209">
        <f t="shared" si="6"/>
        <v>1.7332513694964424E-2</v>
      </c>
      <c r="D84" s="209">
        <f t="shared" si="7"/>
        <v>-0.20269933243770497</v>
      </c>
      <c r="E84" s="209">
        <f t="shared" si="8"/>
        <v>0.41968502249177464</v>
      </c>
      <c r="F84" s="111"/>
      <c r="G84" s="111"/>
      <c r="H84" s="111"/>
      <c r="I84" s="111"/>
      <c r="J84" s="111"/>
    </row>
    <row r="85" spans="1:10" ht="15" x14ac:dyDescent="0.25">
      <c r="A85" s="112">
        <v>41365</v>
      </c>
      <c r="B85" s="209">
        <v>101.075161742562</v>
      </c>
      <c r="C85" s="209">
        <f t="shared" si="6"/>
        <v>1.6586174995821424E-2</v>
      </c>
      <c r="D85" s="209">
        <f t="shared" si="7"/>
        <v>-0.22039076445628838</v>
      </c>
      <c r="E85" s="209">
        <f t="shared" si="8"/>
        <v>0.41278341874805335</v>
      </c>
      <c r="F85" s="111"/>
      <c r="G85" s="111"/>
      <c r="H85" s="111"/>
      <c r="I85" s="111"/>
      <c r="J85" s="111"/>
    </row>
    <row r="86" spans="1:10" ht="15" x14ac:dyDescent="0.25">
      <c r="A86" s="112">
        <v>41456</v>
      </c>
      <c r="B86" s="209">
        <v>101.116114765489</v>
      </c>
      <c r="C86" s="209">
        <f t="shared" si="6"/>
        <v>1.1852314916781225E-2</v>
      </c>
      <c r="D86" s="209">
        <f t="shared" si="7"/>
        <v>-0.33260357597201434</v>
      </c>
      <c r="E86" s="209">
        <f t="shared" si="8"/>
        <v>0.36971677184412144</v>
      </c>
      <c r="F86" s="111"/>
      <c r="G86" s="111"/>
      <c r="H86" s="111"/>
      <c r="I86" s="111"/>
      <c r="J86" s="111"/>
    </row>
    <row r="87" spans="1:10" ht="15" x14ac:dyDescent="0.25">
      <c r="A87" s="112">
        <v>41548</v>
      </c>
      <c r="B87" s="209">
        <v>101.70010361321</v>
      </c>
      <c r="C87" s="209">
        <f t="shared" si="6"/>
        <v>1.6942640444337173E-2</v>
      </c>
      <c r="D87" s="209">
        <f t="shared" si="7"/>
        <v>-0.21194100263014742</v>
      </c>
      <c r="E87" s="209">
        <f t="shared" si="8"/>
        <v>0.41607653083575163</v>
      </c>
      <c r="F87" s="111"/>
      <c r="G87" s="111"/>
      <c r="H87" s="111"/>
      <c r="I87" s="111"/>
      <c r="J87" s="111"/>
    </row>
    <row r="88" spans="1:10" ht="15" x14ac:dyDescent="0.25">
      <c r="A88" s="112">
        <v>41640</v>
      </c>
      <c r="B88" s="209">
        <v>101.69317610112201</v>
      </c>
      <c r="C88" s="209">
        <f t="shared" si="6"/>
        <v>9.4956026212322745E-3</v>
      </c>
      <c r="D88" s="209">
        <f t="shared" si="7"/>
        <v>-0.38846777732180299</v>
      </c>
      <c r="E88" s="209">
        <f t="shared" si="8"/>
        <v>0.34883494768067186</v>
      </c>
      <c r="F88" s="111"/>
      <c r="G88" s="111"/>
      <c r="H88" s="111"/>
      <c r="I88" s="111"/>
      <c r="J88" s="111"/>
    </row>
    <row r="89" spans="1:10" ht="15" x14ac:dyDescent="0.25">
      <c r="A89" s="112">
        <v>41730</v>
      </c>
      <c r="B89" s="209">
        <v>102.18341828267801</v>
      </c>
      <c r="C89" s="209">
        <f t="shared" si="6"/>
        <v>1.0905001133936472E-2</v>
      </c>
      <c r="D89" s="209">
        <f t="shared" si="7"/>
        <v>-0.35505898048032847</v>
      </c>
      <c r="E89" s="209">
        <f t="shared" si="8"/>
        <v>0.36127270296475633</v>
      </c>
      <c r="F89" s="111"/>
      <c r="G89" s="111"/>
      <c r="H89" s="111"/>
      <c r="I89" s="111"/>
      <c r="J89" s="111"/>
    </row>
    <row r="90" spans="1:10" ht="15" x14ac:dyDescent="0.25">
      <c r="A90" s="112">
        <v>41821</v>
      </c>
      <c r="B90" s="209">
        <v>101.858499054238</v>
      </c>
      <c r="C90" s="209">
        <f t="shared" si="6"/>
        <v>7.3150783264316066E-3</v>
      </c>
      <c r="D90" s="209">
        <f t="shared" si="7"/>
        <v>-0.44015556648593446</v>
      </c>
      <c r="E90" s="209">
        <f t="shared" si="8"/>
        <v>0.32991221953776595</v>
      </c>
      <c r="F90" s="111"/>
      <c r="G90" s="111"/>
      <c r="H90" s="111"/>
      <c r="I90" s="111"/>
      <c r="J90" s="111"/>
    </row>
    <row r="91" spans="1:10" ht="15" x14ac:dyDescent="0.25">
      <c r="A91" s="112">
        <v>41913</v>
      </c>
      <c r="B91" s="209">
        <v>101.61785065343</v>
      </c>
      <c r="C91" s="209">
        <f t="shared" si="6"/>
        <v>-8.0910674675983016E-4</v>
      </c>
      <c r="D91" s="209">
        <f t="shared" si="7"/>
        <v>-0.6327336387389153</v>
      </c>
      <c r="E91" s="209">
        <f t="shared" si="8"/>
        <v>0.26345379945419556</v>
      </c>
      <c r="F91" s="111"/>
      <c r="G91" s="111"/>
      <c r="H91" s="111"/>
      <c r="I91" s="111"/>
      <c r="J91" s="111"/>
    </row>
    <row r="92" spans="1:10" ht="15" x14ac:dyDescent="0.25">
      <c r="A92" s="112">
        <v>42005</v>
      </c>
      <c r="B92" s="209">
        <v>100.582635574455</v>
      </c>
      <c r="C92" s="209">
        <f t="shared" si="6"/>
        <v>-1.0980568322704795E-2</v>
      </c>
      <c r="D92" s="209">
        <f t="shared" si="7"/>
        <v>-0.873840955305901</v>
      </c>
      <c r="E92" s="209">
        <f t="shared" si="8"/>
        <v>0.19110243663338944</v>
      </c>
      <c r="F92" s="111"/>
      <c r="G92" s="111"/>
      <c r="H92" s="111"/>
      <c r="I92" s="111"/>
      <c r="J92" s="111"/>
    </row>
    <row r="93" spans="1:10" ht="15" x14ac:dyDescent="0.25">
      <c r="A93" s="112">
        <v>42095</v>
      </c>
      <c r="B93" s="209">
        <v>99.907959091498697</v>
      </c>
      <c r="C93" s="209">
        <f t="shared" si="6"/>
        <v>-2.2520063816163366E-2</v>
      </c>
      <c r="D93" s="209">
        <f t="shared" si="7"/>
        <v>-1.1473765501848641</v>
      </c>
      <c r="E93" s="209">
        <f t="shared" si="8"/>
        <v>0.12561301428093224</v>
      </c>
      <c r="F93" s="111"/>
      <c r="G93" s="111"/>
      <c r="H93" s="111"/>
      <c r="I93" s="111"/>
      <c r="J93" s="111"/>
    </row>
    <row r="94" spans="1:10" ht="15" x14ac:dyDescent="0.25">
      <c r="A94" s="112">
        <v>42186</v>
      </c>
      <c r="B94" s="209">
        <v>100.101297158148</v>
      </c>
      <c r="C94" s="209">
        <f t="shared" si="6"/>
        <v>-1.7401941108261765E-2</v>
      </c>
      <c r="D94" s="209">
        <f t="shared" si="7"/>
        <v>-1.0260550643050863</v>
      </c>
      <c r="E94" s="209">
        <f t="shared" si="8"/>
        <v>0.15243281479475473</v>
      </c>
      <c r="F94" s="111"/>
      <c r="G94" s="111"/>
      <c r="H94" s="111"/>
      <c r="I94" s="111"/>
      <c r="J94" s="111"/>
    </row>
    <row r="95" spans="1:10" ht="15" x14ac:dyDescent="0.25">
      <c r="A95" s="112">
        <v>42278</v>
      </c>
      <c r="B95" s="209">
        <v>99.843570818054005</v>
      </c>
      <c r="C95" s="209">
        <f t="shared" si="6"/>
        <v>-1.7614545732787507E-2</v>
      </c>
      <c r="D95" s="209">
        <f t="shared" si="7"/>
        <v>-1.0310947068506926</v>
      </c>
      <c r="E95" s="209">
        <f t="shared" si="8"/>
        <v>0.15124820487755819</v>
      </c>
      <c r="F95" s="111"/>
      <c r="G95" s="111"/>
      <c r="H95" s="111"/>
      <c r="I95" s="111"/>
      <c r="J95" s="111"/>
    </row>
    <row r="96" spans="1:10" ht="15" x14ac:dyDescent="0.25">
      <c r="A96" s="112">
        <v>42370</v>
      </c>
      <c r="B96" s="209">
        <v>100.033343689923</v>
      </c>
      <c r="C96" s="209">
        <f t="shared" si="6"/>
        <v>-5.476066853639658E-3</v>
      </c>
      <c r="D96" s="209">
        <f t="shared" si="7"/>
        <v>-0.74336063363963867</v>
      </c>
      <c r="E96" s="209">
        <f t="shared" si="8"/>
        <v>0.22863168557838046</v>
      </c>
      <c r="F96" s="111"/>
      <c r="G96" s="111"/>
      <c r="H96" s="111"/>
      <c r="I96" s="111"/>
      <c r="J96" s="111"/>
    </row>
    <row r="97" spans="1:10" ht="15" x14ac:dyDescent="0.25">
      <c r="A97" s="112">
        <v>42461</v>
      </c>
      <c r="B97" s="209">
        <v>100.087096998851</v>
      </c>
      <c r="C97" s="209">
        <f t="shared" si="6"/>
        <v>1.7914238357852005E-3</v>
      </c>
      <c r="D97" s="209">
        <f t="shared" si="7"/>
        <v>-0.57108989700855717</v>
      </c>
      <c r="E97" s="209">
        <f t="shared" si="8"/>
        <v>0.28396935332987994</v>
      </c>
      <c r="F97" s="111"/>
      <c r="G97" s="111"/>
      <c r="H97" s="111"/>
      <c r="I97" s="111"/>
      <c r="J97" s="111"/>
    </row>
    <row r="98" spans="1:10" ht="15" x14ac:dyDescent="0.25">
      <c r="A98" s="112">
        <v>42552</v>
      </c>
      <c r="B98" s="209">
        <v>100.188040900225</v>
      </c>
      <c r="C98" s="209">
        <f t="shared" si="6"/>
        <v>8.661843744793066E-4</v>
      </c>
      <c r="D98" s="209">
        <f t="shared" si="7"/>
        <v>-0.59302204530717795</v>
      </c>
      <c r="E98" s="209">
        <f t="shared" si="8"/>
        <v>0.27658319939961795</v>
      </c>
      <c r="F98" s="111"/>
      <c r="G98" s="111"/>
      <c r="H98" s="111"/>
      <c r="I98" s="111"/>
      <c r="J98" s="111"/>
    </row>
    <row r="99" spans="1:10" ht="15" x14ac:dyDescent="0.25">
      <c r="A99" s="112">
        <v>42644</v>
      </c>
      <c r="B99" s="209">
        <v>101.015012690837</v>
      </c>
      <c r="C99" s="209">
        <f t="shared" si="6"/>
        <v>1.1664476911952052E-2</v>
      </c>
      <c r="D99" s="209">
        <f t="shared" si="7"/>
        <v>-0.33705614328060696</v>
      </c>
      <c r="E99" s="209">
        <f t="shared" si="8"/>
        <v>0.36803728874160124</v>
      </c>
      <c r="F99" s="111"/>
      <c r="G99" s="111"/>
      <c r="H99" s="111"/>
      <c r="I99" s="111"/>
      <c r="J99" s="111"/>
    </row>
    <row r="100" spans="1:10" ht="15" x14ac:dyDescent="0.25">
      <c r="A100" s="112">
        <v>42736</v>
      </c>
      <c r="B100" s="209">
        <v>101.219087301172</v>
      </c>
      <c r="C100" s="209">
        <f t="shared" si="6"/>
        <v>1.1783781454575711E-2</v>
      </c>
      <c r="D100" s="209">
        <f t="shared" si="7"/>
        <v>-0.33422811331544733</v>
      </c>
      <c r="E100" s="209">
        <f t="shared" si="8"/>
        <v>0.36910371562154642</v>
      </c>
      <c r="F100" s="111"/>
      <c r="G100" s="111"/>
      <c r="H100" s="111"/>
      <c r="I100" s="111"/>
      <c r="J100" s="111"/>
    </row>
    <row r="101" spans="1:10" ht="15" x14ac:dyDescent="0.25">
      <c r="A101" s="112">
        <v>42826</v>
      </c>
      <c r="B101" s="209">
        <v>101.918127945721</v>
      </c>
      <c r="C101" s="209">
        <f t="shared" si="6"/>
        <v>1.8129046873324953E-2</v>
      </c>
      <c r="D101" s="209">
        <f t="shared" si="7"/>
        <v>-0.18381807572182957</v>
      </c>
      <c r="E101" s="209">
        <f t="shared" si="8"/>
        <v>0.42707808769344091</v>
      </c>
      <c r="F101" s="111"/>
      <c r="G101" s="111"/>
      <c r="H101" s="111"/>
      <c r="I101" s="111"/>
      <c r="J101" s="111"/>
    </row>
    <row r="102" spans="1:10" ht="15" x14ac:dyDescent="0.25">
      <c r="A102" s="112">
        <v>42917</v>
      </c>
      <c r="B102" s="209">
        <v>102.61050466910299</v>
      </c>
      <c r="C102" s="209">
        <f t="shared" si="6"/>
        <v>2.3891482950278528E-2</v>
      </c>
      <c r="D102" s="209">
        <f t="shared" si="7"/>
        <v>-4.7223596253033295E-2</v>
      </c>
      <c r="E102" s="209">
        <f t="shared" si="8"/>
        <v>0.48116751070415864</v>
      </c>
      <c r="F102" s="111"/>
      <c r="G102" s="111"/>
      <c r="H102" s="111"/>
      <c r="I102" s="111"/>
      <c r="J102" s="111"/>
    </row>
    <row r="103" spans="1:10" ht="15" x14ac:dyDescent="0.25">
      <c r="A103" s="112">
        <v>43009</v>
      </c>
      <c r="B103" s="209">
        <v>102.63217492304599</v>
      </c>
      <c r="C103" s="209">
        <f t="shared" si="6"/>
        <v>1.588233301830019E-2</v>
      </c>
      <c r="D103" s="209">
        <f t="shared" si="7"/>
        <v>-0.23707484168749784</v>
      </c>
      <c r="E103" s="209">
        <f t="shared" si="8"/>
        <v>0.40629936474071221</v>
      </c>
      <c r="F103" s="111"/>
      <c r="G103" s="111"/>
      <c r="H103" s="111"/>
      <c r="I103" s="111"/>
      <c r="J103" s="111"/>
    </row>
    <row r="104" spans="1:10" ht="15" x14ac:dyDescent="0.25">
      <c r="A104" s="112">
        <v>43101</v>
      </c>
      <c r="B104" s="209">
        <v>104.024481132112</v>
      </c>
      <c r="C104" s="209">
        <f t="shared" si="6"/>
        <v>2.7338918177107534E-2</v>
      </c>
      <c r="D104" s="209">
        <f t="shared" si="7"/>
        <v>3.4495422235420029E-2</v>
      </c>
      <c r="E104" s="209">
        <f t="shared" si="8"/>
        <v>0.5137589536477617</v>
      </c>
      <c r="F104" s="111"/>
      <c r="G104" s="111"/>
      <c r="H104" s="111"/>
      <c r="I104" s="111"/>
      <c r="J104" s="111"/>
    </row>
    <row r="105" spans="1:10" ht="15" x14ac:dyDescent="0.25">
      <c r="A105" s="112">
        <v>43191</v>
      </c>
      <c r="B105" s="209">
        <v>104.605317467981</v>
      </c>
      <c r="C105" s="209">
        <f t="shared" si="6"/>
        <v>2.6024562777015297E-2</v>
      </c>
      <c r="D105" s="209">
        <f t="shared" si="7"/>
        <v>3.3395552869549682E-3</v>
      </c>
      <c r="E105" s="209">
        <f t="shared" si="8"/>
        <v>0.50133228732528612</v>
      </c>
      <c r="F105" s="111"/>
      <c r="G105" s="111"/>
      <c r="H105" s="111"/>
      <c r="I105" s="111"/>
      <c r="J105" s="111"/>
    </row>
    <row r="106" spans="1:10" ht="15" x14ac:dyDescent="0.25">
      <c r="A106" s="112">
        <v>43282</v>
      </c>
      <c r="B106" s="209">
        <v>104.85749931743899</v>
      </c>
      <c r="C106" s="209">
        <f t="shared" si="6"/>
        <v>2.1661966853709438E-2</v>
      </c>
      <c r="D106" s="209">
        <f t="shared" si="7"/>
        <v>-0.10007270149450233</v>
      </c>
      <c r="E106" s="209">
        <f t="shared" si="8"/>
        <v>0.4601433037844529</v>
      </c>
      <c r="F106" s="111"/>
      <c r="G106" s="111"/>
      <c r="H106" s="111"/>
      <c r="I106" s="111"/>
      <c r="J106" s="111"/>
    </row>
    <row r="107" spans="1:10" ht="15" x14ac:dyDescent="0.25">
      <c r="A107" s="112">
        <v>43374</v>
      </c>
      <c r="B107" s="209">
        <v>105.55343608642799</v>
      </c>
      <c r="C107" s="209">
        <f t="shared" si="6"/>
        <v>2.8065848558577994E-2</v>
      </c>
      <c r="D107" s="209">
        <f t="shared" si="7"/>
        <v>5.1726793784014298E-2</v>
      </c>
      <c r="E107" s="209">
        <f t="shared" si="8"/>
        <v>0.52062680626928792</v>
      </c>
      <c r="F107" s="111"/>
      <c r="G107" s="111"/>
      <c r="H107" s="111"/>
      <c r="I107" s="111"/>
      <c r="J107" s="111"/>
    </row>
    <row r="108" spans="1:10" ht="15" x14ac:dyDescent="0.25">
      <c r="A108" s="112">
        <v>43466</v>
      </c>
      <c r="B108" s="209">
        <v>105.514999231012</v>
      </c>
      <c r="C108" s="209">
        <f t="shared" si="6"/>
        <v>1.4226848675050885E-2</v>
      </c>
      <c r="D108" s="209">
        <f t="shared" si="7"/>
        <v>-0.27631692942870001</v>
      </c>
      <c r="E108" s="209">
        <f t="shared" si="8"/>
        <v>0.3911523270507905</v>
      </c>
      <c r="F108" s="111"/>
      <c r="G108" s="111"/>
      <c r="H108" s="111"/>
      <c r="I108" s="111"/>
      <c r="J108" s="111"/>
    </row>
    <row r="109" spans="1:10" ht="15" x14ac:dyDescent="0.25">
      <c r="A109" s="112">
        <v>43556</v>
      </c>
      <c r="B109" s="209">
        <v>107.90342934399401</v>
      </c>
      <c r="C109" s="209">
        <f t="shared" si="6"/>
        <v>3.1042267819834424E-2</v>
      </c>
      <c r="D109" s="209">
        <f t="shared" si="7"/>
        <v>0.12228071130133598</v>
      </c>
      <c r="E109" s="209">
        <f t="shared" si="8"/>
        <v>0.54866164624805247</v>
      </c>
      <c r="F109" s="111"/>
      <c r="G109" s="111"/>
      <c r="H109" s="111"/>
      <c r="I109" s="111"/>
      <c r="J109" s="111"/>
    </row>
    <row r="110" spans="1:10" ht="15" x14ac:dyDescent="0.25">
      <c r="A110" s="112">
        <v>43647</v>
      </c>
      <c r="B110" s="209">
        <v>106.848387649589</v>
      </c>
      <c r="C110" s="209">
        <f t="shared" si="6"/>
        <v>1.8808612763342194E-2</v>
      </c>
      <c r="D110" s="209">
        <f t="shared" si="7"/>
        <v>-0.16770944600827828</v>
      </c>
      <c r="E110" s="209">
        <f t="shared" si="8"/>
        <v>0.43340593230508162</v>
      </c>
      <c r="F110" s="111"/>
      <c r="G110" s="111"/>
      <c r="H110" s="111"/>
      <c r="I110" s="111"/>
      <c r="J110" s="111"/>
    </row>
    <row r="111" spans="1:10" ht="15" x14ac:dyDescent="0.25">
      <c r="A111" s="112">
        <v>43739</v>
      </c>
      <c r="B111" s="209">
        <v>106.335728536982</v>
      </c>
      <c r="C111" s="209">
        <f t="shared" si="6"/>
        <v>7.384011413635181E-3</v>
      </c>
      <c r="D111" s="209">
        <f t="shared" si="7"/>
        <v>-0.43852155631401996</v>
      </c>
      <c r="E111" s="209">
        <f t="shared" si="8"/>
        <v>0.33050412367523135</v>
      </c>
      <c r="F111" s="111"/>
      <c r="G111" s="111"/>
      <c r="H111" s="111"/>
      <c r="I111" s="111"/>
      <c r="J111" s="111"/>
    </row>
    <row r="112" spans="1:10" ht="15" x14ac:dyDescent="0.25">
      <c r="A112" s="112">
        <v>43831</v>
      </c>
      <c r="B112" s="209">
        <v>105.731022500702</v>
      </c>
      <c r="C112" s="209">
        <f t="shared" si="6"/>
        <v>2.0452299477225953E-3</v>
      </c>
      <c r="D112" s="209">
        <f t="shared" si="7"/>
        <v>-0.56507360228821468</v>
      </c>
      <c r="E112" s="209">
        <f t="shared" si="8"/>
        <v>0.28601185135951751</v>
      </c>
      <c r="F112" s="111"/>
      <c r="G112" s="111"/>
      <c r="H112" s="111"/>
      <c r="I112" s="111"/>
      <c r="J112" s="111"/>
    </row>
    <row r="113" spans="1:10" ht="15" x14ac:dyDescent="0.25">
      <c r="A113" s="112">
        <v>43922</v>
      </c>
      <c r="B113" s="209">
        <v>102.944801152791</v>
      </c>
      <c r="C113" s="209">
        <f t="shared" ref="C113:C114" si="9">LN(B113/B109)</f>
        <v>-4.7043720932522744E-2</v>
      </c>
      <c r="D113" s="209">
        <f t="shared" ref="D113:D114" si="10">(C113-$E$31)/$E$32</f>
        <v>-1.7286925307434347</v>
      </c>
      <c r="E113" s="209">
        <f t="shared" ref="E113:E114" si="11">_xlfn.NORM.DIST(C113,$E$31,$E$32,TRUE)</f>
        <v>4.1932069434580416E-2</v>
      </c>
      <c r="F113" s="111"/>
      <c r="G113" s="111"/>
      <c r="H113" s="111"/>
      <c r="I113" s="111"/>
      <c r="J113" s="111"/>
    </row>
    <row r="114" spans="1:10" ht="15" x14ac:dyDescent="0.25">
      <c r="A114" s="112">
        <v>44013</v>
      </c>
      <c r="B114" s="209">
        <v>103.605313146185</v>
      </c>
      <c r="C114" s="209">
        <f t="shared" si="9"/>
        <v>-3.0822278096701409E-2</v>
      </c>
      <c r="D114" s="209">
        <f t="shared" si="10"/>
        <v>-1.3441746791261975</v>
      </c>
      <c r="E114" s="209">
        <f t="shared" si="11"/>
        <v>8.9445953807453779E-2</v>
      </c>
      <c r="F114" s="111"/>
      <c r="G114" s="111"/>
      <c r="H114" s="111"/>
      <c r="I114" s="111"/>
      <c r="J114" s="111"/>
    </row>
    <row r="115" spans="1:10" ht="15" x14ac:dyDescent="0.25">
      <c r="A115" s="112">
        <v>44105</v>
      </c>
      <c r="B115" s="209">
        <v>103.359705060529</v>
      </c>
      <c r="C115" s="209">
        <f t="shared" ref="C115" si="12">LN(B115/B111)</f>
        <v>-2.8386152775537691E-2</v>
      </c>
      <c r="D115" s="209">
        <f t="shared" ref="D115" si="13">(C115-$E$31)/$E$32</f>
        <v>-1.2864280480623032</v>
      </c>
      <c r="E115" s="209">
        <f t="shared" ref="E115" si="14">_xlfn.NORM.DIST(C115,$E$31,$E$32,TRUE)</f>
        <v>9.9146857457423437E-2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zoomScale="90" zoomScaleNormal="90" workbookViewId="0">
      <selection activeCell="F18" sqref="F18"/>
    </sheetView>
  </sheetViews>
  <sheetFormatPr defaultColWidth="8.7109375" defaultRowHeight="12.75" x14ac:dyDescent="0.2"/>
  <cols>
    <col min="1" max="1" width="26.85546875" style="164" customWidth="1"/>
    <col min="2" max="2" width="32.28515625" style="145" customWidth="1"/>
    <col min="3" max="3" width="27.42578125" style="145" customWidth="1"/>
    <col min="4" max="4" width="13.85546875" style="145" customWidth="1"/>
    <col min="5" max="5" width="17" style="144" customWidth="1"/>
    <col min="6" max="6" width="33.42578125" style="145" customWidth="1"/>
    <col min="7" max="7" width="15.140625" style="145" customWidth="1"/>
    <col min="8" max="9" width="16.5703125" style="145" customWidth="1"/>
    <col min="10" max="10" width="27.85546875" style="145" bestFit="1" customWidth="1"/>
    <col min="11" max="11" width="15.28515625" style="145" customWidth="1"/>
    <col min="12" max="12" width="16.5703125" style="145" customWidth="1"/>
    <col min="13" max="13" width="16.140625" style="145" customWidth="1"/>
    <col min="14" max="14" width="17.28515625" style="145" customWidth="1"/>
    <col min="15" max="15" width="13.42578125" style="145" customWidth="1"/>
    <col min="16" max="16" width="7.5703125" style="145" customWidth="1"/>
    <col min="17" max="17" width="18.7109375" style="145" customWidth="1"/>
    <col min="18" max="18" width="12.5703125" style="145" customWidth="1"/>
    <col min="19" max="19" width="8.7109375" style="145" customWidth="1"/>
    <col min="20" max="20" width="12.42578125" style="145" customWidth="1"/>
    <col min="21" max="21" width="8.7109375" style="145"/>
    <col min="22" max="22" width="14.5703125" style="145" customWidth="1"/>
    <col min="23" max="16384" width="8.7109375" style="145"/>
  </cols>
  <sheetData>
    <row r="1" spans="1:18" ht="23.25" customHeight="1" x14ac:dyDescent="0.2">
      <c r="A1" s="172" t="str">
        <f>F25</f>
        <v>Отрасль</v>
      </c>
      <c r="B1" s="173" t="str">
        <f>D25</f>
        <v>Вложения (руб)</v>
      </c>
      <c r="C1" s="148" t="s">
        <v>289</v>
      </c>
      <c r="D1" s="144"/>
      <c r="E1" s="246" t="s">
        <v>288</v>
      </c>
      <c r="F1" s="246"/>
      <c r="G1" s="246"/>
      <c r="K1" s="245"/>
      <c r="L1" s="245"/>
      <c r="M1" s="245"/>
      <c r="N1" s="245"/>
    </row>
    <row r="2" spans="1:18" x14ac:dyDescent="0.2">
      <c r="A2" s="161" t="s">
        <v>206</v>
      </c>
      <c r="B2" s="142">
        <f>SUMIF(F26:$F$466,"Банк",D26:$D$466)</f>
        <v>27669424158.84</v>
      </c>
      <c r="C2" s="143">
        <f t="shared" ref="C2:C18" si="0">B2/$B$19</f>
        <v>0.34772706210216769</v>
      </c>
      <c r="D2" s="144"/>
      <c r="E2" s="145"/>
      <c r="I2" s="244" t="s">
        <v>333</v>
      </c>
      <c r="J2" s="244"/>
    </row>
    <row r="3" spans="1:18" x14ac:dyDescent="0.2">
      <c r="A3" s="161" t="s">
        <v>341</v>
      </c>
      <c r="B3" s="142">
        <f>SUMIF(F26:$F$466,"Страны",D26:$D$466)</f>
        <v>420444467.98999995</v>
      </c>
      <c r="C3" s="143">
        <f t="shared" si="0"/>
        <v>5.2838078158761641E-3</v>
      </c>
      <c r="D3" s="144"/>
      <c r="E3" s="145"/>
      <c r="J3" s="153" t="str">
        <f>D25</f>
        <v>Вложения (руб)</v>
      </c>
    </row>
    <row r="4" spans="1:18" ht="25.5" x14ac:dyDescent="0.2">
      <c r="A4" s="161" t="s">
        <v>268</v>
      </c>
      <c r="B4" s="142">
        <f>SUMIF($F$26:$F$466,"Электроэнергетика и теплоэнергетика",$D$26:$D$466)</f>
        <v>1359498555.1700001</v>
      </c>
      <c r="C4" s="143">
        <f t="shared" si="0"/>
        <v>1.7085084091653338E-2</v>
      </c>
      <c r="D4" s="144"/>
      <c r="E4" s="145"/>
      <c r="I4" s="158" t="s">
        <v>72</v>
      </c>
      <c r="J4" s="142">
        <f>SUMIF($H$26:$H$246,I4,$D$26:$D$246)</f>
        <v>1556705471.5</v>
      </c>
      <c r="K4" s="196">
        <f>J4/$J$15</f>
        <v>1.9659875065855099E-2</v>
      </c>
    </row>
    <row r="5" spans="1:18" x14ac:dyDescent="0.2">
      <c r="A5" s="161" t="s">
        <v>225</v>
      </c>
      <c r="B5" s="142">
        <f>SUMIF($F$26:$F$466,"Топливная промышленность",$D$26:$D$466)</f>
        <v>17430548317.970001</v>
      </c>
      <c r="C5" s="143">
        <f t="shared" si="0"/>
        <v>0.21905310795928362</v>
      </c>
      <c r="D5" s="144"/>
      <c r="E5" s="145"/>
      <c r="I5" s="141" t="s">
        <v>74</v>
      </c>
      <c r="J5" s="142">
        <f t="shared" ref="J5:J14" si="1">SUMIF($H$26:$H$246,I5,$D$26:$D$246)</f>
        <v>0</v>
      </c>
      <c r="K5" s="196">
        <f t="shared" ref="K5:K14" si="2">J5/$J$15</f>
        <v>0</v>
      </c>
    </row>
    <row r="6" spans="1:18" x14ac:dyDescent="0.2">
      <c r="A6" s="161" t="s">
        <v>213</v>
      </c>
      <c r="B6" s="142">
        <f>SUMIF($F$26:$F$466,"Транспорт",$D$26:$D$466)</f>
        <v>2362949865.5</v>
      </c>
      <c r="C6" s="143">
        <f t="shared" si="0"/>
        <v>2.9695652858844106E-2</v>
      </c>
      <c r="D6" s="144"/>
      <c r="E6" s="145"/>
      <c r="I6" s="141" t="s">
        <v>76</v>
      </c>
      <c r="J6" s="142">
        <f t="shared" si="1"/>
        <v>14844537158.370001</v>
      </c>
      <c r="K6" s="196">
        <f t="shared" si="2"/>
        <v>0.18747396427070237</v>
      </c>
      <c r="L6" s="244" t="s">
        <v>337</v>
      </c>
      <c r="M6" s="244"/>
      <c r="N6" s="244"/>
      <c r="O6" s="156"/>
      <c r="P6" s="244" t="s">
        <v>338</v>
      </c>
      <c r="Q6" s="244"/>
      <c r="R6" s="244"/>
    </row>
    <row r="7" spans="1:18" x14ac:dyDescent="0.2">
      <c r="A7" s="161" t="s">
        <v>264</v>
      </c>
      <c r="B7" s="142">
        <f>SUMIF($F$26:$F$466,"Связь и телекоммуникации",$D$26:$D$466)</f>
        <v>535104801.20000005</v>
      </c>
      <c r="C7" s="143">
        <f t="shared" si="0"/>
        <v>6.7247666366267176E-3</v>
      </c>
      <c r="D7" s="144"/>
      <c r="E7" s="244" t="s">
        <v>336</v>
      </c>
      <c r="F7" s="244"/>
      <c r="G7" s="244"/>
      <c r="I7" s="141" t="s">
        <v>78</v>
      </c>
      <c r="J7" s="142">
        <f t="shared" si="1"/>
        <v>31831263476.989998</v>
      </c>
      <c r="K7" s="196">
        <f t="shared" si="2"/>
        <v>0.40200196800422161</v>
      </c>
      <c r="M7" s="144" t="str">
        <f>D25</f>
        <v>Вложения (руб)</v>
      </c>
      <c r="N7" s="145" t="s">
        <v>197</v>
      </c>
      <c r="P7" s="152"/>
      <c r="Q7" s="153" t="str">
        <f>D25</f>
        <v>Вложения (руб)</v>
      </c>
      <c r="R7" s="152" t="str">
        <f>N7</f>
        <v>Доля</v>
      </c>
    </row>
    <row r="8" spans="1:18" ht="25.5" x14ac:dyDescent="0.2">
      <c r="A8" s="161" t="s">
        <v>269</v>
      </c>
      <c r="B8" s="142">
        <f>SUMIF($F$26:$F$466,"Горнодобывающая промышленность",$D$26:$D$466)</f>
        <v>1626955717.1000001</v>
      </c>
      <c r="C8" s="143">
        <f t="shared" si="0"/>
        <v>2.0446270526983969E-2</v>
      </c>
      <c r="D8" s="144"/>
      <c r="E8" s="145"/>
      <c r="F8" s="153" t="str">
        <f>D25</f>
        <v>Вложения (руб)</v>
      </c>
      <c r="G8" s="152" t="s">
        <v>290</v>
      </c>
      <c r="H8" s="152"/>
      <c r="I8" s="158" t="s">
        <v>80</v>
      </c>
      <c r="J8" s="142">
        <f t="shared" si="1"/>
        <v>12196849043.280001</v>
      </c>
      <c r="K8" s="196">
        <f t="shared" si="2"/>
        <v>0.15403590003247386</v>
      </c>
      <c r="L8" s="141">
        <v>1</v>
      </c>
      <c r="M8" s="142">
        <f>SUMIF($J$26:$J$285,L8,$D$26:$D$285)</f>
        <v>54072912313.340004</v>
      </c>
      <c r="N8" s="143">
        <f>M8/$M$12</f>
        <v>0.68786785877504075</v>
      </c>
      <c r="P8" s="141">
        <v>1</v>
      </c>
      <c r="Q8" s="142">
        <f>SUMIF($I$26:$I$285,P8,$D$26:$D$285)</f>
        <v>339605076</v>
      </c>
      <c r="R8" s="143">
        <f>Q8/$Q$11</f>
        <v>0.86991550695376907</v>
      </c>
    </row>
    <row r="9" spans="1:18" x14ac:dyDescent="0.2">
      <c r="A9" s="161" t="s">
        <v>249</v>
      </c>
      <c r="B9" s="142">
        <f>SUMIF($F$26:$F$466,"Финансовый лизинг",$D$26:$D$466)</f>
        <v>3287586704.54</v>
      </c>
      <c r="C9" s="143">
        <f t="shared" si="0"/>
        <v>4.1315744759025282E-2</v>
      </c>
      <c r="D9" s="144"/>
      <c r="E9" s="141" t="s">
        <v>286</v>
      </c>
      <c r="F9" s="142">
        <f>SUMIF($B$26:$B$246,"акции обыкновенные",D26:$D$246)+SUMIF($B$26:$B$246,"акции привилегированные",$D$26:$D$246)</f>
        <v>390388576</v>
      </c>
      <c r="G9" s="182">
        <f>F9/$F$11</f>
        <v>4.906089546043514E-3</v>
      </c>
      <c r="H9" s="155"/>
      <c r="I9" s="159" t="s">
        <v>82</v>
      </c>
      <c r="J9" s="142">
        <f t="shared" si="1"/>
        <v>9687536155.3800011</v>
      </c>
      <c r="K9" s="196">
        <f t="shared" si="2"/>
        <v>0.12234539802009364</v>
      </c>
      <c r="L9" s="141">
        <v>2</v>
      </c>
      <c r="M9" s="142">
        <f>SUMIF($J$26:$J$285,L9,$D$26:$D$285)</f>
        <v>15125457432.000004</v>
      </c>
      <c r="N9" s="143">
        <f t="shared" ref="N9:N11" si="3">M9/$M$12</f>
        <v>0.19241271778468799</v>
      </c>
      <c r="P9" s="141">
        <v>2</v>
      </c>
      <c r="Q9" s="142">
        <f>SUMIF($I$26:$I$285,P9,$D$26:$D$285)</f>
        <v>38973500</v>
      </c>
      <c r="R9" s="143">
        <f>Q9/$Q$11</f>
        <v>9.983258321575475E-2</v>
      </c>
    </row>
    <row r="10" spans="1:18" x14ac:dyDescent="0.2">
      <c r="A10" s="161" t="s">
        <v>262</v>
      </c>
      <c r="B10" s="142">
        <f>SUMIF($F$26:$F$466,"Цветная и черная металлургия",$D$26:$D$466)</f>
        <v>1604164004.79</v>
      </c>
      <c r="C10" s="143">
        <f t="shared" si="0"/>
        <v>2.0159842623159951E-2</v>
      </c>
      <c r="D10" s="144"/>
      <c r="E10" s="141" t="s">
        <v>287</v>
      </c>
      <c r="F10" s="142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79181859817.800003</v>
      </c>
      <c r="G10" s="182">
        <f>F10/$F$11</f>
        <v>0.99509391045395645</v>
      </c>
      <c r="H10" s="155"/>
      <c r="I10" s="159" t="s">
        <v>84</v>
      </c>
      <c r="J10" s="142">
        <f t="shared" si="1"/>
        <v>8062668189.9699993</v>
      </c>
      <c r="K10" s="196">
        <f t="shared" si="2"/>
        <v>0.10182468823695802</v>
      </c>
      <c r="L10" s="141">
        <v>3</v>
      </c>
      <c r="M10" s="142">
        <f t="shared" ref="M10:M11" si="4">SUMIF($J$26:$J$285,L10,$D$26:$D$285)</f>
        <v>8086788386.8600006</v>
      </c>
      <c r="N10" s="143">
        <f t="shared" si="3"/>
        <v>0.10287298342286492</v>
      </c>
      <c r="P10" s="141">
        <v>3</v>
      </c>
      <c r="Q10" s="142">
        <f t="shared" ref="Q10" si="5">SUMIF($I$26:$I$285,P10,$D$26:$D$285)</f>
        <v>11810000</v>
      </c>
      <c r="R10" s="143">
        <f>Q10/$Q$11</f>
        <v>3.0251909830476188E-2</v>
      </c>
    </row>
    <row r="11" spans="1:18" ht="25.5" x14ac:dyDescent="0.2">
      <c r="A11" s="161" t="s">
        <v>248</v>
      </c>
      <c r="B11" s="142">
        <f>SUMIF($F$26:$F$466,"Химическая и нефтехимическая промышленность",$D$26:$D$466)</f>
        <v>0</v>
      </c>
      <c r="C11" s="143">
        <f t="shared" si="0"/>
        <v>0</v>
      </c>
      <c r="D11" s="144"/>
      <c r="E11" s="145"/>
      <c r="F11" s="150">
        <f>SUM(F9:F10)</f>
        <v>79572248393.800003</v>
      </c>
      <c r="I11" s="158" t="s">
        <v>86</v>
      </c>
      <c r="J11" s="142">
        <f t="shared" si="1"/>
        <v>568685399.30999994</v>
      </c>
      <c r="K11" s="196">
        <f t="shared" si="2"/>
        <v>7.1820161918217541E-3</v>
      </c>
      <c r="L11" s="141">
        <v>4</v>
      </c>
      <c r="M11" s="142">
        <f t="shared" si="4"/>
        <v>1324289341.6700001</v>
      </c>
      <c r="N11" s="143">
        <f t="shared" si="3"/>
        <v>1.6846440017406272E-2</v>
      </c>
      <c r="Q11" s="150">
        <f>SUM(Q8:Q10)</f>
        <v>390388576</v>
      </c>
    </row>
    <row r="12" spans="1:18" x14ac:dyDescent="0.2">
      <c r="A12" s="161" t="s">
        <v>275</v>
      </c>
      <c r="B12" s="142">
        <f>SUMIF($F$26:$F$466,"Инвестиционная деятельность",$D$26:$D$466)</f>
        <v>9001945300.6100006</v>
      </c>
      <c r="C12" s="143">
        <f t="shared" si="0"/>
        <v>0.11312920625366422</v>
      </c>
      <c r="D12" s="144"/>
      <c r="E12" s="146" t="s">
        <v>14</v>
      </c>
      <c r="F12" s="147">
        <f>B19-F11</f>
        <v>0</v>
      </c>
      <c r="I12" s="158" t="s">
        <v>88</v>
      </c>
      <c r="J12" s="142">
        <f t="shared" si="1"/>
        <v>420444467.98999995</v>
      </c>
      <c r="K12" s="196">
        <f t="shared" si="2"/>
        <v>5.3098584569427412E-3</v>
      </c>
      <c r="M12" s="150">
        <f>SUM(M8:M11)</f>
        <v>78609447473.87001</v>
      </c>
      <c r="P12" s="157" t="s">
        <v>14</v>
      </c>
      <c r="Q12" s="151">
        <f>Q11-F9</f>
        <v>0</v>
      </c>
    </row>
    <row r="13" spans="1:18" x14ac:dyDescent="0.2">
      <c r="A13" s="161" t="s">
        <v>254</v>
      </c>
      <c r="B13" s="142">
        <f>SUMIF($F$26:$F$466,"Строительство жилых зданий",$D$26:$D$466)</f>
        <v>1464063320.5</v>
      </c>
      <c r="C13" s="143">
        <f t="shared" si="0"/>
        <v>1.8399169937418473E-2</v>
      </c>
      <c r="D13" s="144"/>
      <c r="E13" s="145"/>
      <c r="I13" s="158" t="s">
        <v>90</v>
      </c>
      <c r="J13" s="142">
        <f t="shared" si="1"/>
        <v>0</v>
      </c>
      <c r="K13" s="196">
        <f t="shared" si="2"/>
        <v>0</v>
      </c>
      <c r="L13" s="146" t="s">
        <v>14</v>
      </c>
      <c r="M13" s="147">
        <f>F10-M12</f>
        <v>572412343.92999268</v>
      </c>
    </row>
    <row r="14" spans="1:18" x14ac:dyDescent="0.2">
      <c r="A14" s="161" t="s">
        <v>220</v>
      </c>
      <c r="B14" s="142">
        <f>SUMIF($F$26:$F$466,"ОФЗ",$D$26:$D$466)</f>
        <v>12091535740.299997</v>
      </c>
      <c r="C14" s="143">
        <f t="shared" si="0"/>
        <v>0.15195669324887559</v>
      </c>
      <c r="D14" s="144"/>
      <c r="E14" s="145"/>
      <c r="F14" s="144"/>
      <c r="I14" s="158" t="s">
        <v>117</v>
      </c>
      <c r="J14" s="142">
        <f t="shared" si="1"/>
        <v>13170455.009999998</v>
      </c>
      <c r="K14" s="196">
        <f t="shared" si="2"/>
        <v>1.6633172093085004E-4</v>
      </c>
    </row>
    <row r="15" spans="1:18" ht="38.25" x14ac:dyDescent="0.2">
      <c r="A15" s="161" t="s">
        <v>259</v>
      </c>
      <c r="B15" s="142">
        <f>SUMIF($F$26:$F$466,"Лесная и лесоперерабатывающая промышленность",$D$26:$D$466)</f>
        <v>623517589.28999996</v>
      </c>
      <c r="C15" s="143">
        <f t="shared" si="0"/>
        <v>7.8358674270988977E-3</v>
      </c>
      <c r="D15" s="144"/>
      <c r="E15" s="145"/>
      <c r="F15" s="144"/>
      <c r="I15" s="183"/>
      <c r="J15" s="150">
        <f>SUM(J4:J14)</f>
        <v>79181859817.800003</v>
      </c>
    </row>
    <row r="16" spans="1:18" ht="25.5" x14ac:dyDescent="0.2">
      <c r="A16" s="161" t="s">
        <v>263</v>
      </c>
      <c r="B16" s="142">
        <f>SUMIF($F$26:$F$466,"Профессиональные услуги, сервис",$D$26:$D$466)</f>
        <v>44825850</v>
      </c>
      <c r="C16" s="143">
        <f t="shared" si="0"/>
        <v>5.633352193111171E-4</v>
      </c>
      <c r="D16" s="144"/>
      <c r="E16" s="145"/>
      <c r="F16" s="144"/>
      <c r="I16" s="146" t="s">
        <v>14</v>
      </c>
      <c r="J16" s="147">
        <f>J15-F10</f>
        <v>0</v>
      </c>
    </row>
    <row r="17" spans="1:14" x14ac:dyDescent="0.2">
      <c r="A17" s="161" t="s">
        <v>258</v>
      </c>
      <c r="B17" s="142">
        <f>SUMIF($F$26:$F$466,"Розничная торговля",$D$26:$D$466)</f>
        <v>0</v>
      </c>
      <c r="C17" s="143">
        <f t="shared" si="0"/>
        <v>0</v>
      </c>
      <c r="D17" s="144"/>
      <c r="E17" s="145"/>
      <c r="F17" s="144"/>
      <c r="I17" s="146"/>
    </row>
    <row r="18" spans="1:14" x14ac:dyDescent="0.2">
      <c r="A18" s="161" t="s">
        <v>229</v>
      </c>
      <c r="B18" s="142">
        <f>SUMIF($F$26:$F$466,"Прочее",$D$26:$D$466)</f>
        <v>49684000.000000007</v>
      </c>
      <c r="C18" s="143">
        <f t="shared" si="0"/>
        <v>6.2438854001103255E-4</v>
      </c>
      <c r="D18" s="144"/>
      <c r="E18" s="145"/>
      <c r="F18" s="144"/>
      <c r="I18" s="146"/>
    </row>
    <row r="19" spans="1:14" x14ac:dyDescent="0.2">
      <c r="A19" s="162"/>
      <c r="B19" s="176">
        <f>SUM(B2:B18)</f>
        <v>79572248393.799988</v>
      </c>
      <c r="C19" s="180">
        <f>SUM(C2:C18)</f>
        <v>1.0000000000000002</v>
      </c>
      <c r="D19" s="144"/>
      <c r="E19" s="145"/>
    </row>
    <row r="20" spans="1:14" x14ac:dyDescent="0.2">
      <c r="A20" s="163" t="s">
        <v>14</v>
      </c>
      <c r="B20" s="147">
        <f>SUM(D26:D154)-B19</f>
        <v>0</v>
      </c>
      <c r="D20" s="144"/>
      <c r="E20" s="146"/>
      <c r="F20" s="151"/>
      <c r="J20" s="150"/>
    </row>
    <row r="21" spans="1:14" x14ac:dyDescent="0.2">
      <c r="D21" s="144"/>
      <c r="E21" s="145"/>
      <c r="J21" s="147"/>
    </row>
    <row r="22" spans="1:14" x14ac:dyDescent="0.2">
      <c r="D22" s="144"/>
      <c r="E22" s="145"/>
      <c r="I22" s="146"/>
      <c r="J22" s="147"/>
    </row>
    <row r="23" spans="1:14" x14ac:dyDescent="0.2">
      <c r="D23" s="144"/>
      <c r="E23" s="145"/>
      <c r="I23" s="146"/>
      <c r="J23" s="146"/>
    </row>
    <row r="24" spans="1:14" x14ac:dyDescent="0.2">
      <c r="D24" s="144"/>
      <c r="E24" s="145"/>
    </row>
    <row r="25" spans="1:14" x14ac:dyDescent="0.2">
      <c r="A25" s="160" t="s">
        <v>107</v>
      </c>
      <c r="B25" s="141" t="s">
        <v>223</v>
      </c>
      <c r="C25" s="141" t="s">
        <v>44</v>
      </c>
      <c r="D25" s="142" t="s">
        <v>108</v>
      </c>
      <c r="E25" s="141" t="s">
        <v>103</v>
      </c>
      <c r="F25" s="141" t="s">
        <v>208</v>
      </c>
      <c r="G25" s="148" t="s">
        <v>284</v>
      </c>
      <c r="H25" s="154" t="s">
        <v>166</v>
      </c>
      <c r="I25" s="154" t="s">
        <v>334</v>
      </c>
      <c r="J25" s="154" t="s">
        <v>335</v>
      </c>
      <c r="L25" s="154" t="str">
        <f>E25</f>
        <v>Эмитент</v>
      </c>
      <c r="M25" s="154" t="s">
        <v>285</v>
      </c>
      <c r="N25" s="154" t="s">
        <v>291</v>
      </c>
    </row>
    <row r="26" spans="1:14" x14ac:dyDescent="0.2">
      <c r="A26" s="165" t="s">
        <v>639</v>
      </c>
      <c r="B26" s="166" t="s">
        <v>637</v>
      </c>
      <c r="C26" s="166" t="s">
        <v>224</v>
      </c>
      <c r="D26" s="167">
        <v>32642500</v>
      </c>
      <c r="E26" s="166" t="s">
        <v>154</v>
      </c>
      <c r="F26" s="171" t="str">
        <f>VLOOKUP(E26,'Справочник отрасли'!$A:$D,4,0)</f>
        <v>Банк</v>
      </c>
      <c r="G26" s="169">
        <f t="shared" ref="G26:G57" si="6">D26/$B$19</f>
        <v>4.102246783131416E-4</v>
      </c>
      <c r="H26" s="168"/>
      <c r="I26" s="170">
        <f>VLOOKUP(C26,'Справочник отрасли'!$J$6:$K$34,2,0)</f>
        <v>1</v>
      </c>
      <c r="J26" s="170" t="str">
        <f>VLOOKUP(A26,'Эшелоны результат'!$A$3:$H$283,8,FALSE)</f>
        <v>Ошибка, не численные значения</v>
      </c>
      <c r="L26" s="141" t="s">
        <v>154</v>
      </c>
      <c r="M26" s="174">
        <f t="shared" ref="M26:M57" si="7">SUMIF($E$26:$E$422,L26,$D$26:$D$422)</f>
        <v>827880934.45000005</v>
      </c>
      <c r="N26" s="175">
        <f t="shared" ref="N26:N57" si="8">M26/$M$77</f>
        <v>1.0404141533777569E-2</v>
      </c>
    </row>
    <row r="27" spans="1:14" x14ac:dyDescent="0.2">
      <c r="A27" s="165" t="s">
        <v>640</v>
      </c>
      <c r="B27" s="166" t="s">
        <v>637</v>
      </c>
      <c r="C27" s="166" t="s">
        <v>227</v>
      </c>
      <c r="D27" s="167">
        <v>4594800</v>
      </c>
      <c r="E27" s="166" t="s">
        <v>105</v>
      </c>
      <c r="F27" s="171" t="str">
        <f>VLOOKUP(E27,'Справочник отрасли'!$A:$D,4,0)</f>
        <v>Топливная промышленность</v>
      </c>
      <c r="G27" s="169">
        <f t="shared" si="6"/>
        <v>5.7743749771409149E-5</v>
      </c>
      <c r="H27" s="168"/>
      <c r="I27" s="170">
        <f>VLOOKUP(C27,'Справочник отрасли'!$J$6:$K$34,2,0)</f>
        <v>1</v>
      </c>
      <c r="J27" s="170" t="str">
        <f>VLOOKUP(A27,'Эшелоны результат'!$A$3:$H$283,8,FALSE)</f>
        <v>Ошибка, не численные значения</v>
      </c>
      <c r="L27" s="141" t="s">
        <v>105</v>
      </c>
      <c r="M27" s="174">
        <f t="shared" si="7"/>
        <v>3145496245.9000006</v>
      </c>
      <c r="N27" s="175">
        <f t="shared" si="8"/>
        <v>3.9530066190074965E-2</v>
      </c>
    </row>
    <row r="28" spans="1:14" x14ac:dyDescent="0.2">
      <c r="A28" s="165" t="s">
        <v>641</v>
      </c>
      <c r="B28" s="166" t="s">
        <v>637</v>
      </c>
      <c r="C28" s="166" t="s">
        <v>344</v>
      </c>
      <c r="D28" s="167">
        <v>97156500</v>
      </c>
      <c r="E28" s="166" t="s">
        <v>247</v>
      </c>
      <c r="F28" s="171" t="str">
        <f>VLOOKUP(E28,'Справочник отрасли'!$A:$D,4,0)</f>
        <v>Топливная промышленность</v>
      </c>
      <c r="G28" s="169">
        <f t="shared" si="6"/>
        <v>1.2209847272277167E-3</v>
      </c>
      <c r="H28" s="168"/>
      <c r="I28" s="170">
        <f>VLOOKUP(C28,'Справочник отрасли'!$J$6:$K$34,2,0)</f>
        <v>1</v>
      </c>
      <c r="J28" s="170" t="str">
        <f>VLOOKUP(A28,'Эшелоны результат'!$A$3:$H$283,8,FALSE)</f>
        <v>Ошибка, не численные значения</v>
      </c>
      <c r="L28" s="141" t="s">
        <v>247</v>
      </c>
      <c r="M28" s="174">
        <f t="shared" si="7"/>
        <v>134655500</v>
      </c>
      <c r="N28" s="175">
        <f t="shared" si="8"/>
        <v>1.6922419903682387E-3</v>
      </c>
    </row>
    <row r="29" spans="1:14" x14ac:dyDescent="0.2">
      <c r="A29" s="165" t="s">
        <v>641</v>
      </c>
      <c r="B29" s="166" t="s">
        <v>637</v>
      </c>
      <c r="C29" s="166" t="s">
        <v>344</v>
      </c>
      <c r="D29" s="167">
        <v>37499000.000000007</v>
      </c>
      <c r="E29" s="166" t="s">
        <v>247</v>
      </c>
      <c r="F29" s="171" t="str">
        <f>VLOOKUP(E29,'Справочник отрасли'!$A:$D,4,0)</f>
        <v>Топливная промышленность</v>
      </c>
      <c r="G29" s="169">
        <f t="shared" si="6"/>
        <v>4.7125726314052233E-4</v>
      </c>
      <c r="H29" s="168"/>
      <c r="I29" s="170">
        <f>VLOOKUP(C29,'Справочник отрасли'!$J$6:$K$34,2,0)</f>
        <v>1</v>
      </c>
      <c r="J29" s="170" t="str">
        <f>VLOOKUP(A29,'Эшелоны результат'!$A$3:$H$283,8,FALSE)</f>
        <v>Ошибка, не численные значения</v>
      </c>
      <c r="L29" s="141" t="s">
        <v>416</v>
      </c>
      <c r="M29" s="174">
        <f t="shared" si="7"/>
        <v>49684000.000000007</v>
      </c>
      <c r="N29" s="175">
        <f t="shared" si="8"/>
        <v>6.2438854001103244E-4</v>
      </c>
    </row>
    <row r="30" spans="1:14" x14ac:dyDescent="0.2">
      <c r="A30" s="165" t="s">
        <v>642</v>
      </c>
      <c r="B30" s="166" t="s">
        <v>637</v>
      </c>
      <c r="C30" s="166" t="s">
        <v>413</v>
      </c>
      <c r="D30" s="167">
        <v>49684000.000000007</v>
      </c>
      <c r="E30" s="166" t="s">
        <v>416</v>
      </c>
      <c r="F30" s="171" t="str">
        <f>VLOOKUP(E30,'Справочник отрасли'!$A:$D,4,0)</f>
        <v>Прочее</v>
      </c>
      <c r="G30" s="169">
        <f t="shared" si="6"/>
        <v>6.2438854001103255E-4</v>
      </c>
      <c r="H30" s="168"/>
      <c r="I30" s="170">
        <f>VLOOKUP(C30,'Справочник отрасли'!$J$6:$K$34,2,0)</f>
        <v>1</v>
      </c>
      <c r="J30" s="170" t="str">
        <f>VLOOKUP(A30,'Эшелоны результат'!$A$3:$H$283,8,FALSE)</f>
        <v>Ошибка, не численные значения</v>
      </c>
      <c r="L30" s="141" t="s">
        <v>136</v>
      </c>
      <c r="M30" s="174">
        <f t="shared" si="7"/>
        <v>881418052.68000007</v>
      </c>
      <c r="N30" s="175">
        <f t="shared" si="8"/>
        <v>1.1076952963775711E-2</v>
      </c>
    </row>
    <row r="31" spans="1:14" x14ac:dyDescent="0.2">
      <c r="A31" s="165" t="s">
        <v>643</v>
      </c>
      <c r="B31" s="166" t="s">
        <v>637</v>
      </c>
      <c r="C31" s="166" t="s">
        <v>414</v>
      </c>
      <c r="D31" s="167">
        <v>47815136</v>
      </c>
      <c r="E31" s="166" t="s">
        <v>136</v>
      </c>
      <c r="F31" s="171" t="str">
        <f>VLOOKUP(E31,'Справочник отрасли'!$A:$D,4,0)</f>
        <v>Горнодобывающая промышленность</v>
      </c>
      <c r="G31" s="169">
        <f t="shared" si="6"/>
        <v>6.0090216080567103E-4</v>
      </c>
      <c r="H31" s="168"/>
      <c r="I31" s="170">
        <f>VLOOKUP(C31,'Справочник отрасли'!$J$6:$K$34,2,0)</f>
        <v>1</v>
      </c>
      <c r="J31" s="170" t="str">
        <f>VLOOKUP(A31,'Эшелоны результат'!$A$3:$H$283,8,FALSE)</f>
        <v>Ошибка, не численные значения</v>
      </c>
      <c r="L31" s="141" t="s">
        <v>123</v>
      </c>
      <c r="M31" s="174">
        <f t="shared" si="7"/>
        <v>24894540.000000004</v>
      </c>
      <c r="N31" s="175">
        <f t="shared" si="8"/>
        <v>3.1285455045580566E-4</v>
      </c>
    </row>
    <row r="32" spans="1:14" x14ac:dyDescent="0.2">
      <c r="A32" s="165" t="s">
        <v>644</v>
      </c>
      <c r="B32" s="166" t="s">
        <v>637</v>
      </c>
      <c r="C32" s="166" t="s">
        <v>237</v>
      </c>
      <c r="D32" s="167">
        <v>24894540.000000004</v>
      </c>
      <c r="E32" s="166" t="s">
        <v>123</v>
      </c>
      <c r="F32" s="171" t="str">
        <f>VLOOKUP(E32,'Справочник отрасли'!$A:$D,4,0)</f>
        <v>Топливная промышленность</v>
      </c>
      <c r="G32" s="169">
        <f t="shared" si="6"/>
        <v>3.1285455045580572E-4</v>
      </c>
      <c r="H32" s="168"/>
      <c r="I32" s="170">
        <f>VLOOKUP(C32,'Справочник отрасли'!$J$6:$K$34,2,0)</f>
        <v>1</v>
      </c>
      <c r="J32" s="170" t="str">
        <f>VLOOKUP(A32,'Эшелоны результат'!$A$3:$H$283,8,FALSE)</f>
        <v>Ошибка, не численные значения</v>
      </c>
      <c r="L32" s="141" t="s">
        <v>670</v>
      </c>
      <c r="M32" s="174">
        <f t="shared" si="7"/>
        <v>26252000</v>
      </c>
      <c r="N32" s="175">
        <f t="shared" si="8"/>
        <v>3.2991401562614968E-4</v>
      </c>
    </row>
    <row r="33" spans="1:14" x14ac:dyDescent="0.2">
      <c r="A33" s="165" t="s">
        <v>645</v>
      </c>
      <c r="B33" s="166" t="s">
        <v>637</v>
      </c>
      <c r="C33" s="166" t="s">
        <v>614</v>
      </c>
      <c r="D33" s="167">
        <v>26252000</v>
      </c>
      <c r="E33" s="166" t="s">
        <v>670</v>
      </c>
      <c r="F33" s="171" t="str">
        <f>VLOOKUP(E33,'Справочник отрасли'!$A:$D,4,0)</f>
        <v>Цветная и черная металлургия</v>
      </c>
      <c r="G33" s="169">
        <f t="shared" si="6"/>
        <v>3.2991401562614979E-4</v>
      </c>
      <c r="H33" s="168"/>
      <c r="I33" s="170">
        <f>VLOOKUP(C33,'Справочник отрасли'!$J$6:$K$34,2,0)</f>
        <v>2</v>
      </c>
      <c r="J33" s="170" t="str">
        <f>VLOOKUP(A33,'Эшелоны результат'!$A$3:$H$283,8,FALSE)</f>
        <v>Ошибка, не численные значения</v>
      </c>
      <c r="L33" s="141" t="s">
        <v>671</v>
      </c>
      <c r="M33" s="174">
        <f t="shared" si="7"/>
        <v>45318600</v>
      </c>
      <c r="N33" s="175">
        <f t="shared" si="8"/>
        <v>5.6952770488173199E-4</v>
      </c>
    </row>
    <row r="34" spans="1:14" x14ac:dyDescent="0.2">
      <c r="A34" s="165" t="s">
        <v>646</v>
      </c>
      <c r="B34" s="166" t="s">
        <v>637</v>
      </c>
      <c r="C34" s="166" t="s">
        <v>615</v>
      </c>
      <c r="D34" s="167">
        <v>45318600</v>
      </c>
      <c r="E34" s="166" t="s">
        <v>671</v>
      </c>
      <c r="F34" s="171" t="str">
        <f>VLOOKUP(E34,'Справочник отрасли'!$A:$D,4,0)</f>
        <v>Цветная и черная металлургия</v>
      </c>
      <c r="G34" s="169">
        <f t="shared" si="6"/>
        <v>5.695277048817321E-4</v>
      </c>
      <c r="H34" s="168"/>
      <c r="I34" s="170">
        <f>VLOOKUP(C34,'Справочник отрасли'!$J$6:$K$34,2,0)</f>
        <v>1</v>
      </c>
      <c r="J34" s="170" t="str">
        <f>VLOOKUP(A34,'Эшелоны результат'!$A$3:$H$283,8,FALSE)</f>
        <v>Ошибка, не численные значения</v>
      </c>
      <c r="L34" s="141" t="s">
        <v>146</v>
      </c>
      <c r="M34" s="174">
        <f t="shared" si="7"/>
        <v>3992155584.0100002</v>
      </c>
      <c r="N34" s="175">
        <f t="shared" si="8"/>
        <v>5.0170199593367971E-2</v>
      </c>
    </row>
    <row r="35" spans="1:14" x14ac:dyDescent="0.2">
      <c r="A35" s="165" t="s">
        <v>562</v>
      </c>
      <c r="B35" s="166" t="s">
        <v>485</v>
      </c>
      <c r="C35" s="166" t="s">
        <v>501</v>
      </c>
      <c r="D35" s="167">
        <v>482193368.97999996</v>
      </c>
      <c r="E35" s="166" t="s">
        <v>146</v>
      </c>
      <c r="F35" s="171" t="str">
        <f>VLOOKUP(E35,'Справочник отрасли'!$A:$D,4,0)</f>
        <v>Банк</v>
      </c>
      <c r="G35" s="169">
        <f t="shared" si="6"/>
        <v>6.0598183250226085E-3</v>
      </c>
      <c r="H35" s="168" t="s">
        <v>80</v>
      </c>
      <c r="I35" s="170" t="e">
        <f>VLOOKUP(C35,'Справочник отрасли'!$J$6:$K$34,2,0)</f>
        <v>#N/A</v>
      </c>
      <c r="J35" s="170">
        <f>VLOOKUP(A35,'Эшелоны результат'!$A$3:$H$283,8,FALSE)</f>
        <v>1</v>
      </c>
      <c r="L35" s="141" t="s">
        <v>106</v>
      </c>
      <c r="M35" s="174">
        <f t="shared" si="7"/>
        <v>477672360.05000001</v>
      </c>
      <c r="N35" s="175">
        <f t="shared" si="8"/>
        <v>6.0030019220522444E-3</v>
      </c>
    </row>
    <row r="36" spans="1:14" x14ac:dyDescent="0.2">
      <c r="A36" s="165" t="s">
        <v>611</v>
      </c>
      <c r="B36" s="166" t="s">
        <v>485</v>
      </c>
      <c r="C36" s="166" t="s">
        <v>551</v>
      </c>
      <c r="D36" s="167">
        <v>477672360.05000001</v>
      </c>
      <c r="E36" s="166" t="s">
        <v>106</v>
      </c>
      <c r="F36" s="171" t="str">
        <f>VLOOKUP(E36,'Справочник отрасли'!$A:$D,4,0)</f>
        <v>Топливная промышленность</v>
      </c>
      <c r="G36" s="169">
        <f t="shared" si="6"/>
        <v>6.0030019220522453E-3</v>
      </c>
      <c r="H36" s="168" t="s">
        <v>76</v>
      </c>
      <c r="I36" s="170" t="e">
        <f>VLOOKUP(C36,'Справочник отрасли'!$J$6:$K$34,2,0)</f>
        <v>#N/A</v>
      </c>
      <c r="J36" s="170">
        <f>VLOOKUP(A36,'Эшелоны результат'!$A$3:$H$283,8,FALSE)</f>
        <v>1</v>
      </c>
      <c r="L36" s="141" t="s">
        <v>148</v>
      </c>
      <c r="M36" s="174">
        <f t="shared" si="7"/>
        <v>1021351842.27</v>
      </c>
      <c r="N36" s="175">
        <f t="shared" si="8"/>
        <v>1.2835528251198445E-2</v>
      </c>
    </row>
    <row r="37" spans="1:14" x14ac:dyDescent="0.2">
      <c r="A37" s="165" t="s">
        <v>647</v>
      </c>
      <c r="B37" s="166" t="s">
        <v>485</v>
      </c>
      <c r="C37" s="166" t="s">
        <v>616</v>
      </c>
      <c r="D37" s="167">
        <v>152256224.19000003</v>
      </c>
      <c r="E37" s="166" t="s">
        <v>136</v>
      </c>
      <c r="F37" s="171" t="str">
        <f>VLOOKUP(E37,'Справочник отрасли'!$A:$D,4,0)</f>
        <v>Горнодобывающая промышленность</v>
      </c>
      <c r="G37" s="169">
        <f t="shared" si="6"/>
        <v>1.9134337317765592E-3</v>
      </c>
      <c r="H37" s="168" t="s">
        <v>78</v>
      </c>
      <c r="I37" s="170" t="e">
        <f>VLOOKUP(C37,'Справочник отрасли'!$J$6:$K$34,2,0)</f>
        <v>#N/A</v>
      </c>
      <c r="J37" s="170">
        <f>VLOOKUP(A37,'Эшелоны результат'!$A$3:$H$283,8,FALSE)</f>
        <v>1</v>
      </c>
      <c r="L37" s="141" t="s">
        <v>144</v>
      </c>
      <c r="M37" s="174">
        <f t="shared" si="7"/>
        <v>304377206.46000004</v>
      </c>
      <c r="N37" s="175">
        <f t="shared" si="8"/>
        <v>3.8251678519079782E-3</v>
      </c>
    </row>
    <row r="38" spans="1:14" x14ac:dyDescent="0.2">
      <c r="A38" s="165" t="s">
        <v>648</v>
      </c>
      <c r="B38" s="166" t="s">
        <v>485</v>
      </c>
      <c r="C38" s="166" t="s">
        <v>617</v>
      </c>
      <c r="D38" s="167">
        <v>2352422566.0700002</v>
      </c>
      <c r="E38" s="166" t="s">
        <v>105</v>
      </c>
      <c r="F38" s="171" t="str">
        <f>VLOOKUP(E38,'Справочник отрасли'!$A:$D,4,0)</f>
        <v>Топливная промышленность</v>
      </c>
      <c r="G38" s="169">
        <f t="shared" si="6"/>
        <v>2.9563354229076848E-2</v>
      </c>
      <c r="H38" s="168" t="s">
        <v>76</v>
      </c>
      <c r="I38" s="170" t="e">
        <f>VLOOKUP(C38,'Справочник отрасли'!$J$6:$K$34,2,0)</f>
        <v>#N/A</v>
      </c>
      <c r="J38" s="170">
        <f>VLOOKUP(A38,'Эшелоны результат'!$A$3:$H$283,8,FALSE)</f>
        <v>1</v>
      </c>
      <c r="L38" s="141" t="s">
        <v>134</v>
      </c>
      <c r="M38" s="174">
        <f t="shared" si="7"/>
        <v>3084502499.2800002</v>
      </c>
      <c r="N38" s="175">
        <f t="shared" si="8"/>
        <v>3.8763545853510585E-2</v>
      </c>
    </row>
    <row r="39" spans="1:14" x14ac:dyDescent="0.2">
      <c r="A39" s="165" t="s">
        <v>649</v>
      </c>
      <c r="B39" s="166" t="s">
        <v>485</v>
      </c>
      <c r="C39" s="166" t="s">
        <v>618</v>
      </c>
      <c r="D39" s="167">
        <v>1021351842.27</v>
      </c>
      <c r="E39" s="166" t="s">
        <v>148</v>
      </c>
      <c r="F39" s="171" t="str">
        <f>VLOOKUP(E39,'Справочник отрасли'!$A:$D,4,0)</f>
        <v>Банк</v>
      </c>
      <c r="G39" s="169">
        <f t="shared" si="6"/>
        <v>1.2835528251198446E-2</v>
      </c>
      <c r="H39" s="168" t="s">
        <v>78</v>
      </c>
      <c r="I39" s="170" t="e">
        <f>VLOOKUP(C39,'Справочник отрасли'!$J$6:$K$34,2,0)</f>
        <v>#N/A</v>
      </c>
      <c r="J39" s="170">
        <f>VLOOKUP(A39,'Эшелоны результат'!$A$3:$H$283,8,FALSE)</f>
        <v>1</v>
      </c>
      <c r="L39" s="141" t="s">
        <v>137</v>
      </c>
      <c r="M39" s="174">
        <f t="shared" si="7"/>
        <v>345132980.05000001</v>
      </c>
      <c r="N39" s="175">
        <f t="shared" si="8"/>
        <v>4.3373536253738885E-3</v>
      </c>
    </row>
    <row r="40" spans="1:14" x14ac:dyDescent="0.2">
      <c r="A40" s="165" t="s">
        <v>650</v>
      </c>
      <c r="B40" s="166" t="s">
        <v>485</v>
      </c>
      <c r="C40" s="166" t="s">
        <v>619</v>
      </c>
      <c r="D40" s="167">
        <v>304377206.46000004</v>
      </c>
      <c r="E40" s="166" t="s">
        <v>144</v>
      </c>
      <c r="F40" s="171" t="str">
        <f>VLOOKUP(E40,'Справочник отрасли'!$A:$D,4,0)</f>
        <v>Связь и телекоммуникации</v>
      </c>
      <c r="G40" s="169">
        <f t="shared" si="6"/>
        <v>3.825167851907979E-3</v>
      </c>
      <c r="H40" s="168" t="s">
        <v>80</v>
      </c>
      <c r="I40" s="170" t="e">
        <f>VLOOKUP(C40,'Справочник отрасли'!$J$6:$K$34,2,0)</f>
        <v>#N/A</v>
      </c>
      <c r="J40" s="170">
        <f>VLOOKUP(A40,'Эшелоны результат'!$A$3:$H$283,8,FALSE)</f>
        <v>1</v>
      </c>
      <c r="L40" s="141" t="s">
        <v>138</v>
      </c>
      <c r="M40" s="174">
        <f t="shared" si="7"/>
        <v>2111983909.0999999</v>
      </c>
      <c r="N40" s="175">
        <f t="shared" si="8"/>
        <v>2.6541714627037714E-2</v>
      </c>
    </row>
    <row r="41" spans="1:14" x14ac:dyDescent="0.2">
      <c r="A41" s="165" t="s">
        <v>554</v>
      </c>
      <c r="B41" s="166" t="s">
        <v>485</v>
      </c>
      <c r="C41" s="166" t="s">
        <v>493</v>
      </c>
      <c r="D41" s="167">
        <v>75687744.760000005</v>
      </c>
      <c r="E41" s="166" t="s">
        <v>134</v>
      </c>
      <c r="F41" s="171" t="str">
        <f>VLOOKUP(E41,'Справочник отрасли'!$A:$D,4,0)</f>
        <v>Финансовый лизинг</v>
      </c>
      <c r="G41" s="169">
        <f t="shared" si="6"/>
        <v>9.5118268350825375E-4</v>
      </c>
      <c r="H41" s="168" t="s">
        <v>82</v>
      </c>
      <c r="I41" s="170" t="e">
        <f>VLOOKUP(C41,'Справочник отрасли'!$J$6:$K$34,2,0)</f>
        <v>#N/A</v>
      </c>
      <c r="J41" s="170">
        <f>VLOOKUP(A41,'Эшелоны результат'!$A$3:$H$283,8,FALSE)</f>
        <v>2</v>
      </c>
      <c r="L41" s="141" t="s">
        <v>140</v>
      </c>
      <c r="M41" s="174">
        <f t="shared" si="7"/>
        <v>708542652.88000011</v>
      </c>
      <c r="N41" s="175">
        <f t="shared" si="8"/>
        <v>8.9043940215620121E-3</v>
      </c>
    </row>
    <row r="42" spans="1:14" x14ac:dyDescent="0.2">
      <c r="A42" s="165" t="s">
        <v>555</v>
      </c>
      <c r="B42" s="166" t="s">
        <v>485</v>
      </c>
      <c r="C42" s="166" t="s">
        <v>494</v>
      </c>
      <c r="D42" s="167">
        <v>345132980.05000001</v>
      </c>
      <c r="E42" s="166" t="s">
        <v>137</v>
      </c>
      <c r="F42" s="171" t="str">
        <f>VLOOKUP(E42,'Справочник отрасли'!$A:$D,4,0)</f>
        <v>Транспорт</v>
      </c>
      <c r="G42" s="169">
        <f t="shared" si="6"/>
        <v>4.3373536253738893E-3</v>
      </c>
      <c r="H42" s="168" t="s">
        <v>80</v>
      </c>
      <c r="I42" s="170" t="e">
        <f>VLOOKUP(C42,'Справочник отрасли'!$J$6:$K$34,2,0)</f>
        <v>#N/A</v>
      </c>
      <c r="J42" s="170">
        <f>VLOOKUP(A42,'Эшелоны результат'!$A$3:$H$283,8,FALSE)</f>
        <v>1</v>
      </c>
      <c r="L42" s="141" t="s">
        <v>102</v>
      </c>
      <c r="M42" s="174">
        <f t="shared" si="7"/>
        <v>230727594.74000001</v>
      </c>
      <c r="N42" s="175">
        <f t="shared" si="8"/>
        <v>2.8995987847187377E-3</v>
      </c>
    </row>
    <row r="43" spans="1:14" x14ac:dyDescent="0.2">
      <c r="A43" s="165" t="s">
        <v>556</v>
      </c>
      <c r="B43" s="166" t="s">
        <v>485</v>
      </c>
      <c r="C43" s="166" t="s">
        <v>495</v>
      </c>
      <c r="D43" s="167">
        <v>1926102705.49</v>
      </c>
      <c r="E43" s="166" t="s">
        <v>138</v>
      </c>
      <c r="F43" s="171" t="str">
        <f>VLOOKUP(E43,'Справочник отрасли'!$A:$D,4,0)</f>
        <v>Банк</v>
      </c>
      <c r="G43" s="169">
        <f t="shared" si="6"/>
        <v>2.4205709206026101E-2</v>
      </c>
      <c r="H43" s="168" t="s">
        <v>82</v>
      </c>
      <c r="I43" s="170" t="e">
        <f>VLOOKUP(C43,'Справочник отрасли'!$J$6:$K$34,2,0)</f>
        <v>#N/A</v>
      </c>
      <c r="J43" s="170">
        <f>VLOOKUP(A43,'Эшелоны результат'!$A$3:$H$283,8,FALSE)</f>
        <v>2</v>
      </c>
      <c r="L43" s="141" t="s">
        <v>141</v>
      </c>
      <c r="M43" s="174">
        <f t="shared" si="7"/>
        <v>569247296.54999995</v>
      </c>
      <c r="N43" s="175">
        <f t="shared" si="8"/>
        <v>7.153842049715837E-3</v>
      </c>
    </row>
    <row r="44" spans="1:14" x14ac:dyDescent="0.2">
      <c r="A44" s="165" t="s">
        <v>557</v>
      </c>
      <c r="B44" s="166" t="s">
        <v>485</v>
      </c>
      <c r="C44" s="166" t="s">
        <v>496</v>
      </c>
      <c r="D44" s="167">
        <v>66401979.310000002</v>
      </c>
      <c r="E44" s="166" t="s">
        <v>140</v>
      </c>
      <c r="F44" s="171" t="str">
        <f>VLOOKUP(E44,'Справочник отрасли'!$A:$D,4,0)</f>
        <v>Цветная и черная металлургия</v>
      </c>
      <c r="G44" s="169">
        <f t="shared" si="6"/>
        <v>8.3448665395728378E-4</v>
      </c>
      <c r="H44" s="168" t="s">
        <v>86</v>
      </c>
      <c r="I44" s="170" t="e">
        <f>VLOOKUP(C44,'Справочник отрасли'!$J$6:$K$34,2,0)</f>
        <v>#N/A</v>
      </c>
      <c r="J44" s="170">
        <f>VLOOKUP(A44,'Эшелоны результат'!$A$3:$H$283,8,FALSE)</f>
        <v>2</v>
      </c>
      <c r="L44" s="141" t="s">
        <v>142</v>
      </c>
      <c r="M44" s="174">
        <f t="shared" si="7"/>
        <v>297958848.05000001</v>
      </c>
      <c r="N44" s="175">
        <f t="shared" si="8"/>
        <v>3.7445070871368761E-3</v>
      </c>
    </row>
    <row r="45" spans="1:14" x14ac:dyDescent="0.2">
      <c r="A45" s="165" t="s">
        <v>558</v>
      </c>
      <c r="B45" s="166" t="s">
        <v>485</v>
      </c>
      <c r="C45" s="166" t="s">
        <v>497</v>
      </c>
      <c r="D45" s="167">
        <v>230727594.74000001</v>
      </c>
      <c r="E45" s="166" t="s">
        <v>102</v>
      </c>
      <c r="F45" s="171" t="str">
        <f>VLOOKUP(E45,'Справочник отрасли'!$A:$D,4,0)</f>
        <v>Связь и телекоммуникации</v>
      </c>
      <c r="G45" s="169">
        <f t="shared" si="6"/>
        <v>2.8995987847187381E-3</v>
      </c>
      <c r="H45" s="168" t="s">
        <v>82</v>
      </c>
      <c r="I45" s="170" t="e">
        <f>VLOOKUP(C45,'Справочник отрасли'!$J$6:$K$34,2,0)</f>
        <v>#N/A</v>
      </c>
      <c r="J45" s="170">
        <f>VLOOKUP(A45,'Эшелоны результат'!$A$3:$H$283,8,FALSE)</f>
        <v>2</v>
      </c>
      <c r="L45" s="141" t="s">
        <v>147</v>
      </c>
      <c r="M45" s="174">
        <f t="shared" si="7"/>
        <v>1178517262.96</v>
      </c>
      <c r="N45" s="175">
        <f t="shared" si="8"/>
        <v>1.4810656815018766E-2</v>
      </c>
    </row>
    <row r="46" spans="1:14" x14ac:dyDescent="0.2">
      <c r="A46" s="165" t="s">
        <v>559</v>
      </c>
      <c r="B46" s="166" t="s">
        <v>485</v>
      </c>
      <c r="C46" s="166" t="s">
        <v>498</v>
      </c>
      <c r="D46" s="167">
        <v>569247296.54999995</v>
      </c>
      <c r="E46" s="166" t="s">
        <v>141</v>
      </c>
      <c r="F46" s="171" t="str">
        <f>VLOOKUP(E46,'Справочник отрасли'!$A:$D,4,0)</f>
        <v>Транспорт</v>
      </c>
      <c r="G46" s="169">
        <f t="shared" si="6"/>
        <v>7.1538420497158388E-3</v>
      </c>
      <c r="H46" s="168" t="s">
        <v>82</v>
      </c>
      <c r="I46" s="170" t="e">
        <f>VLOOKUP(C46,'Справочник отрасли'!$J$6:$K$34,2,0)</f>
        <v>#N/A</v>
      </c>
      <c r="J46" s="170">
        <f>VLOOKUP(A46,'Эшелоны результат'!$A$3:$H$283,8,FALSE)</f>
        <v>2</v>
      </c>
      <c r="L46" s="141" t="s">
        <v>101</v>
      </c>
      <c r="M46" s="174">
        <f t="shared" si="7"/>
        <v>745537664.41999996</v>
      </c>
      <c r="N46" s="175">
        <f t="shared" si="8"/>
        <v>9.3693175632082511E-3</v>
      </c>
    </row>
    <row r="47" spans="1:14" x14ac:dyDescent="0.2">
      <c r="A47" s="165" t="s">
        <v>560</v>
      </c>
      <c r="B47" s="166" t="s">
        <v>485</v>
      </c>
      <c r="C47" s="166" t="s">
        <v>499</v>
      </c>
      <c r="D47" s="167">
        <v>297958848.05000001</v>
      </c>
      <c r="E47" s="166" t="s">
        <v>142</v>
      </c>
      <c r="F47" s="171" t="str">
        <f>VLOOKUP(E47,'Справочник отрасли'!$A:$D,4,0)</f>
        <v>Цветная и черная металлургия</v>
      </c>
      <c r="G47" s="169">
        <f t="shared" si="6"/>
        <v>3.7445070871368769E-3</v>
      </c>
      <c r="H47" s="168" t="s">
        <v>84</v>
      </c>
      <c r="I47" s="170" t="e">
        <f>VLOOKUP(C47,'Справочник отрасли'!$J$6:$K$34,2,0)</f>
        <v>#N/A</v>
      </c>
      <c r="J47" s="170">
        <f>VLOOKUP(A47,'Эшелоны результат'!$A$3:$H$283,8,FALSE)</f>
        <v>2</v>
      </c>
      <c r="L47" s="141" t="s">
        <v>150</v>
      </c>
      <c r="M47" s="174">
        <f t="shared" si="7"/>
        <v>6027388269.3699989</v>
      </c>
      <c r="N47" s="175">
        <f t="shared" si="8"/>
        <v>7.5747366588671539E-2</v>
      </c>
    </row>
    <row r="48" spans="1:14" x14ac:dyDescent="0.2">
      <c r="A48" s="165" t="s">
        <v>561</v>
      </c>
      <c r="B48" s="166" t="s">
        <v>485</v>
      </c>
      <c r="C48" s="166" t="s">
        <v>500</v>
      </c>
      <c r="D48" s="167">
        <v>755465761.38</v>
      </c>
      <c r="E48" s="166" t="s">
        <v>134</v>
      </c>
      <c r="F48" s="171" t="str">
        <f>VLOOKUP(E48,'Справочник отрасли'!$A:$D,4,0)</f>
        <v>Финансовый лизинг</v>
      </c>
      <c r="G48" s="169">
        <f t="shared" si="6"/>
        <v>9.4940858984055489E-3</v>
      </c>
      <c r="H48" s="168" t="s">
        <v>82</v>
      </c>
      <c r="I48" s="170" t="e">
        <f>VLOOKUP(C48,'Справочник отрасли'!$J$6:$K$34,2,0)</f>
        <v>#N/A</v>
      </c>
      <c r="J48" s="170">
        <f>VLOOKUP(A48,'Эшелоны результат'!$A$3:$H$283,8,FALSE)</f>
        <v>2</v>
      </c>
      <c r="L48" s="141" t="s">
        <v>151</v>
      </c>
      <c r="M48" s="174">
        <f t="shared" si="7"/>
        <v>4823028961.1199999</v>
      </c>
      <c r="N48" s="175">
        <f t="shared" si="8"/>
        <v>6.0611947739003358E-2</v>
      </c>
    </row>
    <row r="49" spans="1:14" x14ac:dyDescent="0.2">
      <c r="A49" s="165" t="s">
        <v>562</v>
      </c>
      <c r="B49" s="166" t="s">
        <v>485</v>
      </c>
      <c r="C49" s="166" t="s">
        <v>501</v>
      </c>
      <c r="D49" s="167">
        <v>1446400244.27</v>
      </c>
      <c r="E49" s="166" t="s">
        <v>146</v>
      </c>
      <c r="F49" s="171" t="str">
        <f>VLOOKUP(E49,'Справочник отрасли'!$A:$D,4,0)</f>
        <v>Банк</v>
      </c>
      <c r="G49" s="169">
        <f t="shared" si="6"/>
        <v>1.8177194605735168E-2</v>
      </c>
      <c r="H49" s="168" t="s">
        <v>80</v>
      </c>
      <c r="I49" s="170" t="e">
        <f>VLOOKUP(C49,'Справочник отрасли'!$J$6:$K$34,2,0)</f>
        <v>#N/A</v>
      </c>
      <c r="J49" s="170">
        <f>VLOOKUP(A49,'Эшелоны результат'!$A$3:$H$283,8,FALSE)</f>
        <v>1</v>
      </c>
      <c r="L49" s="141" t="s">
        <v>152</v>
      </c>
      <c r="M49" s="174">
        <f t="shared" si="7"/>
        <v>8095295549.8999987</v>
      </c>
      <c r="N49" s="175">
        <f t="shared" si="8"/>
        <v>0.10173516160856347</v>
      </c>
    </row>
    <row r="50" spans="1:14" x14ac:dyDescent="0.2">
      <c r="A50" s="165" t="s">
        <v>563</v>
      </c>
      <c r="B50" s="166" t="s">
        <v>485</v>
      </c>
      <c r="C50" s="166" t="s">
        <v>502</v>
      </c>
      <c r="D50" s="167">
        <v>871083951.26999998</v>
      </c>
      <c r="E50" s="166" t="s">
        <v>147</v>
      </c>
      <c r="F50" s="171" t="str">
        <f>VLOOKUP(E50,'Справочник отрасли'!$A:$D,4,0)</f>
        <v>Банк</v>
      </c>
      <c r="G50" s="169">
        <f t="shared" si="6"/>
        <v>1.0947082291291294E-2</v>
      </c>
      <c r="H50" s="168" t="s">
        <v>82</v>
      </c>
      <c r="I50" s="170" t="e">
        <f>VLOOKUP(C50,'Справочник отрасли'!$J$6:$K$34,2,0)</f>
        <v>#N/A</v>
      </c>
      <c r="J50" s="170">
        <f>VLOOKUP(A50,'Эшелоны результат'!$A$3:$H$283,8,FALSE)</f>
        <v>2</v>
      </c>
      <c r="L50" s="141" t="s">
        <v>339</v>
      </c>
      <c r="M50" s="174">
        <f t="shared" si="7"/>
        <v>420444467.98999995</v>
      </c>
      <c r="N50" s="175">
        <f t="shared" si="8"/>
        <v>5.2838078158761632E-3</v>
      </c>
    </row>
    <row r="51" spans="1:14" x14ac:dyDescent="0.2">
      <c r="A51" s="165" t="s">
        <v>564</v>
      </c>
      <c r="B51" s="166" t="s">
        <v>485</v>
      </c>
      <c r="C51" s="166" t="s">
        <v>503</v>
      </c>
      <c r="D51" s="167">
        <v>146351366.59</v>
      </c>
      <c r="E51" s="166" t="s">
        <v>105</v>
      </c>
      <c r="F51" s="171" t="str">
        <f>VLOOKUP(E51,'Справочник отрасли'!$A:$D,4,0)</f>
        <v>Топливная промышленность</v>
      </c>
      <c r="G51" s="169">
        <f t="shared" si="6"/>
        <v>1.8392262320616195E-3</v>
      </c>
      <c r="H51" s="168" t="s">
        <v>76</v>
      </c>
      <c r="I51" s="170" t="e">
        <f>VLOOKUP(C51,'Справочник отрасли'!$J$6:$K$34,2,0)</f>
        <v>#N/A</v>
      </c>
      <c r="J51" s="170">
        <f>VLOOKUP(A51,'Эшелоны результат'!$A$3:$H$283,8,FALSE)</f>
        <v>1</v>
      </c>
      <c r="L51" s="141" t="s">
        <v>139</v>
      </c>
      <c r="M51" s="174">
        <f t="shared" si="7"/>
        <v>3187980641.9099998</v>
      </c>
      <c r="N51" s="175">
        <f t="shared" si="8"/>
        <v>4.0063975899396559E-2</v>
      </c>
    </row>
    <row r="52" spans="1:14" x14ac:dyDescent="0.2">
      <c r="A52" s="165" t="s">
        <v>565</v>
      </c>
      <c r="B52" s="166" t="s">
        <v>485</v>
      </c>
      <c r="C52" s="166" t="s">
        <v>504</v>
      </c>
      <c r="D52" s="167">
        <v>227683544.97999999</v>
      </c>
      <c r="E52" s="166" t="s">
        <v>101</v>
      </c>
      <c r="F52" s="171" t="str">
        <f>VLOOKUP(E52,'Справочник отрасли'!$A:$D,4,0)</f>
        <v>Горнодобывающая промышленность</v>
      </c>
      <c r="G52" s="169">
        <f t="shared" si="6"/>
        <v>2.8613436163472837E-3</v>
      </c>
      <c r="H52" s="168" t="s">
        <v>76</v>
      </c>
      <c r="I52" s="170" t="e">
        <f>VLOOKUP(C52,'Справочник отрасли'!$J$6:$K$34,2,0)</f>
        <v>#N/A</v>
      </c>
      <c r="J52" s="170">
        <f>VLOOKUP(A52,'Эшелоны результат'!$A$3:$H$283,8,FALSE)</f>
        <v>1</v>
      </c>
      <c r="L52" s="141" t="s">
        <v>156</v>
      </c>
      <c r="M52" s="174">
        <f t="shared" si="7"/>
        <v>85352941.589999989</v>
      </c>
      <c r="N52" s="175">
        <f t="shared" si="8"/>
        <v>1.0726471013812701E-3</v>
      </c>
    </row>
    <row r="53" spans="1:14" x14ac:dyDescent="0.2">
      <c r="A53" s="165" t="s">
        <v>566</v>
      </c>
      <c r="B53" s="166" t="s">
        <v>485</v>
      </c>
      <c r="C53" s="166" t="s">
        <v>505</v>
      </c>
      <c r="D53" s="167">
        <v>6027388269.3699989</v>
      </c>
      <c r="E53" s="166" t="s">
        <v>150</v>
      </c>
      <c r="F53" s="171" t="str">
        <f>VLOOKUP(E53,'Справочник отрасли'!$A:$D,4,0)</f>
        <v>Банк</v>
      </c>
      <c r="G53" s="169">
        <f t="shared" si="6"/>
        <v>7.5747366588671552E-2</v>
      </c>
      <c r="H53" s="168" t="s">
        <v>78</v>
      </c>
      <c r="I53" s="170" t="e">
        <f>VLOOKUP(C53,'Справочник отрасли'!$J$6:$K$34,2,0)</f>
        <v>#N/A</v>
      </c>
      <c r="J53" s="170">
        <f>VLOOKUP(A53,'Эшелоны результат'!$A$3:$H$283,8,FALSE)</f>
        <v>1</v>
      </c>
      <c r="L53" s="141" t="s">
        <v>199</v>
      </c>
      <c r="M53" s="174">
        <f t="shared" si="7"/>
        <v>13170455.009999998</v>
      </c>
      <c r="N53" s="175">
        <f t="shared" si="8"/>
        <v>1.6551568261361576E-4</v>
      </c>
    </row>
    <row r="54" spans="1:14" x14ac:dyDescent="0.2">
      <c r="A54" s="165" t="s">
        <v>567</v>
      </c>
      <c r="B54" s="166" t="s">
        <v>485</v>
      </c>
      <c r="C54" s="166" t="s">
        <v>506</v>
      </c>
      <c r="D54" s="167">
        <v>4823028961.1199999</v>
      </c>
      <c r="E54" s="166" t="s">
        <v>151</v>
      </c>
      <c r="F54" s="171" t="str">
        <f>VLOOKUP(E54,'Справочник отрасли'!$A:$D,4,0)</f>
        <v>Топливная промышленность</v>
      </c>
      <c r="G54" s="169">
        <f t="shared" si="6"/>
        <v>6.0611947739003372E-2</v>
      </c>
      <c r="H54" s="168" t="s">
        <v>76</v>
      </c>
      <c r="I54" s="170" t="e">
        <f>VLOOKUP(C54,'Справочник отрасли'!$J$6:$K$34,2,0)</f>
        <v>#N/A</v>
      </c>
      <c r="J54" s="170">
        <f>VLOOKUP(A54,'Эшелоны результат'!$A$3:$H$283,8,FALSE)</f>
        <v>1</v>
      </c>
      <c r="L54" s="141" t="s">
        <v>158</v>
      </c>
      <c r="M54" s="174">
        <f t="shared" si="7"/>
        <v>2046097456.6499999</v>
      </c>
      <c r="N54" s="175">
        <f t="shared" si="8"/>
        <v>2.5713706699902986E-2</v>
      </c>
    </row>
    <row r="55" spans="1:14" x14ac:dyDescent="0.2">
      <c r="A55" s="165" t="s">
        <v>568</v>
      </c>
      <c r="B55" s="166" t="s">
        <v>485</v>
      </c>
      <c r="C55" s="166" t="s">
        <v>507</v>
      </c>
      <c r="D55" s="167">
        <v>185881203.61000001</v>
      </c>
      <c r="E55" s="166" t="s">
        <v>138</v>
      </c>
      <c r="F55" s="171" t="str">
        <f>VLOOKUP(E55,'Справочник отрасли'!$A:$D,4,0)</f>
        <v>Банк</v>
      </c>
      <c r="G55" s="169">
        <f t="shared" si="6"/>
        <v>2.3360054210116209E-3</v>
      </c>
      <c r="H55" s="168" t="s">
        <v>82</v>
      </c>
      <c r="I55" s="170" t="e">
        <f>VLOOKUP(C55,'Справочник отрасли'!$J$6:$K$34,2,0)</f>
        <v>#N/A</v>
      </c>
      <c r="J55" s="170">
        <f>VLOOKUP(A55,'Эшелоны результат'!$A$3:$H$283,8,FALSE)</f>
        <v>2</v>
      </c>
      <c r="L55" s="141" t="s">
        <v>200</v>
      </c>
      <c r="M55" s="174">
        <f t="shared" si="7"/>
        <v>223245080</v>
      </c>
      <c r="N55" s="175">
        <f t="shared" si="8"/>
        <v>2.8055645593319002E-3</v>
      </c>
    </row>
    <row r="56" spans="1:14" x14ac:dyDescent="0.2">
      <c r="A56" s="165" t="s">
        <v>569</v>
      </c>
      <c r="B56" s="166" t="s">
        <v>485</v>
      </c>
      <c r="C56" s="166" t="s">
        <v>508</v>
      </c>
      <c r="D56" s="167">
        <v>8095295549.8999987</v>
      </c>
      <c r="E56" s="166" t="s">
        <v>152</v>
      </c>
      <c r="F56" s="171" t="str">
        <f>VLOOKUP(E56,'Справочник отрасли'!$A:$D,4,0)</f>
        <v>Топливная промышленность</v>
      </c>
      <c r="G56" s="169">
        <f t="shared" si="6"/>
        <v>0.1017351616085635</v>
      </c>
      <c r="H56" s="168" t="s">
        <v>78</v>
      </c>
      <c r="I56" s="170" t="e">
        <f>VLOOKUP(C56,'Справочник отрасли'!$J$6:$K$34,2,0)</f>
        <v>#N/A</v>
      </c>
      <c r="J56" s="170">
        <f>VLOOKUP(A56,'Эшелоны результат'!$A$3:$H$283,8,FALSE)</f>
        <v>1</v>
      </c>
      <c r="L56" s="141" t="s">
        <v>161</v>
      </c>
      <c r="M56" s="174">
        <f t="shared" si="7"/>
        <v>2091722737.7299998</v>
      </c>
      <c r="N56" s="175">
        <f t="shared" si="8"/>
        <v>2.6287088525865754E-2</v>
      </c>
    </row>
    <row r="57" spans="1:14" x14ac:dyDescent="0.2">
      <c r="A57" s="165" t="s">
        <v>570</v>
      </c>
      <c r="B57" s="166" t="s">
        <v>485</v>
      </c>
      <c r="C57" s="166" t="s">
        <v>509</v>
      </c>
      <c r="D57" s="167">
        <v>681346692.49000001</v>
      </c>
      <c r="E57" s="166" t="s">
        <v>136</v>
      </c>
      <c r="F57" s="171" t="str">
        <f>VLOOKUP(E57,'Справочник отрасли'!$A:$D,4,0)</f>
        <v>Горнодобывающая промышленность</v>
      </c>
      <c r="G57" s="169">
        <f t="shared" si="6"/>
        <v>8.5626170711934832E-3</v>
      </c>
      <c r="H57" s="168" t="s">
        <v>78</v>
      </c>
      <c r="I57" s="170" t="e">
        <f>VLOOKUP(C57,'Справочник отрасли'!$J$6:$K$34,2,0)</f>
        <v>#N/A</v>
      </c>
      <c r="J57" s="170">
        <f>VLOOKUP(A57,'Эшелоны результат'!$A$3:$H$283,8,FALSE)</f>
        <v>1</v>
      </c>
      <c r="L57" s="141" t="s">
        <v>201</v>
      </c>
      <c r="M57" s="174">
        <f t="shared" si="7"/>
        <v>316363613.17000002</v>
      </c>
      <c r="N57" s="175">
        <f t="shared" si="8"/>
        <v>3.9758033680829105E-3</v>
      </c>
    </row>
    <row r="58" spans="1:14" x14ac:dyDescent="0.2">
      <c r="A58" s="165" t="s">
        <v>571</v>
      </c>
      <c r="B58" s="166" t="s">
        <v>485</v>
      </c>
      <c r="C58" s="166" t="s">
        <v>510</v>
      </c>
      <c r="D58" s="167">
        <v>517854119.44</v>
      </c>
      <c r="E58" s="166" t="s">
        <v>101</v>
      </c>
      <c r="F58" s="171" t="str">
        <f>VLOOKUP(E58,'Справочник отрасли'!$A:$D,4,0)</f>
        <v>Горнодобывающая промышленность</v>
      </c>
      <c r="G58" s="169">
        <f t="shared" ref="G58:G90" si="9">D58/$B$19</f>
        <v>6.5079739468609701E-3</v>
      </c>
      <c r="H58" s="168" t="s">
        <v>76</v>
      </c>
      <c r="I58" s="170" t="e">
        <f>VLOOKUP(C58,'Справочник отрасли'!$J$6:$K$34,2,0)</f>
        <v>#N/A</v>
      </c>
      <c r="J58" s="170">
        <f>VLOOKUP(A58,'Эшелоны результат'!$A$3:$H$283,8,FALSE)</f>
        <v>1</v>
      </c>
      <c r="L58" s="141" t="s">
        <v>202</v>
      </c>
      <c r="M58" s="174">
        <f t="shared" ref="M58:M76" si="10">SUMIF($E$26:$E$422,L58,$D$26:$D$422)</f>
        <v>716783661</v>
      </c>
      <c r="N58" s="175">
        <f t="shared" ref="N58:N76" si="11">M58/$M$77</f>
        <v>9.0079603815222762E-3</v>
      </c>
    </row>
    <row r="59" spans="1:14" x14ac:dyDescent="0.2">
      <c r="A59" s="165" t="s">
        <v>572</v>
      </c>
      <c r="B59" s="166" t="s">
        <v>485</v>
      </c>
      <c r="C59" s="166" t="s">
        <v>511</v>
      </c>
      <c r="D59" s="167">
        <v>795238434.45000005</v>
      </c>
      <c r="E59" s="166" t="s">
        <v>154</v>
      </c>
      <c r="F59" s="171" t="str">
        <f>VLOOKUP(E59,'Справочник отрасли'!$A:$D,4,0)</f>
        <v>Банк</v>
      </c>
      <c r="G59" s="169">
        <f t="shared" si="9"/>
        <v>9.9939168554644287E-3</v>
      </c>
      <c r="H59" s="168" t="s">
        <v>78</v>
      </c>
      <c r="I59" s="170" t="e">
        <f>VLOOKUP(C59,'Справочник отрасли'!$J$6:$K$34,2,0)</f>
        <v>#N/A</v>
      </c>
      <c r="J59" s="170">
        <f>VLOOKUP(A59,'Эшелоны результат'!$A$3:$H$283,8,FALSE)</f>
        <v>1</v>
      </c>
      <c r="L59" s="141" t="s">
        <v>157</v>
      </c>
      <c r="M59" s="174">
        <f t="shared" si="10"/>
        <v>1556705471.5</v>
      </c>
      <c r="N59" s="175">
        <f t="shared" si="11"/>
        <v>1.9563421958317985E-2</v>
      </c>
    </row>
    <row r="60" spans="1:14" x14ac:dyDescent="0.2">
      <c r="A60" s="165" t="s">
        <v>573</v>
      </c>
      <c r="B60" s="166" t="s">
        <v>485</v>
      </c>
      <c r="C60" s="166" t="s">
        <v>512</v>
      </c>
      <c r="D60" s="167">
        <v>420444467.98999995</v>
      </c>
      <c r="E60" s="166" t="s">
        <v>339</v>
      </c>
      <c r="F60" s="171" t="str">
        <f>VLOOKUP(E60,'Справочник отрасли'!$A:$D,4,0)</f>
        <v>Страны</v>
      </c>
      <c r="G60" s="169">
        <f t="shared" si="9"/>
        <v>5.2838078158761641E-3</v>
      </c>
      <c r="H60" s="168" t="s">
        <v>88</v>
      </c>
      <c r="I60" s="170" t="e">
        <f>VLOOKUP(C60,'Справочник отрасли'!$J$6:$K$34,2,0)</f>
        <v>#N/A</v>
      </c>
      <c r="J60" s="170">
        <f>VLOOKUP(A60,'Эшелоны результат'!$A$3:$H$283,8,FALSE)</f>
        <v>2</v>
      </c>
      <c r="L60" s="141" t="s">
        <v>162</v>
      </c>
      <c r="M60" s="174">
        <f t="shared" si="10"/>
        <v>203084205.25999999</v>
      </c>
      <c r="N60" s="175">
        <f t="shared" si="11"/>
        <v>2.5521989055146974E-3</v>
      </c>
    </row>
    <row r="61" spans="1:14" x14ac:dyDescent="0.2">
      <c r="A61" s="165" t="s">
        <v>574</v>
      </c>
      <c r="B61" s="166" t="s">
        <v>485</v>
      </c>
      <c r="C61" s="166" t="s">
        <v>513</v>
      </c>
      <c r="D61" s="167">
        <v>642127513.24000001</v>
      </c>
      <c r="E61" s="166" t="s">
        <v>105</v>
      </c>
      <c r="F61" s="171" t="str">
        <f>VLOOKUP(E61,'Справочник отрасли'!$A:$D,4,0)</f>
        <v>Топливная промышленность</v>
      </c>
      <c r="G61" s="169">
        <f t="shared" si="9"/>
        <v>8.0697419791650946E-3</v>
      </c>
      <c r="H61" s="168" t="s">
        <v>80</v>
      </c>
      <c r="I61" s="170" t="e">
        <f>VLOOKUP(C61,'Справочник отрасли'!$J$6:$K$34,2,0)</f>
        <v>#N/A</v>
      </c>
      <c r="J61" s="170">
        <f>VLOOKUP(A61,'Эшелоны результат'!$A$3:$H$283,8,FALSE)</f>
        <v>1</v>
      </c>
      <c r="L61" s="141" t="s">
        <v>345</v>
      </c>
      <c r="M61" s="174">
        <f t="shared" si="10"/>
        <v>44825850</v>
      </c>
      <c r="N61" s="175">
        <f t="shared" si="11"/>
        <v>5.63335219311117E-4</v>
      </c>
    </row>
    <row r="62" spans="1:14" x14ac:dyDescent="0.2">
      <c r="A62" s="165" t="s">
        <v>575</v>
      </c>
      <c r="B62" s="166" t="s">
        <v>485</v>
      </c>
      <c r="C62" s="166" t="s">
        <v>514</v>
      </c>
      <c r="D62" s="167">
        <v>2058904686.6100001</v>
      </c>
      <c r="E62" s="166" t="s">
        <v>139</v>
      </c>
      <c r="F62" s="171" t="str">
        <f>VLOOKUP(E62,'Справочник отрасли'!$A:$D,4,0)</f>
        <v>Банк</v>
      </c>
      <c r="G62" s="169">
        <f t="shared" si="9"/>
        <v>2.5874657662311618E-2</v>
      </c>
      <c r="H62" s="168" t="s">
        <v>84</v>
      </c>
      <c r="I62" s="170" t="e">
        <f>VLOOKUP(C62,'Справочник отрасли'!$J$6:$K$34,2,0)</f>
        <v>#N/A</v>
      </c>
      <c r="J62" s="170">
        <f>VLOOKUP(A62,'Эшелоны результат'!$A$3:$H$283,8,FALSE)</f>
        <v>2</v>
      </c>
      <c r="L62" s="141" t="s">
        <v>451</v>
      </c>
      <c r="M62" s="174">
        <f t="shared" si="10"/>
        <v>79948000</v>
      </c>
      <c r="N62" s="175">
        <f t="shared" si="11"/>
        <v>1.004722143885396E-3</v>
      </c>
    </row>
    <row r="63" spans="1:14" x14ac:dyDescent="0.2">
      <c r="A63" s="165" t="s">
        <v>576</v>
      </c>
      <c r="B63" s="166" t="s">
        <v>485</v>
      </c>
      <c r="C63" s="166" t="s">
        <v>515</v>
      </c>
      <c r="D63" s="167">
        <v>1129075955.3</v>
      </c>
      <c r="E63" s="166" t="s">
        <v>139</v>
      </c>
      <c r="F63" s="171" t="str">
        <f>VLOOKUP(E63,'Справочник отрасли'!$A:$D,4,0)</f>
        <v>Банк</v>
      </c>
      <c r="G63" s="169">
        <f t="shared" si="9"/>
        <v>1.4189318237084952E-2</v>
      </c>
      <c r="H63" s="168" t="s">
        <v>84</v>
      </c>
      <c r="I63" s="170" t="e">
        <f>VLOOKUP(C63,'Справочник отрасли'!$J$6:$K$34,2,0)</f>
        <v>#N/A</v>
      </c>
      <c r="J63" s="170">
        <f>VLOOKUP(A63,'Эшелоны результат'!$A$3:$H$283,8,FALSE)</f>
        <v>2</v>
      </c>
      <c r="L63" s="141" t="s">
        <v>7</v>
      </c>
      <c r="M63" s="174">
        <f t="shared" si="10"/>
        <v>961779900.5</v>
      </c>
      <c r="N63" s="175">
        <f t="shared" si="11"/>
        <v>1.208687601411221E-2</v>
      </c>
    </row>
    <row r="64" spans="1:14" x14ac:dyDescent="0.2">
      <c r="A64" s="165" t="s">
        <v>578</v>
      </c>
      <c r="B64" s="166" t="s">
        <v>486</v>
      </c>
      <c r="C64" s="166" t="s">
        <v>517</v>
      </c>
      <c r="D64" s="167">
        <v>849656.42</v>
      </c>
      <c r="E64" s="166" t="s">
        <v>156</v>
      </c>
      <c r="F64" s="171" t="str">
        <f>VLOOKUP(E64,'Справочник отрасли'!$A:$D,4,0)</f>
        <v>Банк</v>
      </c>
      <c r="G64" s="169">
        <f t="shared" si="9"/>
        <v>1.0677798317261104E-5</v>
      </c>
      <c r="H64" s="168" t="s">
        <v>78</v>
      </c>
      <c r="I64" s="170" t="e">
        <f>VLOOKUP(C64,'Справочник отрасли'!$J$6:$K$34,2,0)</f>
        <v>#N/A</v>
      </c>
      <c r="J64" s="170" t="str">
        <f>VLOOKUP(A64,'Эшелоны результат'!$A$3:$H$283,8,FALSE)</f>
        <v>Ошибка, не численные значения</v>
      </c>
      <c r="L64" s="141" t="s">
        <v>159</v>
      </c>
      <c r="M64" s="174">
        <f t="shared" si="10"/>
        <v>1531374607.8400002</v>
      </c>
      <c r="N64" s="175">
        <f t="shared" si="11"/>
        <v>1.924508404313632E-2</v>
      </c>
    </row>
    <row r="65" spans="1:14" x14ac:dyDescent="0.2">
      <c r="A65" s="165" t="s">
        <v>651</v>
      </c>
      <c r="B65" s="166" t="s">
        <v>486</v>
      </c>
      <c r="C65" s="166" t="s">
        <v>620</v>
      </c>
      <c r="D65" s="167">
        <v>13170455.009999998</v>
      </c>
      <c r="E65" s="166" t="s">
        <v>199</v>
      </c>
      <c r="F65" s="171" t="str">
        <f>VLOOKUP(E65,'Справочник отрасли'!$A:$D,4,0)</f>
        <v>Инвестиционная деятельность</v>
      </c>
      <c r="G65" s="169">
        <f t="shared" si="9"/>
        <v>1.6551568261361578E-4</v>
      </c>
      <c r="H65" s="168" t="s">
        <v>117</v>
      </c>
      <c r="I65" s="170" t="e">
        <f>VLOOKUP(C65,'Справочник отрасли'!$J$6:$K$34,2,0)</f>
        <v>#N/A</v>
      </c>
      <c r="J65" s="170" t="str">
        <f>VLOOKUP(A65,'Эшелоны результат'!$A$3:$H$283,8,FALSE)</f>
        <v>Ошибка, не численные значения</v>
      </c>
      <c r="L65" s="141" t="s">
        <v>489</v>
      </c>
      <c r="M65" s="174">
        <f t="shared" si="10"/>
        <v>4850954651.2200003</v>
      </c>
      <c r="N65" s="175">
        <f t="shared" si="11"/>
        <v>6.0962895345281834E-2</v>
      </c>
    </row>
    <row r="66" spans="1:14" x14ac:dyDescent="0.2">
      <c r="A66" s="165" t="s">
        <v>579</v>
      </c>
      <c r="B66" s="166" t="s">
        <v>486</v>
      </c>
      <c r="C66" s="166" t="s">
        <v>518</v>
      </c>
      <c r="D66" s="167">
        <v>35337652.439999998</v>
      </c>
      <c r="E66" s="166" t="s">
        <v>146</v>
      </c>
      <c r="F66" s="171" t="str">
        <f>VLOOKUP(E66,'Справочник отрасли'!$A:$D,4,0)</f>
        <v>Банк</v>
      </c>
      <c r="G66" s="169">
        <f t="shared" si="9"/>
        <v>4.4409518586323359E-4</v>
      </c>
      <c r="H66" s="168" t="s">
        <v>80</v>
      </c>
      <c r="I66" s="170" t="e">
        <f>VLOOKUP(C66,'Справочник отрасли'!$J$6:$K$34,2,0)</f>
        <v>#N/A</v>
      </c>
      <c r="J66" s="170">
        <f>VLOOKUP(A66,'Эшелоны результат'!$A$3:$H$283,8,FALSE)</f>
        <v>2</v>
      </c>
      <c r="L66" s="141" t="s">
        <v>160</v>
      </c>
      <c r="M66" s="174">
        <f t="shared" si="10"/>
        <v>500661953.08999997</v>
      </c>
      <c r="N66" s="175">
        <f t="shared" si="11"/>
        <v>6.2919166316910283E-3</v>
      </c>
    </row>
    <row r="67" spans="1:14" x14ac:dyDescent="0.2">
      <c r="A67" s="165" t="s">
        <v>582</v>
      </c>
      <c r="B67" s="166" t="s">
        <v>486</v>
      </c>
      <c r="C67" s="166" t="s">
        <v>521</v>
      </c>
      <c r="D67" s="167">
        <v>163531312.75000009</v>
      </c>
      <c r="E67" s="166" t="s">
        <v>158</v>
      </c>
      <c r="F67" s="171" t="str">
        <f>VLOOKUP(E67,'Справочник отрасли'!$A:$D,4,0)</f>
        <v>Инвестиционная деятельность</v>
      </c>
      <c r="G67" s="169">
        <f t="shared" si="9"/>
        <v>2.0551299737150814E-3</v>
      </c>
      <c r="H67" s="168" t="s">
        <v>84</v>
      </c>
      <c r="I67" s="170" t="e">
        <f>VLOOKUP(C67,'Справочник отрасли'!$J$6:$K$34,2,0)</f>
        <v>#N/A</v>
      </c>
      <c r="J67" s="170">
        <f>VLOOKUP(A67,'Эшелоны результат'!$A$3:$H$283,8,FALSE)</f>
        <v>2</v>
      </c>
      <c r="L67" s="141" t="s">
        <v>343</v>
      </c>
      <c r="M67" s="174">
        <f t="shared" si="10"/>
        <v>623517589.28999996</v>
      </c>
      <c r="N67" s="175">
        <f t="shared" si="11"/>
        <v>7.8358674270988977E-3</v>
      </c>
    </row>
    <row r="68" spans="1:14" x14ac:dyDescent="0.2">
      <c r="A68" s="165" t="s">
        <v>585</v>
      </c>
      <c r="B68" s="166" t="s">
        <v>486</v>
      </c>
      <c r="C68" s="166" t="s">
        <v>524</v>
      </c>
      <c r="D68" s="167">
        <v>54761076</v>
      </c>
      <c r="E68" s="166" t="s">
        <v>158</v>
      </c>
      <c r="F68" s="171" t="str">
        <f>VLOOKUP(E68,'Справочник отрасли'!$A:$D,4,0)</f>
        <v>Инвестиционная деятельность</v>
      </c>
      <c r="G68" s="169">
        <f t="shared" si="9"/>
        <v>6.8819314654764493E-4</v>
      </c>
      <c r="H68" s="168" t="s">
        <v>84</v>
      </c>
      <c r="I68" s="170" t="e">
        <f>VLOOKUP(C68,'Справочник отрасли'!$J$6:$K$34,2,0)</f>
        <v>#N/A</v>
      </c>
      <c r="J68" s="170">
        <v>4</v>
      </c>
      <c r="L68" s="141" t="s">
        <v>149</v>
      </c>
      <c r="M68" s="174">
        <f t="shared" si="10"/>
        <v>1448569588.9000001</v>
      </c>
      <c r="N68" s="175">
        <f t="shared" si="11"/>
        <v>1.8204457183754377E-2</v>
      </c>
    </row>
    <row r="69" spans="1:14" x14ac:dyDescent="0.2">
      <c r="A69" s="165" t="s">
        <v>652</v>
      </c>
      <c r="B69" s="166" t="s">
        <v>486</v>
      </c>
      <c r="C69" s="166" t="s">
        <v>621</v>
      </c>
      <c r="D69" s="167">
        <v>223245080</v>
      </c>
      <c r="E69" s="166" t="s">
        <v>200</v>
      </c>
      <c r="F69" s="171" t="str">
        <f>VLOOKUP(E69,'Справочник отрасли'!$A:$D,4,0)</f>
        <v>Банк</v>
      </c>
      <c r="G69" s="169">
        <f t="shared" si="9"/>
        <v>2.8055645593319006E-3</v>
      </c>
      <c r="H69" s="168" t="s">
        <v>84</v>
      </c>
      <c r="I69" s="170" t="e">
        <f>VLOOKUP(C69,'Справочник отрасли'!$J$6:$K$34,2,0)</f>
        <v>#N/A</v>
      </c>
      <c r="J69" s="170">
        <v>4</v>
      </c>
      <c r="L69" s="141" t="s">
        <v>163</v>
      </c>
      <c r="M69" s="174">
        <f t="shared" si="10"/>
        <v>1041881454.55</v>
      </c>
      <c r="N69" s="175">
        <f t="shared" si="11"/>
        <v>1.3093527901760028E-2</v>
      </c>
    </row>
    <row r="70" spans="1:14" x14ac:dyDescent="0.2">
      <c r="A70" s="165" t="s">
        <v>592</v>
      </c>
      <c r="B70" s="166" t="s">
        <v>486</v>
      </c>
      <c r="C70" s="166" t="s">
        <v>531</v>
      </c>
      <c r="D70" s="167">
        <v>6233804.1200000001</v>
      </c>
      <c r="E70" s="166" t="s">
        <v>161</v>
      </c>
      <c r="F70" s="171" t="str">
        <f>VLOOKUP(E70,'Справочник отрасли'!$A:$D,4,0)</f>
        <v>Инвестиционная деятельность</v>
      </c>
      <c r="G70" s="169">
        <f t="shared" si="9"/>
        <v>7.8341434932806527E-5</v>
      </c>
      <c r="H70" s="168" t="s">
        <v>80</v>
      </c>
      <c r="I70" s="170" t="e">
        <f>VLOOKUP(C70,'Справочник отрасли'!$J$6:$K$34,2,0)</f>
        <v>#N/A</v>
      </c>
      <c r="J70" s="170">
        <f>VLOOKUP(A70,'Эшелоны результат'!$A$3:$H$283,8,FALSE)</f>
        <v>1</v>
      </c>
      <c r="L70" s="141" t="s">
        <v>233</v>
      </c>
      <c r="M70" s="174">
        <f t="shared" si="10"/>
        <v>526091903.86000001</v>
      </c>
      <c r="N70" s="175">
        <f t="shared" si="11"/>
        <v>6.6114997939531808E-3</v>
      </c>
    </row>
    <row r="71" spans="1:14" x14ac:dyDescent="0.2">
      <c r="A71" s="165" t="s">
        <v>653</v>
      </c>
      <c r="B71" s="166" t="s">
        <v>486</v>
      </c>
      <c r="C71" s="166" t="s">
        <v>622</v>
      </c>
      <c r="D71" s="167">
        <v>8694215.370000001</v>
      </c>
      <c r="E71" s="166" t="s">
        <v>201</v>
      </c>
      <c r="F71" s="171" t="str">
        <f>VLOOKUP(E71,'Справочник отрасли'!$A:$D,4,0)</f>
        <v>Банк</v>
      </c>
      <c r="G71" s="169">
        <f t="shared" si="9"/>
        <v>1.0926190406198735E-4</v>
      </c>
      <c r="H71" s="168" t="s">
        <v>78</v>
      </c>
      <c r="I71" s="170" t="e">
        <f>VLOOKUP(C71,'Справочник отрасли'!$J$6:$K$34,2,0)</f>
        <v>#N/A</v>
      </c>
      <c r="J71" s="170">
        <f>VLOOKUP(A71,'Эшелоны результат'!$A$3:$H$283,8,FALSE)</f>
        <v>2</v>
      </c>
      <c r="L71" s="141" t="s">
        <v>468</v>
      </c>
      <c r="M71" s="174">
        <f t="shared" si="10"/>
        <v>317617100.62</v>
      </c>
      <c r="N71" s="175">
        <f t="shared" si="11"/>
        <v>3.9915561898933053E-3</v>
      </c>
    </row>
    <row r="72" spans="1:14" x14ac:dyDescent="0.2">
      <c r="A72" s="165" t="s">
        <v>654</v>
      </c>
      <c r="B72" s="166" t="s">
        <v>486</v>
      </c>
      <c r="C72" s="166" t="s">
        <v>623</v>
      </c>
      <c r="D72" s="167">
        <v>307669397.80000001</v>
      </c>
      <c r="E72" s="166" t="s">
        <v>201</v>
      </c>
      <c r="F72" s="171" t="str">
        <f>VLOOKUP(E72,'Справочник отрасли'!$A:$D,4,0)</f>
        <v>Банк</v>
      </c>
      <c r="G72" s="169">
        <f t="shared" si="9"/>
        <v>3.8665414640209239E-3</v>
      </c>
      <c r="H72" s="168" t="s">
        <v>78</v>
      </c>
      <c r="I72" s="170" t="e">
        <f>VLOOKUP(C72,'Справочник отрасли'!$J$6:$K$34,2,0)</f>
        <v>#N/A</v>
      </c>
      <c r="J72" s="170">
        <f>VLOOKUP(A72,'Эшелоны результат'!$A$3:$H$283,8,FALSE)</f>
        <v>2</v>
      </c>
      <c r="L72" s="141" t="s">
        <v>490</v>
      </c>
      <c r="M72" s="174">
        <f t="shared" si="10"/>
        <v>502283420</v>
      </c>
      <c r="N72" s="175">
        <f t="shared" si="11"/>
        <v>6.3122939233062588E-3</v>
      </c>
    </row>
    <row r="73" spans="1:14" x14ac:dyDescent="0.2">
      <c r="A73" s="165" t="s">
        <v>655</v>
      </c>
      <c r="B73" s="166" t="s">
        <v>486</v>
      </c>
      <c r="C73" s="166" t="s">
        <v>624</v>
      </c>
      <c r="D73" s="167">
        <v>549260763.02999997</v>
      </c>
      <c r="E73" s="166" t="s">
        <v>202</v>
      </c>
      <c r="F73" s="171" t="str">
        <f>VLOOKUP(E73,'Справочник отрасли'!$A:$D,4,0)</f>
        <v>Топливная промышленность</v>
      </c>
      <c r="G73" s="169">
        <f t="shared" si="9"/>
        <v>6.902667376089835E-3</v>
      </c>
      <c r="H73" s="168" t="s">
        <v>78</v>
      </c>
      <c r="I73" s="170" t="e">
        <f>VLOOKUP(C73,'Справочник отрасли'!$J$6:$K$34,2,0)</f>
        <v>#N/A</v>
      </c>
      <c r="J73" s="170">
        <f>VLOOKUP(A73,'Эшелоны результат'!$A$3:$H$283,8,FALSE)</f>
        <v>1</v>
      </c>
      <c r="L73" s="141" t="s">
        <v>491</v>
      </c>
      <c r="M73" s="174">
        <f t="shared" si="10"/>
        <v>5028514047.5799999</v>
      </c>
      <c r="N73" s="175">
        <f t="shared" si="11"/>
        <v>6.3194318987872214E-2</v>
      </c>
    </row>
    <row r="74" spans="1:14" x14ac:dyDescent="0.2">
      <c r="A74" s="165" t="s">
        <v>656</v>
      </c>
      <c r="B74" s="166" t="s">
        <v>486</v>
      </c>
      <c r="C74" s="166" t="s">
        <v>625</v>
      </c>
      <c r="D74" s="167">
        <v>155712897.97000003</v>
      </c>
      <c r="E74" s="166" t="s">
        <v>202</v>
      </c>
      <c r="F74" s="171" t="str">
        <f>VLOOKUP(E74,'Справочник отрасли'!$A:$D,4,0)</f>
        <v>Топливная промышленность</v>
      </c>
      <c r="G74" s="169">
        <f t="shared" si="9"/>
        <v>1.9568744268652922E-3</v>
      </c>
      <c r="H74" s="168" t="s">
        <v>78</v>
      </c>
      <c r="I74" s="170" t="e">
        <f>VLOOKUP(C74,'Справочник отрасли'!$J$6:$K$34,2,0)</f>
        <v>#N/A</v>
      </c>
      <c r="J74" s="170">
        <f>VLOOKUP(A74,'Эшелоны результат'!$A$3:$H$283,8,FALSE)</f>
        <v>1</v>
      </c>
      <c r="L74" s="141" t="s">
        <v>164</v>
      </c>
      <c r="M74" s="174">
        <f t="shared" si="10"/>
        <v>12091535740.299997</v>
      </c>
      <c r="N74" s="175">
        <f t="shared" si="11"/>
        <v>0.15195669324887556</v>
      </c>
    </row>
    <row r="75" spans="1:14" x14ac:dyDescent="0.2">
      <c r="A75" s="165" t="s">
        <v>597</v>
      </c>
      <c r="B75" s="166" t="s">
        <v>486</v>
      </c>
      <c r="C75" s="166" t="s">
        <v>536</v>
      </c>
      <c r="D75" s="167">
        <v>183046659</v>
      </c>
      <c r="E75" s="166" t="s">
        <v>157</v>
      </c>
      <c r="F75" s="171" t="str">
        <f>VLOOKUP(E75,'Справочник отрасли'!$A:$D,4,0)</f>
        <v>Банк</v>
      </c>
      <c r="G75" s="169">
        <f t="shared" si="9"/>
        <v>2.3003831448133671E-3</v>
      </c>
      <c r="H75" s="168" t="s">
        <v>72</v>
      </c>
      <c r="I75" s="170" t="e">
        <f>VLOOKUP(C75,'Справочник отрасли'!$J$6:$K$34,2,0)</f>
        <v>#N/A</v>
      </c>
      <c r="J75" s="170">
        <f>VLOOKUP(A75,'Эшелоны результат'!$A$3:$H$283,8,FALSE)</f>
        <v>3</v>
      </c>
      <c r="L75" s="141" t="s">
        <v>246</v>
      </c>
      <c r="M75" s="174">
        <f t="shared" si="10"/>
        <v>12721500</v>
      </c>
      <c r="N75" s="175">
        <f t="shared" si="11"/>
        <v>1.5987357724318388E-4</v>
      </c>
    </row>
    <row r="76" spans="1:14" x14ac:dyDescent="0.2">
      <c r="A76" s="165" t="s">
        <v>599</v>
      </c>
      <c r="B76" s="166" t="s">
        <v>486</v>
      </c>
      <c r="C76" s="166" t="s">
        <v>538</v>
      </c>
      <c r="D76" s="167">
        <v>35623387.079999998</v>
      </c>
      <c r="E76" s="166" t="s">
        <v>162</v>
      </c>
      <c r="F76" s="171" t="str">
        <f>VLOOKUP(E76,'Справочник отрасли'!$A:$D,4,0)</f>
        <v>Финансовый лизинг</v>
      </c>
      <c r="G76" s="169">
        <f t="shared" si="9"/>
        <v>4.4768606893827141E-4</v>
      </c>
      <c r="H76" s="168" t="s">
        <v>80</v>
      </c>
      <c r="I76" s="170" t="e">
        <f>VLOOKUP(C76,'Справочник отрасли'!$J$6:$K$34,2,0)</f>
        <v>#N/A</v>
      </c>
      <c r="J76" s="170">
        <f>VLOOKUP(A76,'Эшелоны результат'!$A$3:$H$283,8,FALSE)</f>
        <v>1</v>
      </c>
      <c r="L76" s="141"/>
      <c r="M76" s="174">
        <f t="shared" si="10"/>
        <v>0</v>
      </c>
      <c r="N76" s="175">
        <f t="shared" si="11"/>
        <v>0</v>
      </c>
    </row>
    <row r="77" spans="1:14" ht="15" x14ac:dyDescent="0.25">
      <c r="A77" s="165" t="s">
        <v>657</v>
      </c>
      <c r="B77" s="166" t="s">
        <v>486</v>
      </c>
      <c r="C77" s="166" t="s">
        <v>626</v>
      </c>
      <c r="D77" s="167">
        <v>513285382.68000001</v>
      </c>
      <c r="E77" s="166" t="s">
        <v>158</v>
      </c>
      <c r="F77" s="171" t="str">
        <f>VLOOKUP(E77,'Справочник отрасли'!$A:$D,4,0)</f>
        <v>Инвестиционная деятельность</v>
      </c>
      <c r="G77" s="169">
        <f t="shared" si="9"/>
        <v>6.4505577389213694E-3</v>
      </c>
      <c r="H77" s="168" t="s">
        <v>84</v>
      </c>
      <c r="I77" s="170" t="e">
        <f>VLOOKUP(C77,'Справочник отрасли'!$J$6:$K$34,2,0)</f>
        <v>#N/A</v>
      </c>
      <c r="J77" s="170">
        <f>VLOOKUP(A77,'Эшелоны результат'!$A$3:$H$283,8,FALSE)</f>
        <v>2</v>
      </c>
      <c r="L77"/>
      <c r="M77" s="221">
        <f>SUM(M26:M76)</f>
        <v>79572248393.800003</v>
      </c>
      <c r="N77" s="220"/>
    </row>
    <row r="78" spans="1:14" x14ac:dyDescent="0.2">
      <c r="A78" s="165" t="s">
        <v>658</v>
      </c>
      <c r="B78" s="166" t="s">
        <v>486</v>
      </c>
      <c r="C78" s="166" t="s">
        <v>627</v>
      </c>
      <c r="D78" s="167">
        <v>56108812.5</v>
      </c>
      <c r="E78" s="166" t="s">
        <v>157</v>
      </c>
      <c r="F78" s="171" t="str">
        <f>VLOOKUP(E78,'Справочник отрасли'!$A:$D,4,0)</f>
        <v>Банк</v>
      </c>
      <c r="G78" s="169">
        <f t="shared" si="9"/>
        <v>7.0513041459278176E-4</v>
      </c>
      <c r="H78" s="168" t="s">
        <v>72</v>
      </c>
      <c r="I78" s="170" t="e">
        <f>VLOOKUP(C78,'Справочник отрасли'!$J$6:$K$34,2,0)</f>
        <v>#N/A</v>
      </c>
      <c r="J78" s="170" t="str">
        <f>VLOOKUP(A78,'Эшелоны результат'!$A$3:$H$283,8,FALSE)</f>
        <v>Ошибка, не численные значения</v>
      </c>
      <c r="L78" s="149"/>
      <c r="M78" s="222">
        <f>M77-B19</f>
        <v>0</v>
      </c>
      <c r="N78" s="220"/>
    </row>
    <row r="79" spans="1:14" ht="15" x14ac:dyDescent="0.25">
      <c r="A79" s="165" t="s">
        <v>659</v>
      </c>
      <c r="B79" s="166" t="s">
        <v>486</v>
      </c>
      <c r="C79" s="166" t="s">
        <v>628</v>
      </c>
      <c r="D79" s="167">
        <v>44825850</v>
      </c>
      <c r="E79" s="166" t="s">
        <v>345</v>
      </c>
      <c r="F79" s="171" t="str">
        <f>VLOOKUP(E79,'Справочник отрасли'!$A:$D,4,0)</f>
        <v>Профессиональные услуги, сервис</v>
      </c>
      <c r="G79" s="169">
        <f t="shared" si="9"/>
        <v>5.633352193111171E-4</v>
      </c>
      <c r="H79" s="168" t="s">
        <v>82</v>
      </c>
      <c r="I79" s="170" t="e">
        <f>VLOOKUP(C79,'Справочник отрасли'!$J$6:$K$34,2,0)</f>
        <v>#N/A</v>
      </c>
      <c r="J79" s="170">
        <f>VLOOKUP(A79,'Эшелоны результат'!$A$3:$H$283,8,FALSE)</f>
        <v>3</v>
      </c>
      <c r="L79"/>
      <c r="M79" s="220"/>
      <c r="N79" s="220"/>
    </row>
    <row r="80" spans="1:14" ht="15" x14ac:dyDescent="0.25">
      <c r="A80" s="165" t="s">
        <v>660</v>
      </c>
      <c r="B80" s="166" t="s">
        <v>486</v>
      </c>
      <c r="C80" s="166" t="s">
        <v>629</v>
      </c>
      <c r="D80" s="167">
        <v>79948000</v>
      </c>
      <c r="E80" s="166" t="s">
        <v>451</v>
      </c>
      <c r="F80" s="171" t="str">
        <f>VLOOKUP(E80,'Справочник отрасли'!$A:$D,4,0)</f>
        <v>Банк</v>
      </c>
      <c r="G80" s="169">
        <f t="shared" si="9"/>
        <v>1.0047221438853962E-3</v>
      </c>
      <c r="H80" s="168" t="s">
        <v>84</v>
      </c>
      <c r="I80" s="170" t="e">
        <f>VLOOKUP(C80,'Справочник отрасли'!$J$6:$K$34,2,0)</f>
        <v>#N/A</v>
      </c>
      <c r="J80" s="170">
        <f>VLOOKUP(A80,'Эшелоны результат'!$A$3:$H$283,8,FALSE)</f>
        <v>2</v>
      </c>
      <c r="L80"/>
      <c r="M80" s="220"/>
      <c r="N80" s="220"/>
    </row>
    <row r="81" spans="1:12" ht="15" x14ac:dyDescent="0.25">
      <c r="A81" s="165" t="s">
        <v>661</v>
      </c>
      <c r="B81" s="166" t="s">
        <v>486</v>
      </c>
      <c r="C81" s="166" t="s">
        <v>630</v>
      </c>
      <c r="D81" s="167">
        <v>600743088</v>
      </c>
      <c r="E81" s="166" t="s">
        <v>158</v>
      </c>
      <c r="F81" s="171" t="str">
        <f>VLOOKUP(E81,'Справочник отрасли'!$A:$D,4,0)</f>
        <v>Инвестиционная деятельность</v>
      </c>
      <c r="G81" s="169">
        <f t="shared" si="9"/>
        <v>7.5496558175275584E-3</v>
      </c>
      <c r="H81" s="168" t="s">
        <v>84</v>
      </c>
      <c r="I81" s="170" t="e">
        <f>VLOOKUP(C81,'Справочник отрасли'!$J$6:$K$34,2,0)</f>
        <v>#N/A</v>
      </c>
      <c r="J81" s="170">
        <f>VLOOKUP(A81,'Эшелоны результат'!$A$3:$H$283,8,FALSE)</f>
        <v>2</v>
      </c>
      <c r="L81"/>
    </row>
    <row r="82" spans="1:12" ht="15" x14ac:dyDescent="0.25">
      <c r="A82" s="165" t="s">
        <v>577</v>
      </c>
      <c r="B82" s="166" t="s">
        <v>486</v>
      </c>
      <c r="C82" s="166" t="s">
        <v>516</v>
      </c>
      <c r="D82" s="167">
        <v>219696915.30000001</v>
      </c>
      <c r="E82" s="166" t="s">
        <v>134</v>
      </c>
      <c r="F82" s="171" t="str">
        <f>VLOOKUP(E82,'Справочник отрасли'!$A:$D,4,0)</f>
        <v>Финансовый лизинг</v>
      </c>
      <c r="G82" s="169">
        <f t="shared" si="9"/>
        <v>2.7609740799672826E-3</v>
      </c>
      <c r="H82" s="168" t="s">
        <v>80</v>
      </c>
      <c r="I82" s="170" t="e">
        <f>VLOOKUP(C82,'Справочник отрасли'!$J$6:$K$34,2,0)</f>
        <v>#N/A</v>
      </c>
      <c r="J82" s="170">
        <f>VLOOKUP(A82,'Эшелоны результат'!$A$3:$H$283,8,FALSE)</f>
        <v>1</v>
      </c>
      <c r="L82"/>
    </row>
    <row r="83" spans="1:12" ht="15" x14ac:dyDescent="0.25">
      <c r="A83" s="165" t="s">
        <v>578</v>
      </c>
      <c r="B83" s="166" t="s">
        <v>486</v>
      </c>
      <c r="C83" s="166" t="s">
        <v>517</v>
      </c>
      <c r="D83" s="167">
        <v>84503285.169999987</v>
      </c>
      <c r="E83" s="166" t="s">
        <v>156</v>
      </c>
      <c r="F83" s="171" t="str">
        <f>VLOOKUP(E83,'Справочник отрасли'!$A:$D,4,0)</f>
        <v>Банк</v>
      </c>
      <c r="G83" s="169">
        <f t="shared" si="9"/>
        <v>1.0619693030640091E-3</v>
      </c>
      <c r="H83" s="168" t="s">
        <v>78</v>
      </c>
      <c r="I83" s="170" t="e">
        <f>VLOOKUP(C83,'Справочник отрасли'!$J$6:$K$34,2,0)</f>
        <v>#N/A</v>
      </c>
      <c r="J83" s="170">
        <v>4</v>
      </c>
      <c r="L83"/>
    </row>
    <row r="84" spans="1:12" ht="15" x14ac:dyDescent="0.25">
      <c r="A84" s="165" t="s">
        <v>579</v>
      </c>
      <c r="B84" s="166" t="s">
        <v>486</v>
      </c>
      <c r="C84" s="166" t="s">
        <v>518</v>
      </c>
      <c r="D84" s="167">
        <v>50946415.689999998</v>
      </c>
      <c r="E84" s="166" t="s">
        <v>146</v>
      </c>
      <c r="F84" s="171" t="str">
        <f>VLOOKUP(E84,'Справочник отрасли'!$A:$D,4,0)</f>
        <v>Банк</v>
      </c>
      <c r="G84" s="169">
        <f t="shared" si="9"/>
        <v>6.4025356475876051E-4</v>
      </c>
      <c r="H84" s="168" t="s">
        <v>80</v>
      </c>
      <c r="I84" s="170" t="e">
        <f>VLOOKUP(C84,'Справочник отрасли'!$J$6:$K$34,2,0)</f>
        <v>#N/A</v>
      </c>
      <c r="J84" s="170">
        <f>VLOOKUP(A84,'Эшелоны результат'!$A$3:$H$283,8,FALSE)</f>
        <v>2</v>
      </c>
      <c r="L84"/>
    </row>
    <row r="85" spans="1:12" ht="15" x14ac:dyDescent="0.25">
      <c r="A85" s="165" t="s">
        <v>580</v>
      </c>
      <c r="B85" s="166" t="s">
        <v>486</v>
      </c>
      <c r="C85" s="166" t="s">
        <v>519</v>
      </c>
      <c r="D85" s="167">
        <v>482100651.27999997</v>
      </c>
      <c r="E85" s="166" t="s">
        <v>134</v>
      </c>
      <c r="F85" s="171" t="str">
        <f>VLOOKUP(E85,'Справочник отрасли'!$A:$D,4,0)</f>
        <v>Финансовый лизинг</v>
      </c>
      <c r="G85" s="169">
        <f t="shared" si="9"/>
        <v>6.0586531235626582E-3</v>
      </c>
      <c r="H85" s="168" t="s">
        <v>80</v>
      </c>
      <c r="I85" s="170" t="e">
        <f>VLOOKUP(C85,'Справочник отрасли'!$J$6:$K$34,2,0)</f>
        <v>#N/A</v>
      </c>
      <c r="J85" s="170">
        <f>VLOOKUP(A85,'Эшелоны результат'!$A$3:$H$283,8,FALSE)</f>
        <v>1</v>
      </c>
      <c r="L85"/>
    </row>
    <row r="86" spans="1:12" ht="15" x14ac:dyDescent="0.25">
      <c r="A86" s="165" t="s">
        <v>581</v>
      </c>
      <c r="B86" s="166" t="s">
        <v>486</v>
      </c>
      <c r="C86" s="166" t="s">
        <v>520</v>
      </c>
      <c r="D86" s="167">
        <v>579146029.77999997</v>
      </c>
      <c r="E86" s="166" t="s">
        <v>134</v>
      </c>
      <c r="F86" s="171" t="str">
        <f>VLOOKUP(E86,'Справочник отрасли'!$A:$D,4,0)</f>
        <v>Финансовый лизинг</v>
      </c>
      <c r="G86" s="169">
        <f t="shared" si="9"/>
        <v>7.2782413651783298E-3</v>
      </c>
      <c r="H86" s="168" t="s">
        <v>80</v>
      </c>
      <c r="I86" s="170" t="e">
        <f>VLOOKUP(C86,'Справочник отрасли'!$J$6:$K$34,2,0)</f>
        <v>#N/A</v>
      </c>
      <c r="J86" s="170">
        <f>VLOOKUP(A86,'Эшелоны результат'!$A$3:$H$283,8,FALSE)</f>
        <v>1</v>
      </c>
      <c r="L86"/>
    </row>
    <row r="87" spans="1:12" ht="15" x14ac:dyDescent="0.25">
      <c r="A87" s="165" t="s">
        <v>582</v>
      </c>
      <c r="B87" s="166" t="s">
        <v>486</v>
      </c>
      <c r="C87" s="166" t="s">
        <v>521</v>
      </c>
      <c r="D87" s="167">
        <v>565502214.17999983</v>
      </c>
      <c r="E87" s="166" t="s">
        <v>158</v>
      </c>
      <c r="F87" s="171" t="str">
        <f>VLOOKUP(E87,'Справочник отрасли'!$A:$D,4,0)</f>
        <v>Инвестиционная деятельность</v>
      </c>
      <c r="G87" s="169">
        <f t="shared" si="9"/>
        <v>7.1067768674997244E-3</v>
      </c>
      <c r="H87" s="168" t="s">
        <v>84</v>
      </c>
      <c r="I87" s="170" t="e">
        <f>VLOOKUP(C87,'Справочник отрасли'!$J$6:$K$34,2,0)</f>
        <v>#N/A</v>
      </c>
      <c r="J87" s="170">
        <f>VLOOKUP(A87,'Эшелоны результат'!$A$3:$H$283,8,FALSE)</f>
        <v>2</v>
      </c>
      <c r="L87"/>
    </row>
    <row r="88" spans="1:12" ht="15" x14ac:dyDescent="0.25">
      <c r="A88" s="165" t="s">
        <v>583</v>
      </c>
      <c r="B88" s="166" t="s">
        <v>486</v>
      </c>
      <c r="C88" s="166" t="s">
        <v>522</v>
      </c>
      <c r="D88" s="167">
        <v>596016891.79999995</v>
      </c>
      <c r="E88" s="166" t="s">
        <v>134</v>
      </c>
      <c r="F88" s="171" t="str">
        <f>VLOOKUP(E88,'Справочник отрасли'!$A:$D,4,0)</f>
        <v>Финансовый лизинг</v>
      </c>
      <c r="G88" s="169">
        <f t="shared" si="9"/>
        <v>7.4902607860259946E-3</v>
      </c>
      <c r="H88" s="168" t="s">
        <v>80</v>
      </c>
      <c r="I88" s="170" t="e">
        <f>VLOOKUP(C88,'Справочник отрасли'!$J$6:$K$34,2,0)</f>
        <v>#N/A</v>
      </c>
      <c r="J88" s="170">
        <f>VLOOKUP(A88,'Эшелоны результат'!$A$3:$H$283,8,FALSE)</f>
        <v>1</v>
      </c>
      <c r="L88"/>
    </row>
    <row r="89" spans="1:12" ht="15" x14ac:dyDescent="0.25">
      <c r="A89" s="165" t="s">
        <v>584</v>
      </c>
      <c r="B89" s="166" t="s">
        <v>486</v>
      </c>
      <c r="C89" s="166" t="s">
        <v>523</v>
      </c>
      <c r="D89" s="167">
        <v>961779900.5</v>
      </c>
      <c r="E89" s="166" t="s">
        <v>7</v>
      </c>
      <c r="F89" s="171" t="str">
        <f>VLOOKUP(E89,'Справочник отрасли'!$A:$D,4,0)</f>
        <v>Строительство жилых зданий</v>
      </c>
      <c r="G89" s="169">
        <f t="shared" si="9"/>
        <v>1.2086876014112211E-2</v>
      </c>
      <c r="H89" s="168" t="s">
        <v>84</v>
      </c>
      <c r="I89" s="170" t="e">
        <f>VLOOKUP(C89,'Справочник отрасли'!$J$6:$K$34,2,0)</f>
        <v>#N/A</v>
      </c>
      <c r="J89" s="170">
        <v>4</v>
      </c>
      <c r="L89"/>
    </row>
    <row r="90" spans="1:12" ht="15" x14ac:dyDescent="0.25">
      <c r="A90" s="165" t="s">
        <v>585</v>
      </c>
      <c r="B90" s="166" t="s">
        <v>486</v>
      </c>
      <c r="C90" s="166" t="s">
        <v>524</v>
      </c>
      <c r="D90" s="167">
        <v>148274383.03999999</v>
      </c>
      <c r="E90" s="166" t="s">
        <v>158</v>
      </c>
      <c r="F90" s="171" t="str">
        <f>VLOOKUP(E90,'Справочник отрасли'!$A:$D,4,0)</f>
        <v>Инвестиционная деятельность</v>
      </c>
      <c r="G90" s="169">
        <f t="shared" si="9"/>
        <v>1.8633931556916148E-3</v>
      </c>
      <c r="H90" s="168" t="s">
        <v>84</v>
      </c>
      <c r="I90" s="170" t="e">
        <f>VLOOKUP(C90,'Справочник отрасли'!$J$6:$K$34,2,0)</f>
        <v>#N/A</v>
      </c>
      <c r="J90" s="170">
        <f>VLOOKUP(A90,'Эшелоны результат'!$A$3:$H$283,8,FALSE)</f>
        <v>2</v>
      </c>
      <c r="L90"/>
    </row>
    <row r="91" spans="1:12" ht="15" x14ac:dyDescent="0.25">
      <c r="A91" s="165" t="s">
        <v>586</v>
      </c>
      <c r="B91" s="166" t="s">
        <v>486</v>
      </c>
      <c r="C91" s="166" t="s">
        <v>525</v>
      </c>
      <c r="D91" s="167">
        <v>376388504.98000002</v>
      </c>
      <c r="E91" s="166" t="s">
        <v>134</v>
      </c>
      <c r="F91" s="171" t="str">
        <f>VLOOKUP(E91,'Справочник отрасли'!$A:$D,4,0)</f>
        <v>Финансовый лизинг</v>
      </c>
      <c r="G91" s="169">
        <f t="shared" ref="G91:G118" si="12">D91/$B$19</f>
        <v>4.7301479168625205E-3</v>
      </c>
      <c r="H91" s="168" t="s">
        <v>80</v>
      </c>
      <c r="I91" s="170" t="e">
        <f>VLOOKUP(C91,'Справочник отрасли'!$J$6:$K$34,2,0)</f>
        <v>#N/A</v>
      </c>
      <c r="J91" s="170">
        <f>VLOOKUP(A91,'Эшелоны результат'!$A$3:$H$283,8,FALSE)</f>
        <v>1</v>
      </c>
      <c r="L91"/>
    </row>
    <row r="92" spans="1:12" ht="15" x14ac:dyDescent="0.25">
      <c r="A92" s="165" t="s">
        <v>587</v>
      </c>
      <c r="B92" s="166" t="s">
        <v>486</v>
      </c>
      <c r="C92" s="166" t="s">
        <v>526</v>
      </c>
      <c r="D92" s="167">
        <v>1531374607.8400002</v>
      </c>
      <c r="E92" s="166" t="s">
        <v>159</v>
      </c>
      <c r="F92" s="171" t="str">
        <f>VLOOKUP(E92,'Справочник отрасли'!$A:$D,4,0)</f>
        <v>Банк</v>
      </c>
      <c r="G92" s="169">
        <f t="shared" si="12"/>
        <v>1.9245084043136323E-2</v>
      </c>
      <c r="H92" s="168" t="s">
        <v>80</v>
      </c>
      <c r="I92" s="170" t="e">
        <f>VLOOKUP(C92,'Справочник отрасли'!$J$6:$K$34,2,0)</f>
        <v>#N/A</v>
      </c>
      <c r="J92" s="170">
        <f>VLOOKUP(A92,'Эшелоны результат'!$A$3:$H$283,8,FALSE)</f>
        <v>1</v>
      </c>
      <c r="L92"/>
    </row>
    <row r="93" spans="1:12" ht="15" x14ac:dyDescent="0.25">
      <c r="A93" s="165" t="s">
        <v>588</v>
      </c>
      <c r="B93" s="166" t="s">
        <v>486</v>
      </c>
      <c r="C93" s="166" t="s">
        <v>527</v>
      </c>
      <c r="D93" s="167">
        <v>1250427640.76</v>
      </c>
      <c r="E93" s="166" t="s">
        <v>489</v>
      </c>
      <c r="F93" s="171" t="str">
        <f>VLOOKUP(E93,'Справочник отрасли'!$A:$D,4,0)</f>
        <v>Инвестиционная деятельность</v>
      </c>
      <c r="G93" s="169">
        <f t="shared" si="12"/>
        <v>1.5714368589557527E-2</v>
      </c>
      <c r="H93" s="168" t="s">
        <v>76</v>
      </c>
      <c r="I93" s="170" t="e">
        <f>VLOOKUP(C93,'Справочник отрасли'!$J$6:$K$34,2,0)</f>
        <v>#N/A</v>
      </c>
      <c r="J93" s="170">
        <f>VLOOKUP(A93,'Эшелоны результат'!$A$3:$H$283,8,FALSE)</f>
        <v>1</v>
      </c>
      <c r="L93"/>
    </row>
    <row r="94" spans="1:12" ht="15" x14ac:dyDescent="0.25">
      <c r="A94" s="165" t="s">
        <v>589</v>
      </c>
      <c r="B94" s="166" t="s">
        <v>486</v>
      </c>
      <c r="C94" s="166" t="s">
        <v>528</v>
      </c>
      <c r="D94" s="167">
        <v>1017837202.63</v>
      </c>
      <c r="E94" s="166" t="s">
        <v>146</v>
      </c>
      <c r="F94" s="171" t="str">
        <f>VLOOKUP(E94,'Справочник отрасли'!$A:$D,4,0)</f>
        <v>Банк</v>
      </c>
      <c r="G94" s="169">
        <f t="shared" si="12"/>
        <v>1.2791359087816182E-2</v>
      </c>
      <c r="H94" s="109" t="s">
        <v>80</v>
      </c>
      <c r="I94" s="170" t="e">
        <f>VLOOKUP(C94,'Справочник отрасли'!$J$6:$K$34,2,0)</f>
        <v>#N/A</v>
      </c>
      <c r="J94" s="170">
        <f>VLOOKUP(A94,'Эшелоны результат'!$A$3:$H$283,8,FALSE)</f>
        <v>1</v>
      </c>
      <c r="L94"/>
    </row>
    <row r="95" spans="1:12" ht="15" x14ac:dyDescent="0.25">
      <c r="A95" s="165" t="s">
        <v>590</v>
      </c>
      <c r="B95" s="166" t="s">
        <v>486</v>
      </c>
      <c r="C95" s="166" t="s">
        <v>529</v>
      </c>
      <c r="D95" s="167">
        <v>500661953.08999997</v>
      </c>
      <c r="E95" s="166" t="s">
        <v>160</v>
      </c>
      <c r="F95" s="171" t="str">
        <f>VLOOKUP(E95,'Справочник отрасли'!$A:$D,4,0)</f>
        <v>Банк</v>
      </c>
      <c r="G95" s="169">
        <f t="shared" si="12"/>
        <v>6.29191663169103E-3</v>
      </c>
      <c r="H95" s="168" t="s">
        <v>78</v>
      </c>
      <c r="I95" s="170" t="e">
        <f>VLOOKUP(C95,'Справочник отрасли'!$J$6:$K$34,2,0)</f>
        <v>#N/A</v>
      </c>
      <c r="J95" s="170">
        <f>VLOOKUP(A95,'Эшелоны результат'!$A$3:$H$283,8,FALSE)</f>
        <v>2</v>
      </c>
      <c r="L95"/>
    </row>
    <row r="96" spans="1:12" ht="15" x14ac:dyDescent="0.25">
      <c r="A96" s="165" t="s">
        <v>591</v>
      </c>
      <c r="B96" s="166" t="s">
        <v>486</v>
      </c>
      <c r="C96" s="166" t="s">
        <v>530</v>
      </c>
      <c r="D96" s="167">
        <v>2087675180.1800001</v>
      </c>
      <c r="E96" s="166" t="s">
        <v>489</v>
      </c>
      <c r="F96" s="171" t="str">
        <f>VLOOKUP(E96,'Справочник отрасли'!$A:$D,4,0)</f>
        <v>Инвестиционная деятельность</v>
      </c>
      <c r="G96" s="169">
        <f t="shared" si="12"/>
        <v>2.6236222078936066E-2</v>
      </c>
      <c r="H96" s="168" t="s">
        <v>76</v>
      </c>
      <c r="I96" s="170" t="e">
        <f>VLOOKUP(C96,'Справочник отрасли'!$J$6:$K$34,2,0)</f>
        <v>#N/A</v>
      </c>
      <c r="J96" s="170">
        <f>VLOOKUP(A96,'Эшелоны результат'!$A$3:$H$283,8,FALSE)</f>
        <v>2</v>
      </c>
      <c r="L96"/>
    </row>
    <row r="97" spans="1:12" ht="15" x14ac:dyDescent="0.25">
      <c r="A97" s="165" t="s">
        <v>592</v>
      </c>
      <c r="B97" s="166" t="s">
        <v>486</v>
      </c>
      <c r="C97" s="166" t="s">
        <v>531</v>
      </c>
      <c r="D97" s="167">
        <v>2085488933.6099999</v>
      </c>
      <c r="E97" s="166" t="s">
        <v>161</v>
      </c>
      <c r="F97" s="171" t="str">
        <f>VLOOKUP(E97,'Справочник отрасли'!$A:$D,4,0)</f>
        <v>Инвестиционная деятельность</v>
      </c>
      <c r="G97" s="169">
        <f t="shared" si="12"/>
        <v>2.6208747090932953E-2</v>
      </c>
      <c r="H97" s="168" t="s">
        <v>80</v>
      </c>
      <c r="I97" s="170" t="e">
        <f>VLOOKUP(C97,'Справочник отрасли'!$J$6:$K$34,2,0)</f>
        <v>#N/A</v>
      </c>
      <c r="J97" s="170">
        <f>VLOOKUP(A97,'Эшелоны результат'!$A$3:$H$283,8,FALSE)</f>
        <v>1</v>
      </c>
      <c r="L97"/>
    </row>
    <row r="98" spans="1:12" ht="15" x14ac:dyDescent="0.25">
      <c r="A98" s="165" t="s">
        <v>593</v>
      </c>
      <c r="B98" s="166" t="s">
        <v>486</v>
      </c>
      <c r="C98" s="166" t="s">
        <v>532</v>
      </c>
      <c r="D98" s="167">
        <v>623517589.28999996</v>
      </c>
      <c r="E98" s="166" t="s">
        <v>343</v>
      </c>
      <c r="F98" s="171" t="str">
        <f>VLOOKUP(E98,'Справочник отрасли'!$A:$D,4,0)</f>
        <v>Лесная и лесоперерабатывающая промышленность</v>
      </c>
      <c r="G98" s="169">
        <f t="shared" si="12"/>
        <v>7.8358674270988977E-3</v>
      </c>
      <c r="H98" s="168" t="s">
        <v>84</v>
      </c>
      <c r="I98" s="170" t="e">
        <f>VLOOKUP(C98,'Справочник отрасли'!$J$6:$K$34,2,0)</f>
        <v>#N/A</v>
      </c>
      <c r="J98" s="170">
        <f>VLOOKUP(A98,'Эшелоны результат'!$A$3:$H$283,8,FALSE)</f>
        <v>2</v>
      </c>
      <c r="L98"/>
    </row>
    <row r="99" spans="1:12" ht="15" x14ac:dyDescent="0.25">
      <c r="A99" s="165" t="s">
        <v>594</v>
      </c>
      <c r="B99" s="166" t="s">
        <v>486</v>
      </c>
      <c r="C99" s="166" t="s">
        <v>533</v>
      </c>
      <c r="D99" s="167">
        <v>1448569588.9000001</v>
      </c>
      <c r="E99" s="166" t="s">
        <v>149</v>
      </c>
      <c r="F99" s="171" t="str">
        <f>VLOOKUP(E99,'Справочник отрасли'!$A:$D,4,0)</f>
        <v>Транспорт</v>
      </c>
      <c r="G99" s="169">
        <f t="shared" si="12"/>
        <v>1.820445718375438E-2</v>
      </c>
      <c r="H99" s="168" t="s">
        <v>76</v>
      </c>
      <c r="I99" s="170" t="e">
        <f>VLOOKUP(C99,'Справочник отрасли'!$J$6:$K$34,2,0)</f>
        <v>#N/A</v>
      </c>
      <c r="J99" s="170">
        <f>VLOOKUP(A99,'Эшелоны результат'!$A$3:$H$283,8,FALSE)</f>
        <v>1</v>
      </c>
      <c r="L99"/>
    </row>
    <row r="100" spans="1:12" ht="15" x14ac:dyDescent="0.25">
      <c r="A100" s="165" t="s">
        <v>595</v>
      </c>
      <c r="B100" s="166" t="s">
        <v>486</v>
      </c>
      <c r="C100" s="166" t="s">
        <v>534</v>
      </c>
      <c r="D100" s="167">
        <v>1512851830.28</v>
      </c>
      <c r="E100" s="166" t="s">
        <v>203</v>
      </c>
      <c r="F100" s="171" t="str">
        <f>VLOOKUP(E100,'Справочник отрасли'!$A:$D,4,0)</f>
        <v>Инвестиционная деятельность</v>
      </c>
      <c r="G100" s="169">
        <f t="shared" si="12"/>
        <v>1.9012304676788251E-2</v>
      </c>
      <c r="H100" s="168" t="s">
        <v>76</v>
      </c>
      <c r="I100" s="170" t="e">
        <f>VLOOKUP(C100,'Справочник отрасли'!$J$6:$K$34,2,0)</f>
        <v>#N/A</v>
      </c>
      <c r="J100" s="170">
        <f>VLOOKUP(A100,'Эшелоны результат'!$A$3:$H$283,8,FALSE)</f>
        <v>3</v>
      </c>
      <c r="L100"/>
    </row>
    <row r="101" spans="1:12" ht="15" x14ac:dyDescent="0.25">
      <c r="A101" s="165" t="s">
        <v>596</v>
      </c>
      <c r="B101" s="166" t="s">
        <v>486</v>
      </c>
      <c r="C101" s="166" t="s">
        <v>535</v>
      </c>
      <c r="D101" s="167">
        <v>307433311.69</v>
      </c>
      <c r="E101" s="166" t="s">
        <v>147</v>
      </c>
      <c r="F101" s="171" t="str">
        <f>VLOOKUP(E101,'Справочник отрасли'!$A:$D,4,0)</f>
        <v>Банк</v>
      </c>
      <c r="G101" s="169">
        <f t="shared" si="12"/>
        <v>3.8635745237274735E-3</v>
      </c>
      <c r="H101" s="168" t="s">
        <v>80</v>
      </c>
      <c r="I101" s="170" t="e">
        <f>VLOOKUP(C101,'Справочник отрасли'!$J$6:$K$34,2,0)</f>
        <v>#N/A</v>
      </c>
      <c r="J101" s="170">
        <f>VLOOKUP(A101,'Эшелоны результат'!$A$3:$H$283,8,FALSE)</f>
        <v>1</v>
      </c>
      <c r="L101"/>
    </row>
    <row r="102" spans="1:12" ht="15" x14ac:dyDescent="0.25">
      <c r="A102" s="165" t="s">
        <v>597</v>
      </c>
      <c r="B102" s="166" t="s">
        <v>486</v>
      </c>
      <c r="C102" s="166" t="s">
        <v>536</v>
      </c>
      <c r="D102" s="167">
        <v>1317550000</v>
      </c>
      <c r="E102" s="166" t="s">
        <v>157</v>
      </c>
      <c r="F102" s="171" t="str">
        <f>VLOOKUP(E102,'Справочник отрасли'!$A:$D,4,0)</f>
        <v>Банк</v>
      </c>
      <c r="G102" s="169">
        <f t="shared" si="12"/>
        <v>1.6557908398911841E-2</v>
      </c>
      <c r="H102" s="168" t="s">
        <v>72</v>
      </c>
      <c r="I102" s="170" t="e">
        <f>VLOOKUP(C102,'Справочник отрасли'!$J$6:$K$34,2,0)</f>
        <v>#N/A</v>
      </c>
      <c r="J102" s="170">
        <f>VLOOKUP(A102,'Эшелоны результат'!$A$3:$H$283,8,FALSE)</f>
        <v>3</v>
      </c>
      <c r="L102"/>
    </row>
    <row r="103" spans="1:12" ht="15" x14ac:dyDescent="0.25">
      <c r="A103" s="165" t="s">
        <v>598</v>
      </c>
      <c r="B103" s="166" t="s">
        <v>486</v>
      </c>
      <c r="C103" s="166" t="s">
        <v>537</v>
      </c>
      <c r="D103" s="167">
        <v>642140673.57000005</v>
      </c>
      <c r="E103" s="166" t="s">
        <v>140</v>
      </c>
      <c r="F103" s="171" t="str">
        <f>VLOOKUP(E103,'Справочник отрасли'!$A:$D,4,0)</f>
        <v>Цветная и черная металлургия</v>
      </c>
      <c r="G103" s="169">
        <f t="shared" si="12"/>
        <v>8.0699073676047291E-3</v>
      </c>
      <c r="H103" s="168" t="s">
        <v>84</v>
      </c>
      <c r="I103" s="170" t="e">
        <f>VLOOKUP(C103,'Справочник отрасли'!$J$6:$K$34,2,0)</f>
        <v>#N/A</v>
      </c>
      <c r="J103" s="170">
        <f>VLOOKUP(A103,'Эшелоны результат'!$A$3:$H$283,8,FALSE)</f>
        <v>2</v>
      </c>
      <c r="L103"/>
    </row>
    <row r="104" spans="1:12" ht="15" x14ac:dyDescent="0.25">
      <c r="A104" s="165" t="s">
        <v>599</v>
      </c>
      <c r="B104" s="166" t="s">
        <v>486</v>
      </c>
      <c r="C104" s="166" t="s">
        <v>538</v>
      </c>
      <c r="D104" s="167">
        <v>167460818.18000001</v>
      </c>
      <c r="E104" s="166" t="s">
        <v>162</v>
      </c>
      <c r="F104" s="171" t="str">
        <f>VLOOKUP(E104,'Справочник отрасли'!$A:$D,4,0)</f>
        <v>Финансовый лизинг</v>
      </c>
      <c r="G104" s="169">
        <f t="shared" si="12"/>
        <v>2.1045128365764264E-3</v>
      </c>
      <c r="H104" s="168" t="s">
        <v>80</v>
      </c>
      <c r="I104" s="170" t="e">
        <f>VLOOKUP(C104,'Справочник отрасли'!$J$6:$K$34,2,0)</f>
        <v>#N/A</v>
      </c>
      <c r="J104" s="170">
        <f>VLOOKUP(A104,'Эшелоны результат'!$A$3:$H$283,8,FALSE)</f>
        <v>1</v>
      </c>
      <c r="L104"/>
    </row>
    <row r="105" spans="1:12" ht="15" x14ac:dyDescent="0.25">
      <c r="A105" s="165" t="s">
        <v>600</v>
      </c>
      <c r="B105" s="166" t="s">
        <v>486</v>
      </c>
      <c r="C105" s="166" t="s">
        <v>539</v>
      </c>
      <c r="D105" s="167">
        <v>1041881454.55</v>
      </c>
      <c r="E105" s="166" t="s">
        <v>163</v>
      </c>
      <c r="F105" s="171" t="str">
        <f>VLOOKUP(E105,'Справочник отрасли'!$A:$D,4,0)</f>
        <v>Электроэнергетика и теплоэнергетика</v>
      </c>
      <c r="G105" s="169">
        <f t="shared" si="12"/>
        <v>1.3093527901760032E-2</v>
      </c>
      <c r="H105" s="109" t="s">
        <v>78</v>
      </c>
      <c r="I105" s="170" t="e">
        <f>VLOOKUP(C105,'Справочник отрасли'!$J$6:$K$34,2,0)</f>
        <v>#N/A</v>
      </c>
      <c r="J105" s="170">
        <f>VLOOKUP(A105,'Эшелоны результат'!$A$3:$H$283,8,FALSE)</f>
        <v>1</v>
      </c>
      <c r="L105"/>
    </row>
    <row r="106" spans="1:12" ht="15" x14ac:dyDescent="0.25">
      <c r="A106" s="165" t="s">
        <v>601</v>
      </c>
      <c r="B106" s="166" t="s">
        <v>486</v>
      </c>
      <c r="C106" s="166" t="s">
        <v>540</v>
      </c>
      <c r="D106" s="167">
        <v>315544125</v>
      </c>
      <c r="E106" s="166" t="s">
        <v>233</v>
      </c>
      <c r="F106" s="171" t="str">
        <f>VLOOKUP(E106,'Справочник отрасли'!$A:$D,4,0)</f>
        <v>Цветная и черная металлургия</v>
      </c>
      <c r="G106" s="169">
        <f t="shared" si="12"/>
        <v>3.9655047000605572E-3</v>
      </c>
      <c r="H106" s="168" t="s">
        <v>80</v>
      </c>
      <c r="I106" s="170" t="e">
        <f>VLOOKUP(C106,'Справочник отрасли'!$J$6:$K$34,2,0)</f>
        <v>#N/A</v>
      </c>
      <c r="J106" s="170">
        <f>VLOOKUP(A106,'Эшелоны результат'!$A$3:$H$283,8,FALSE)</f>
        <v>1</v>
      </c>
      <c r="L106"/>
    </row>
    <row r="107" spans="1:12" ht="15" x14ac:dyDescent="0.25">
      <c r="A107" s="165" t="s">
        <v>602</v>
      </c>
      <c r="B107" s="166" t="s">
        <v>486</v>
      </c>
      <c r="C107" s="166" t="s">
        <v>541</v>
      </c>
      <c r="D107" s="167">
        <v>210547778.86000001</v>
      </c>
      <c r="E107" s="166" t="s">
        <v>233</v>
      </c>
      <c r="F107" s="171" t="str">
        <f>VLOOKUP(E107,'Справочник отрасли'!$A:$D,4,0)</f>
        <v>Цветная и черная металлургия</v>
      </c>
      <c r="G107" s="169">
        <f t="shared" si="12"/>
        <v>2.6459950938926241E-3</v>
      </c>
      <c r="H107" s="168" t="s">
        <v>80</v>
      </c>
      <c r="I107" s="170" t="e">
        <f>VLOOKUP(C107,'Справочник отрасли'!$J$6:$K$34,2,0)</f>
        <v>#N/A</v>
      </c>
      <c r="J107" s="170">
        <f>VLOOKUP(A107,'Эшелоны результат'!$A$3:$H$283,8,FALSE)</f>
        <v>2</v>
      </c>
      <c r="L107"/>
    </row>
    <row r="108" spans="1:12" ht="15" x14ac:dyDescent="0.25">
      <c r="A108" s="165" t="s">
        <v>603</v>
      </c>
      <c r="B108" s="166" t="s">
        <v>486</v>
      </c>
      <c r="C108" s="166" t="s">
        <v>542</v>
      </c>
      <c r="D108" s="167">
        <v>959440700</v>
      </c>
      <c r="E108" s="166" t="s">
        <v>146</v>
      </c>
      <c r="F108" s="171" t="str">
        <f>VLOOKUP(E108,'Справочник отрасли'!$A:$D,4,0)</f>
        <v>Банк</v>
      </c>
      <c r="G108" s="169">
        <f t="shared" si="12"/>
        <v>1.2057478824172027E-2</v>
      </c>
      <c r="H108" s="168" t="s">
        <v>80</v>
      </c>
      <c r="I108" s="170" t="e">
        <f>VLOOKUP(C108,'Справочник отрасли'!$J$6:$K$34,2,0)</f>
        <v>#N/A</v>
      </c>
      <c r="J108" s="170">
        <f>VLOOKUP(A108,'Эшелоны результат'!$A$3:$H$283,8,FALSE)</f>
        <v>1</v>
      </c>
      <c r="L108"/>
    </row>
    <row r="109" spans="1:12" ht="15" x14ac:dyDescent="0.25">
      <c r="A109" s="165" t="s">
        <v>604</v>
      </c>
      <c r="B109" s="166" t="s">
        <v>486</v>
      </c>
      <c r="C109" s="166" t="s">
        <v>543</v>
      </c>
      <c r="D109" s="167">
        <v>317617100.62</v>
      </c>
      <c r="E109" s="166" t="s">
        <v>468</v>
      </c>
      <c r="F109" s="171" t="str">
        <f>VLOOKUP(E109,'Справочник отрасли'!$A:$D,4,0)</f>
        <v>Электроэнергетика и теплоэнергетика</v>
      </c>
      <c r="G109" s="169">
        <f t="shared" si="12"/>
        <v>3.9915561898933062E-3</v>
      </c>
      <c r="H109" s="168" t="s">
        <v>78</v>
      </c>
      <c r="I109" s="170" t="e">
        <f>VLOOKUP(C109,'Справочник отрасли'!$J$6:$K$34,2,0)</f>
        <v>#N/A</v>
      </c>
      <c r="J109" s="170">
        <f>VLOOKUP(A109,'Эшелоны результат'!$A$3:$H$283,8,FALSE)</f>
        <v>1</v>
      </c>
      <c r="L109"/>
    </row>
    <row r="110" spans="1:12" ht="15" x14ac:dyDescent="0.25">
      <c r="A110" s="165" t="s">
        <v>605</v>
      </c>
      <c r="B110" s="166" t="s">
        <v>486</v>
      </c>
      <c r="C110" s="166" t="s">
        <v>544</v>
      </c>
      <c r="D110" s="167">
        <v>502283420</v>
      </c>
      <c r="E110" s="166" t="s">
        <v>490</v>
      </c>
      <c r="F110" s="171" t="str">
        <f>VLOOKUP(E110,'Справочник отрасли'!$A:$D,4,0)</f>
        <v>Строительство жилых зданий</v>
      </c>
      <c r="G110" s="169">
        <f t="shared" si="12"/>
        <v>6.3122939233062605E-3</v>
      </c>
      <c r="H110" s="109" t="s">
        <v>86</v>
      </c>
      <c r="I110" s="170" t="e">
        <f>VLOOKUP(C110,'Справочник отрасли'!$J$6:$K$34,2,0)</f>
        <v>#N/A</v>
      </c>
      <c r="J110" s="170" t="str">
        <f>VLOOKUP(A110,'Эшелоны результат'!$A$3:$H$283,8,FALSE)</f>
        <v>Ошибка, не численные значения</v>
      </c>
      <c r="L110"/>
    </row>
    <row r="111" spans="1:12" ht="15" x14ac:dyDescent="0.25">
      <c r="A111" s="165" t="s">
        <v>606</v>
      </c>
      <c r="B111" s="166" t="s">
        <v>486</v>
      </c>
      <c r="C111" s="166" t="s">
        <v>545</v>
      </c>
      <c r="D111" s="167">
        <v>4017527272.73</v>
      </c>
      <c r="E111" s="166" t="s">
        <v>491</v>
      </c>
      <c r="F111" s="171" t="str">
        <f>VLOOKUP(E111,'Справочник отрасли'!$A:$D,4,0)</f>
        <v>Банк</v>
      </c>
      <c r="G111" s="169">
        <f t="shared" si="12"/>
        <v>5.0489050565058972E-2</v>
      </c>
      <c r="H111" s="109" t="s">
        <v>82</v>
      </c>
      <c r="I111" s="170" t="e">
        <f>VLOOKUP(C111,'Справочник отрасли'!$J$6:$K$34,2,0)</f>
        <v>#N/A</v>
      </c>
      <c r="J111" s="170">
        <f>VLOOKUP(A111,'Эшелоны результат'!$A$3:$H$283,8,FALSE)</f>
        <v>3</v>
      </c>
      <c r="L111"/>
    </row>
    <row r="112" spans="1:12" ht="15" x14ac:dyDescent="0.25">
      <c r="A112" s="165" t="s">
        <v>607</v>
      </c>
      <c r="B112" s="166" t="s">
        <v>486</v>
      </c>
      <c r="C112" s="166" t="s">
        <v>546</v>
      </c>
      <c r="D112" s="167">
        <v>1010986774.85</v>
      </c>
      <c r="E112" s="166" t="s">
        <v>491</v>
      </c>
      <c r="F112" s="171" t="str">
        <f>VLOOKUP(E112,'Справочник отрасли'!$A:$D,4,0)</f>
        <v>Банк</v>
      </c>
      <c r="G112" s="169">
        <f t="shared" si="12"/>
        <v>1.2705268422813259E-2</v>
      </c>
      <c r="H112" s="109" t="s">
        <v>82</v>
      </c>
      <c r="I112" s="170" t="e">
        <f>VLOOKUP(C112,'Справочник отрасли'!$J$6:$K$34,2,0)</f>
        <v>#N/A</v>
      </c>
      <c r="J112" s="170">
        <f>VLOOKUP(A112,'Эшелоны результат'!$A$3:$H$283,8,FALSE)</f>
        <v>3</v>
      </c>
      <c r="L112"/>
    </row>
    <row r="113" spans="1:12" ht="15" x14ac:dyDescent="0.25">
      <c r="A113" s="165" t="s">
        <v>662</v>
      </c>
      <c r="B113" s="166" t="s">
        <v>450</v>
      </c>
      <c r="C113" s="166" t="s">
        <v>631</v>
      </c>
      <c r="D113" s="167">
        <v>113016226.86</v>
      </c>
      <c r="E113" s="166" t="s">
        <v>164</v>
      </c>
      <c r="F113" s="171" t="str">
        <f>VLOOKUP(E113,'Справочник отрасли'!$A:$D,4,0)</f>
        <v>ОФЗ</v>
      </c>
      <c r="G113" s="169">
        <f t="shared" si="12"/>
        <v>1.4202970148673826E-3</v>
      </c>
      <c r="H113" s="109" t="s">
        <v>78</v>
      </c>
      <c r="I113" s="170" t="e">
        <f>VLOOKUP(C113,'Справочник отрасли'!$J$6:$K$34,2,0)</f>
        <v>#N/A</v>
      </c>
      <c r="J113" s="170">
        <f>VLOOKUP(A113,'Эшелоны результат'!$A$3:$H$283,8,FALSE)</f>
        <v>1</v>
      </c>
      <c r="L113"/>
    </row>
    <row r="114" spans="1:12" ht="15" x14ac:dyDescent="0.25">
      <c r="A114" s="165" t="s">
        <v>663</v>
      </c>
      <c r="B114" s="166" t="s">
        <v>450</v>
      </c>
      <c r="C114" s="166" t="s">
        <v>632</v>
      </c>
      <c r="D114" s="167">
        <v>422168000</v>
      </c>
      <c r="E114" s="166" t="s">
        <v>164</v>
      </c>
      <c r="F114" s="171" t="str">
        <f>VLOOKUP(E114,'Справочник отрасли'!$A:$D,4,0)</f>
        <v>ОФЗ</v>
      </c>
      <c r="G114" s="169">
        <f t="shared" si="12"/>
        <v>5.3054677795543346E-3</v>
      </c>
      <c r="H114" s="109" t="s">
        <v>78</v>
      </c>
      <c r="I114" s="170" t="e">
        <f>VLOOKUP(C114,'Справочник отрасли'!$J$6:$K$34,2,0)</f>
        <v>#N/A</v>
      </c>
      <c r="J114" s="170">
        <f>VLOOKUP(A114,'Эшелоны результат'!$A$3:$H$283,8,FALSE)</f>
        <v>1</v>
      </c>
      <c r="L114"/>
    </row>
    <row r="115" spans="1:12" ht="15" x14ac:dyDescent="0.25">
      <c r="A115" s="165" t="s">
        <v>664</v>
      </c>
      <c r="B115" s="166" t="s">
        <v>450</v>
      </c>
      <c r="C115" s="166" t="s">
        <v>633</v>
      </c>
      <c r="D115" s="167">
        <v>4881704000</v>
      </c>
      <c r="E115" s="166" t="s">
        <v>164</v>
      </c>
      <c r="F115" s="171" t="str">
        <f>VLOOKUP(E115,'Справочник отрасли'!$A:$D,4,0)</f>
        <v>ОФЗ</v>
      </c>
      <c r="G115" s="169">
        <f t="shared" si="12"/>
        <v>6.1349328422148325E-2</v>
      </c>
      <c r="H115" s="109" t="s">
        <v>78</v>
      </c>
      <c r="I115" s="170" t="e">
        <f>VLOOKUP(C115,'Справочник отрасли'!$J$6:$K$34,2,0)</f>
        <v>#N/A</v>
      </c>
      <c r="J115" s="170">
        <f>VLOOKUP(A115,'Эшелоны результат'!$A$3:$H$283,8,FALSE)</f>
        <v>1</v>
      </c>
      <c r="L115"/>
    </row>
    <row r="116" spans="1:12" ht="15" x14ac:dyDescent="0.25">
      <c r="A116" s="165" t="s">
        <v>665</v>
      </c>
      <c r="B116" s="166" t="s">
        <v>450</v>
      </c>
      <c r="C116" s="166" t="s">
        <v>634</v>
      </c>
      <c r="D116" s="167">
        <v>2420050000</v>
      </c>
      <c r="E116" s="166" t="s">
        <v>164</v>
      </c>
      <c r="F116" s="171" t="str">
        <f>VLOOKUP(E116,'Справочник отрасли'!$A:$D,4,0)</f>
        <v>ОФЗ</v>
      </c>
      <c r="G116" s="169">
        <f t="shared" si="12"/>
        <v>3.0413241410790177E-2</v>
      </c>
      <c r="H116" s="109" t="s">
        <v>78</v>
      </c>
      <c r="I116" s="170" t="e">
        <f>VLOOKUP(C116,'Справочник отрасли'!$J$6:$K$34,2,0)</f>
        <v>#N/A</v>
      </c>
      <c r="J116" s="170">
        <f>VLOOKUP(A116,'Эшелоны результат'!$A$3:$H$283,8,FALSE)</f>
        <v>1</v>
      </c>
      <c r="L116"/>
    </row>
    <row r="117" spans="1:12" ht="15" x14ac:dyDescent="0.25">
      <c r="A117" s="165" t="s">
        <v>666</v>
      </c>
      <c r="B117" s="166" t="s">
        <v>450</v>
      </c>
      <c r="C117" s="166" t="s">
        <v>635</v>
      </c>
      <c r="D117" s="167">
        <f>657982863.2-328026147.8</f>
        <v>329956715.40000004</v>
      </c>
      <c r="E117" s="166" t="s">
        <v>164</v>
      </c>
      <c r="F117" s="171" t="str">
        <f>VLOOKUP(E117,'Справочник отрасли'!$A:$D,4,0)</f>
        <v>ОФЗ</v>
      </c>
      <c r="G117" s="169">
        <f t="shared" si="12"/>
        <v>4.1466305409274973E-3</v>
      </c>
      <c r="H117" s="109" t="s">
        <v>78</v>
      </c>
      <c r="I117" s="170" t="e">
        <f>VLOOKUP(C117,'Справочник отрасли'!$J$6:$K$34,2,0)</f>
        <v>#N/A</v>
      </c>
      <c r="J117" s="170">
        <f>VLOOKUP(A117,'Эшелоны результат'!$A$3:$H$283,8,FALSE)</f>
        <v>1</v>
      </c>
      <c r="L117"/>
    </row>
    <row r="118" spans="1:12" ht="15" x14ac:dyDescent="0.25">
      <c r="A118" s="165" t="s">
        <v>666</v>
      </c>
      <c r="B118" s="166" t="s">
        <v>450</v>
      </c>
      <c r="C118" s="224" t="s">
        <v>635</v>
      </c>
      <c r="D118" s="225"/>
      <c r="E118" s="166" t="s">
        <v>164</v>
      </c>
      <c r="F118" s="171" t="str">
        <f>VLOOKUP(E118,'Справочник отрасли'!$A:$D,4,0)</f>
        <v>ОФЗ</v>
      </c>
      <c r="G118" s="169">
        <f t="shared" si="12"/>
        <v>0</v>
      </c>
      <c r="H118" s="109" t="s">
        <v>78</v>
      </c>
      <c r="I118" s="170" t="e">
        <f>VLOOKUP(C118,'Справочник отрасли'!$J$6:$K$34,2,0)</f>
        <v>#N/A</v>
      </c>
      <c r="J118" s="170">
        <f>VLOOKUP(A118,'Эшелоны результат'!$A$3:$H$283,8,FALSE)</f>
        <v>1</v>
      </c>
      <c r="L118"/>
    </row>
    <row r="119" spans="1:12" ht="15" x14ac:dyDescent="0.25">
      <c r="A119" s="165" t="s">
        <v>667</v>
      </c>
      <c r="B119" s="166" t="s">
        <v>450</v>
      </c>
      <c r="C119" s="166" t="s">
        <v>636</v>
      </c>
      <c r="D119" s="167">
        <v>1268839050</v>
      </c>
      <c r="E119" s="166" t="s">
        <v>164</v>
      </c>
      <c r="F119" s="171" t="str">
        <f>VLOOKUP(E119,'Справочник отрасли'!$A:$D,4,0)</f>
        <v>ОФЗ</v>
      </c>
      <c r="G119" s="169">
        <f t="shared" ref="G119:G122" si="13">D119/$B$19</f>
        <v>1.5945748368458367E-2</v>
      </c>
      <c r="H119" s="109" t="s">
        <v>78</v>
      </c>
      <c r="I119" s="170" t="e">
        <f>VLOOKUP(C119,'Справочник отрасли'!$J$6:$K$34,2,0)</f>
        <v>#N/A</v>
      </c>
      <c r="J119" s="170">
        <f>VLOOKUP(A119,'Эшелоны результат'!$A$3:$H$283,8,FALSE)</f>
        <v>1</v>
      </c>
      <c r="L119"/>
    </row>
    <row r="120" spans="1:12" ht="15" x14ac:dyDescent="0.25">
      <c r="A120" s="165" t="s">
        <v>608</v>
      </c>
      <c r="B120" s="166" t="s">
        <v>450</v>
      </c>
      <c r="C120" s="166" t="s">
        <v>547</v>
      </c>
      <c r="D120" s="167">
        <v>770390042.66000009</v>
      </c>
      <c r="E120" s="166" t="s">
        <v>164</v>
      </c>
      <c r="F120" s="171" t="str">
        <f>VLOOKUP(E120,'Справочник отрасли'!$A:$D,4,0)</f>
        <v>ОФЗ</v>
      </c>
      <c r="G120" s="169">
        <f t="shared" si="13"/>
        <v>9.6816422585845434E-3</v>
      </c>
      <c r="H120" s="109" t="s">
        <v>78</v>
      </c>
      <c r="I120" s="170" t="e">
        <f>VLOOKUP(C120,'Справочник отрасли'!$J$6:$K$34,2,0)</f>
        <v>#N/A</v>
      </c>
      <c r="J120" s="170">
        <f>VLOOKUP(A120,'Эшелоны результат'!$A$3:$H$283,8,FALSE)</f>
        <v>1</v>
      </c>
      <c r="L120"/>
    </row>
    <row r="121" spans="1:12" ht="15" x14ac:dyDescent="0.25">
      <c r="A121" s="165" t="s">
        <v>668</v>
      </c>
      <c r="B121" s="166" t="s">
        <v>638</v>
      </c>
      <c r="C121" s="166" t="s">
        <v>232</v>
      </c>
      <c r="D121" s="167">
        <v>11810000</v>
      </c>
      <c r="E121" s="166" t="s">
        <v>202</v>
      </c>
      <c r="F121" s="171" t="str">
        <f>VLOOKUP(E121,'Справочник отрасли'!$A:$D,4,0)</f>
        <v>Топливная промышленность</v>
      </c>
      <c r="G121" s="169">
        <f t="shared" si="13"/>
        <v>1.4841857856715026E-4</v>
      </c>
      <c r="H121" s="168"/>
      <c r="I121" s="170">
        <f>VLOOKUP(C121,'Справочник отрасли'!$J$6:$K$34,2,0)</f>
        <v>3</v>
      </c>
      <c r="J121" s="170" t="str">
        <f>VLOOKUP(A121,'Эшелоны результат'!$A$3:$H$283,8,FALSE)</f>
        <v>Ошибка, не численные значения</v>
      </c>
      <c r="L121"/>
    </row>
    <row r="122" spans="1:12" ht="15" x14ac:dyDescent="0.25">
      <c r="A122" s="165" t="s">
        <v>669</v>
      </c>
      <c r="B122" s="166" t="s">
        <v>638</v>
      </c>
      <c r="C122" s="166" t="s">
        <v>241</v>
      </c>
      <c r="D122" s="167">
        <v>12721500</v>
      </c>
      <c r="E122" s="166" t="s">
        <v>246</v>
      </c>
      <c r="F122" s="171" t="str">
        <f>VLOOKUP(E122,'Справочник отрасли'!$A:$D,4,0)</f>
        <v>Топливная промышленность</v>
      </c>
      <c r="G122" s="169">
        <f t="shared" si="13"/>
        <v>1.5987357724318391E-4</v>
      </c>
      <c r="H122" s="168"/>
      <c r="I122" s="170">
        <f>VLOOKUP(C122,'Справочник отрасли'!$J$6:$K$34,2,0)</f>
        <v>2</v>
      </c>
      <c r="J122" s="170" t="str">
        <f>VLOOKUP(A122,'Эшелоны результат'!$A$3:$H$283,8,FALSE)</f>
        <v>Ошибка, не численные значения</v>
      </c>
      <c r="L122"/>
    </row>
    <row r="123" spans="1:12" ht="15" x14ac:dyDescent="0.25">
      <c r="A123" s="165" t="s">
        <v>609</v>
      </c>
      <c r="B123" s="166" t="s">
        <v>487</v>
      </c>
      <c r="C123" s="166" t="s">
        <v>548</v>
      </c>
      <c r="D123" s="167">
        <v>896090669.75</v>
      </c>
      <c r="E123" s="166" t="s">
        <v>164</v>
      </c>
      <c r="F123" s="171" t="str">
        <f>VLOOKUP(E123,'Справочник отрасли'!$A:$D,4,0)</f>
        <v>ОФЗ</v>
      </c>
      <c r="G123" s="169">
        <f t="shared" ref="G123:G124" si="14">D123/$B$19</f>
        <v>1.1261346610633419E-2</v>
      </c>
      <c r="H123" s="109" t="s">
        <v>78</v>
      </c>
      <c r="I123" s="170" t="e">
        <f>VLOOKUP(C123,'Справочник отрасли'!$J$6:$K$34,2,0)</f>
        <v>#N/A</v>
      </c>
      <c r="J123" s="170">
        <f>VLOOKUP(A123,'Эшелоны результат'!$A$3:$H$283,8,FALSE)</f>
        <v>1</v>
      </c>
      <c r="L123"/>
    </row>
    <row r="124" spans="1:12" ht="15" x14ac:dyDescent="0.25">
      <c r="A124" s="165" t="s">
        <v>609</v>
      </c>
      <c r="B124" s="166" t="s">
        <v>487</v>
      </c>
      <c r="C124" s="166" t="s">
        <v>548</v>
      </c>
      <c r="D124" s="167">
        <v>989321035.62999988</v>
      </c>
      <c r="E124" s="166" t="s">
        <v>164</v>
      </c>
      <c r="F124" s="171" t="str">
        <f>VLOOKUP(E124,'Справочник отрасли'!$A:$D,4,0)</f>
        <v>ОФЗ</v>
      </c>
      <c r="G124" s="169">
        <f t="shared" si="14"/>
        <v>1.2432990842911567E-2</v>
      </c>
      <c r="H124" s="109" t="s">
        <v>78</v>
      </c>
      <c r="I124" s="170" t="e">
        <f>VLOOKUP(C124,'Справочник отрасли'!$J$6:$K$34,2,0)</f>
        <v>#N/A</v>
      </c>
      <c r="J124" s="170">
        <f>VLOOKUP(A124,'Эшелоны результат'!$A$3:$H$283,8,FALSE)</f>
        <v>1</v>
      </c>
      <c r="L124"/>
    </row>
    <row r="125" spans="1:12" ht="15" x14ac:dyDescent="0.25">
      <c r="A125" s="165"/>
      <c r="B125" s="166"/>
      <c r="C125" s="166"/>
      <c r="D125" s="167"/>
      <c r="E125" s="166"/>
      <c r="F125" s="171"/>
      <c r="G125" s="169"/>
      <c r="H125" s="168"/>
      <c r="I125" s="170"/>
      <c r="J125" s="170"/>
      <c r="L125"/>
    </row>
    <row r="126" spans="1:12" ht="15" x14ac:dyDescent="0.25">
      <c r="A126" s="165"/>
      <c r="B126" s="166"/>
      <c r="C126" s="166"/>
      <c r="D126" s="167"/>
      <c r="E126" s="166"/>
      <c r="F126" s="171"/>
      <c r="G126" s="169"/>
      <c r="H126" s="168"/>
      <c r="I126" s="170"/>
      <c r="J126" s="170"/>
      <c r="L126"/>
    </row>
    <row r="127" spans="1:12" ht="15" x14ac:dyDescent="0.25">
      <c r="A127" s="165"/>
      <c r="B127" s="166"/>
      <c r="C127" s="166"/>
      <c r="D127" s="167"/>
      <c r="E127" s="166"/>
      <c r="F127" s="171"/>
      <c r="G127" s="169"/>
      <c r="H127" s="168"/>
      <c r="I127" s="170"/>
      <c r="J127" s="170"/>
      <c r="L127"/>
    </row>
    <row r="128" spans="1:12" ht="15" x14ac:dyDescent="0.25">
      <c r="A128" s="165"/>
      <c r="B128" s="166"/>
      <c r="C128" s="166"/>
      <c r="D128" s="167"/>
      <c r="E128" s="166"/>
      <c r="F128" s="171"/>
      <c r="G128" s="169"/>
      <c r="H128" s="168"/>
      <c r="I128" s="170"/>
      <c r="J128" s="170"/>
      <c r="L128"/>
    </row>
    <row r="129" spans="1:12" ht="15" x14ac:dyDescent="0.25">
      <c r="A129" s="165"/>
      <c r="B129" s="166"/>
      <c r="C129" s="166"/>
      <c r="D129" s="167"/>
      <c r="E129" s="166"/>
      <c r="F129" s="171"/>
      <c r="G129" s="169"/>
      <c r="H129" s="168"/>
      <c r="I129" s="170"/>
      <c r="J129" s="170"/>
      <c r="L129"/>
    </row>
    <row r="130" spans="1:12" ht="15" x14ac:dyDescent="0.25">
      <c r="A130" s="165"/>
      <c r="B130" s="166"/>
      <c r="C130" s="166"/>
      <c r="D130" s="167"/>
      <c r="E130" s="166"/>
      <c r="F130" s="171"/>
      <c r="G130" s="169"/>
      <c r="H130" s="168"/>
      <c r="I130" s="170"/>
      <c r="J130" s="170"/>
      <c r="L130"/>
    </row>
    <row r="135" spans="1:12" ht="15" x14ac:dyDescent="0.25">
      <c r="D135" s="144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5"/>
  <sheetViews>
    <sheetView topLeftCell="A16" workbookViewId="0">
      <selection activeCell="F16" sqref="F16"/>
    </sheetView>
  </sheetViews>
  <sheetFormatPr defaultRowHeight="15" x14ac:dyDescent="0.25"/>
  <cols>
    <col min="1" max="1" width="28.7109375" style="207" customWidth="1"/>
    <col min="2" max="2" width="34.85546875" style="207" customWidth="1"/>
    <col min="3" max="3" width="19.140625" style="207" customWidth="1"/>
    <col min="4" max="4" width="29.5703125" style="207" customWidth="1"/>
    <col min="5" max="6" width="9.140625" style="206"/>
    <col min="7" max="7" width="16.28515625" customWidth="1"/>
    <col min="10" max="10" width="22.42578125" customWidth="1"/>
  </cols>
  <sheetData>
    <row r="1" spans="1:11" x14ac:dyDescent="0.25">
      <c r="A1" s="207" t="s">
        <v>207</v>
      </c>
      <c r="B1" s="207" t="s">
        <v>279</v>
      </c>
      <c r="C1" s="207" t="s">
        <v>217</v>
      </c>
      <c r="D1" s="207" t="s">
        <v>278</v>
      </c>
      <c r="G1" s="248" t="s">
        <v>464</v>
      </c>
      <c r="H1" s="248"/>
      <c r="I1" s="248"/>
      <c r="J1" s="248"/>
      <c r="K1" s="248"/>
    </row>
    <row r="2" spans="1:11" ht="15" customHeight="1" x14ac:dyDescent="0.25">
      <c r="A2" s="13" t="s">
        <v>154</v>
      </c>
      <c r="B2" s="13" t="s">
        <v>206</v>
      </c>
      <c r="C2" s="13"/>
      <c r="D2" s="13" t="s">
        <v>206</v>
      </c>
      <c r="G2" s="248"/>
      <c r="H2" s="248"/>
      <c r="I2" s="248"/>
      <c r="J2" s="248"/>
      <c r="K2" s="248"/>
    </row>
    <row r="3" spans="1:11" x14ac:dyDescent="0.25">
      <c r="A3" s="13" t="s">
        <v>106</v>
      </c>
      <c r="B3" s="13" t="s">
        <v>211</v>
      </c>
      <c r="C3" s="13"/>
      <c r="D3" s="13" t="s">
        <v>225</v>
      </c>
      <c r="G3" s="248"/>
      <c r="H3" s="248"/>
      <c r="I3" s="248"/>
      <c r="J3" s="248"/>
      <c r="K3" s="248"/>
    </row>
    <row r="4" spans="1:11" x14ac:dyDescent="0.25">
      <c r="A4" s="13" t="s">
        <v>151</v>
      </c>
      <c r="B4" s="13" t="s">
        <v>211</v>
      </c>
      <c r="C4" s="13"/>
      <c r="D4" s="13" t="s">
        <v>225</v>
      </c>
      <c r="G4" s="247" t="s">
        <v>466</v>
      </c>
      <c r="H4" s="247"/>
      <c r="J4" s="247" t="s">
        <v>467</v>
      </c>
      <c r="K4" s="247"/>
    </row>
    <row r="5" spans="1:11" x14ac:dyDescent="0.25">
      <c r="A5" s="13" t="s">
        <v>105</v>
      </c>
      <c r="B5" s="13" t="s">
        <v>211</v>
      </c>
      <c r="C5" s="13"/>
      <c r="D5" s="13" t="s">
        <v>225</v>
      </c>
      <c r="G5" t="s">
        <v>292</v>
      </c>
      <c r="H5" t="s">
        <v>307</v>
      </c>
      <c r="J5" t="str">
        <f>G5</f>
        <v>Наименование инструмента</v>
      </c>
      <c r="K5" t="s">
        <v>307</v>
      </c>
    </row>
    <row r="6" spans="1:11" ht="15" customHeight="1" x14ac:dyDescent="0.25">
      <c r="A6" s="13" t="s">
        <v>136</v>
      </c>
      <c r="B6" s="13" t="s">
        <v>221</v>
      </c>
      <c r="C6" s="13" t="s">
        <v>215</v>
      </c>
      <c r="D6" s="13" t="s">
        <v>269</v>
      </c>
      <c r="G6" s="5" t="s">
        <v>293</v>
      </c>
      <c r="H6" s="5">
        <v>1</v>
      </c>
      <c r="J6" s="5" t="s">
        <v>224</v>
      </c>
      <c r="K6" s="5">
        <v>1</v>
      </c>
    </row>
    <row r="7" spans="1:11" ht="15" customHeight="1" x14ac:dyDescent="0.25">
      <c r="A7" s="13" t="s">
        <v>146</v>
      </c>
      <c r="B7" s="13" t="s">
        <v>206</v>
      </c>
      <c r="C7" s="13"/>
      <c r="D7" s="13" t="s">
        <v>206</v>
      </c>
      <c r="G7" s="5" t="s">
        <v>294</v>
      </c>
      <c r="H7" s="5">
        <v>1</v>
      </c>
      <c r="J7" s="5" t="s">
        <v>234</v>
      </c>
      <c r="K7" s="5">
        <v>3</v>
      </c>
    </row>
    <row r="8" spans="1:11" ht="15" customHeight="1" x14ac:dyDescent="0.25">
      <c r="A8" s="13" t="s">
        <v>134</v>
      </c>
      <c r="B8" s="13" t="s">
        <v>210</v>
      </c>
      <c r="C8" s="13"/>
      <c r="D8" s="13" t="s">
        <v>249</v>
      </c>
      <c r="G8" s="5" t="s">
        <v>295</v>
      </c>
      <c r="H8" s="5">
        <v>1</v>
      </c>
      <c r="J8" s="5" t="s">
        <v>235</v>
      </c>
      <c r="K8" s="5">
        <v>1</v>
      </c>
    </row>
    <row r="9" spans="1:11" ht="15" customHeight="1" x14ac:dyDescent="0.25">
      <c r="A9" s="13" t="s">
        <v>135</v>
      </c>
      <c r="B9" s="13" t="s">
        <v>221</v>
      </c>
      <c r="C9" s="13" t="s">
        <v>212</v>
      </c>
      <c r="D9" s="13" t="s">
        <v>262</v>
      </c>
      <c r="G9" s="5" t="s">
        <v>296</v>
      </c>
      <c r="H9" s="5">
        <v>1</v>
      </c>
      <c r="J9" s="5" t="s">
        <v>226</v>
      </c>
      <c r="K9" s="5">
        <v>2</v>
      </c>
    </row>
    <row r="10" spans="1:11" ht="15" customHeight="1" x14ac:dyDescent="0.25">
      <c r="A10" s="13" t="s">
        <v>137</v>
      </c>
      <c r="B10" s="13" t="s">
        <v>213</v>
      </c>
      <c r="C10" s="13"/>
      <c r="D10" s="13" t="s">
        <v>213</v>
      </c>
      <c r="G10" s="5" t="s">
        <v>297</v>
      </c>
      <c r="H10" s="5">
        <v>1</v>
      </c>
      <c r="J10" s="5" t="s">
        <v>227</v>
      </c>
      <c r="K10" s="5">
        <v>1</v>
      </c>
    </row>
    <row r="11" spans="1:11" ht="15" customHeight="1" x14ac:dyDescent="0.25">
      <c r="A11" s="13" t="s">
        <v>138</v>
      </c>
      <c r="B11" s="13" t="s">
        <v>206</v>
      </c>
      <c r="C11" s="13"/>
      <c r="D11" s="13" t="s">
        <v>206</v>
      </c>
      <c r="G11" s="5" t="s">
        <v>298</v>
      </c>
      <c r="H11" s="5">
        <v>1</v>
      </c>
      <c r="J11" s="5" t="s">
        <v>236</v>
      </c>
      <c r="K11" s="5">
        <v>2</v>
      </c>
    </row>
    <row r="12" spans="1:11" ht="15" customHeight="1" x14ac:dyDescent="0.25">
      <c r="A12" s="13" t="s">
        <v>139</v>
      </c>
      <c r="B12" s="13" t="s">
        <v>206</v>
      </c>
      <c r="C12" s="13"/>
      <c r="D12" s="13" t="s">
        <v>206</v>
      </c>
      <c r="G12" s="5" t="s">
        <v>299</v>
      </c>
      <c r="H12" s="5">
        <v>1</v>
      </c>
      <c r="J12" s="5" t="s">
        <v>237</v>
      </c>
      <c r="K12" s="5">
        <v>1</v>
      </c>
    </row>
    <row r="13" spans="1:11" ht="15" customHeight="1" x14ac:dyDescent="0.25">
      <c r="A13" s="13" t="s">
        <v>140</v>
      </c>
      <c r="B13" s="13" t="s">
        <v>221</v>
      </c>
      <c r="C13" s="13" t="s">
        <v>212</v>
      </c>
      <c r="D13" s="13" t="s">
        <v>262</v>
      </c>
      <c r="G13" s="5" t="s">
        <v>300</v>
      </c>
      <c r="H13" s="5">
        <v>1</v>
      </c>
      <c r="J13" s="5" t="s">
        <v>238</v>
      </c>
      <c r="K13" s="5">
        <v>2</v>
      </c>
    </row>
    <row r="14" spans="1:11" ht="15" customHeight="1" x14ac:dyDescent="0.25">
      <c r="A14" s="13" t="s">
        <v>102</v>
      </c>
      <c r="B14" s="13" t="s">
        <v>228</v>
      </c>
      <c r="C14" s="13"/>
      <c r="D14" s="13" t="s">
        <v>264</v>
      </c>
      <c r="G14" s="5" t="s">
        <v>301</v>
      </c>
      <c r="H14" s="5">
        <v>1</v>
      </c>
      <c r="J14" s="5" t="s">
        <v>239</v>
      </c>
      <c r="K14" s="5">
        <v>2</v>
      </c>
    </row>
    <row r="15" spans="1:11" ht="15" customHeight="1" x14ac:dyDescent="0.25">
      <c r="A15" s="13" t="s">
        <v>141</v>
      </c>
      <c r="B15" s="13" t="s">
        <v>213</v>
      </c>
      <c r="C15" s="13"/>
      <c r="D15" s="13" t="s">
        <v>213</v>
      </c>
      <c r="G15" s="5" t="s">
        <v>302</v>
      </c>
      <c r="H15" s="5">
        <v>1</v>
      </c>
      <c r="I15" s="2"/>
      <c r="J15" s="5" t="s">
        <v>240</v>
      </c>
      <c r="K15" s="5">
        <v>2</v>
      </c>
    </row>
    <row r="16" spans="1:11" ht="15" customHeight="1" x14ac:dyDescent="0.25">
      <c r="A16" s="13" t="s">
        <v>142</v>
      </c>
      <c r="B16" s="13" t="s">
        <v>221</v>
      </c>
      <c r="C16" s="13" t="s">
        <v>212</v>
      </c>
      <c r="D16" s="13" t="s">
        <v>262</v>
      </c>
      <c r="G16" s="5" t="s">
        <v>303</v>
      </c>
      <c r="H16" s="5">
        <v>1</v>
      </c>
      <c r="J16" s="5" t="s">
        <v>231</v>
      </c>
      <c r="K16" s="5">
        <v>2</v>
      </c>
    </row>
    <row r="17" spans="1:11" ht="15" customHeight="1" x14ac:dyDescent="0.25">
      <c r="A17" s="13" t="s">
        <v>143</v>
      </c>
      <c r="B17" s="13" t="s">
        <v>221</v>
      </c>
      <c r="C17" s="13" t="s">
        <v>216</v>
      </c>
      <c r="D17" s="13" t="s">
        <v>269</v>
      </c>
      <c r="G17" s="5" t="s">
        <v>304</v>
      </c>
      <c r="H17" s="5">
        <v>1</v>
      </c>
      <c r="J17" s="5" t="s">
        <v>232</v>
      </c>
      <c r="K17" s="5">
        <v>3</v>
      </c>
    </row>
    <row r="18" spans="1:11" ht="15" customHeight="1" x14ac:dyDescent="0.25">
      <c r="A18" s="13" t="s">
        <v>144</v>
      </c>
      <c r="B18" s="13" t="s">
        <v>228</v>
      </c>
      <c r="C18" s="13"/>
      <c r="D18" s="13" t="s">
        <v>264</v>
      </c>
      <c r="G18" s="5" t="s">
        <v>305</v>
      </c>
      <c r="H18" s="5">
        <v>1</v>
      </c>
      <c r="J18" s="5" t="s">
        <v>241</v>
      </c>
      <c r="K18" s="5">
        <v>2</v>
      </c>
    </row>
    <row r="19" spans="1:11" ht="15" customHeight="1" x14ac:dyDescent="0.25">
      <c r="A19" s="13" t="s">
        <v>145</v>
      </c>
      <c r="B19" s="13" t="s">
        <v>222</v>
      </c>
      <c r="C19" s="13"/>
      <c r="D19" s="13" t="s">
        <v>248</v>
      </c>
      <c r="G19" s="5" t="s">
        <v>306</v>
      </c>
      <c r="H19" s="5">
        <v>1</v>
      </c>
      <c r="J19" s="5" t="s">
        <v>242</v>
      </c>
      <c r="K19" s="5">
        <v>1</v>
      </c>
    </row>
    <row r="20" spans="1:11" ht="15" customHeight="1" x14ac:dyDescent="0.25">
      <c r="A20" s="13" t="s">
        <v>147</v>
      </c>
      <c r="B20" s="13" t="s">
        <v>206</v>
      </c>
      <c r="C20" s="13"/>
      <c r="D20" s="13" t="s">
        <v>206</v>
      </c>
      <c r="G20" s="5" t="s">
        <v>308</v>
      </c>
      <c r="H20" s="5">
        <v>2</v>
      </c>
      <c r="J20" s="5" t="s">
        <v>340</v>
      </c>
      <c r="K20" s="5">
        <v>2</v>
      </c>
    </row>
    <row r="21" spans="1:11" ht="15" customHeight="1" x14ac:dyDescent="0.25">
      <c r="A21" s="13" t="s">
        <v>148</v>
      </c>
      <c r="B21" s="13" t="s">
        <v>206</v>
      </c>
      <c r="C21" s="13"/>
      <c r="D21" s="13" t="s">
        <v>206</v>
      </c>
      <c r="G21" s="5" t="s">
        <v>309</v>
      </c>
      <c r="H21" s="5">
        <v>2</v>
      </c>
      <c r="J21" s="5" t="s">
        <v>344</v>
      </c>
      <c r="K21" s="5">
        <v>1</v>
      </c>
    </row>
    <row r="22" spans="1:11" ht="15" customHeight="1" x14ac:dyDescent="0.25">
      <c r="A22" s="13" t="s">
        <v>149</v>
      </c>
      <c r="B22" s="13" t="s">
        <v>213</v>
      </c>
      <c r="C22" s="13"/>
      <c r="D22" s="13" t="s">
        <v>213</v>
      </c>
      <c r="G22" s="5" t="s">
        <v>310</v>
      </c>
      <c r="H22" s="5">
        <v>2</v>
      </c>
      <c r="J22" s="5" t="s">
        <v>413</v>
      </c>
      <c r="K22" s="5">
        <v>1</v>
      </c>
    </row>
    <row r="23" spans="1:11" ht="15" customHeight="1" x14ac:dyDescent="0.25">
      <c r="A23" s="13" t="s">
        <v>101</v>
      </c>
      <c r="B23" s="13" t="s">
        <v>221</v>
      </c>
      <c r="C23" s="13" t="s">
        <v>216</v>
      </c>
      <c r="D23" s="13" t="s">
        <v>269</v>
      </c>
      <c r="G23" s="5" t="s">
        <v>311</v>
      </c>
      <c r="H23" s="5">
        <v>2</v>
      </c>
      <c r="J23" s="5" t="s">
        <v>414</v>
      </c>
      <c r="K23" s="5">
        <v>1</v>
      </c>
    </row>
    <row r="24" spans="1:11" ht="15" customHeight="1" x14ac:dyDescent="0.25">
      <c r="A24" s="13" t="s">
        <v>150</v>
      </c>
      <c r="B24" s="13" t="s">
        <v>206</v>
      </c>
      <c r="C24" s="13"/>
      <c r="D24" s="13" t="s">
        <v>206</v>
      </c>
      <c r="G24" s="5" t="s">
        <v>312</v>
      </c>
      <c r="H24" s="5">
        <v>2</v>
      </c>
      <c r="J24" s="5" t="s">
        <v>415</v>
      </c>
      <c r="K24" s="5">
        <v>1</v>
      </c>
    </row>
    <row r="25" spans="1:11" x14ac:dyDescent="0.25">
      <c r="A25" s="13" t="s">
        <v>152</v>
      </c>
      <c r="B25" s="13" t="s">
        <v>211</v>
      </c>
      <c r="C25" s="13"/>
      <c r="D25" s="13" t="s">
        <v>225</v>
      </c>
      <c r="G25" s="5" t="s">
        <v>214</v>
      </c>
      <c r="H25" s="5">
        <v>2</v>
      </c>
      <c r="J25" s="5" t="s">
        <v>614</v>
      </c>
      <c r="K25" s="5">
        <v>2</v>
      </c>
    </row>
    <row r="26" spans="1:11" ht="15" customHeight="1" x14ac:dyDescent="0.25">
      <c r="A26" s="13" t="s">
        <v>153</v>
      </c>
      <c r="B26" s="13" t="s">
        <v>221</v>
      </c>
      <c r="C26" s="13" t="s">
        <v>215</v>
      </c>
      <c r="D26" s="13" t="s">
        <v>269</v>
      </c>
      <c r="G26" s="5" t="s">
        <v>313</v>
      </c>
      <c r="H26" s="5">
        <v>2</v>
      </c>
      <c r="J26" s="5" t="s">
        <v>615</v>
      </c>
      <c r="K26" s="5">
        <v>1</v>
      </c>
    </row>
    <row r="27" spans="1:11" ht="15" customHeight="1" x14ac:dyDescent="0.25">
      <c r="A27" s="13" t="s">
        <v>155</v>
      </c>
      <c r="B27" s="13" t="s">
        <v>206</v>
      </c>
      <c r="C27" s="13"/>
      <c r="D27" s="13" t="s">
        <v>206</v>
      </c>
      <c r="G27" s="5" t="s">
        <v>314</v>
      </c>
      <c r="H27" s="5">
        <v>2</v>
      </c>
    </row>
    <row r="28" spans="1:11" ht="15" customHeight="1" x14ac:dyDescent="0.25">
      <c r="A28" s="13" t="s">
        <v>198</v>
      </c>
      <c r="B28" s="13" t="s">
        <v>210</v>
      </c>
      <c r="C28" s="13"/>
      <c r="D28" s="13" t="s">
        <v>249</v>
      </c>
      <c r="G28" s="5" t="s">
        <v>315</v>
      </c>
      <c r="H28" s="5">
        <v>2</v>
      </c>
    </row>
    <row r="29" spans="1:11" ht="15" customHeight="1" x14ac:dyDescent="0.25">
      <c r="A29" s="13" t="s">
        <v>156</v>
      </c>
      <c r="B29" s="13" t="s">
        <v>206</v>
      </c>
      <c r="C29" s="13"/>
      <c r="D29" s="13" t="s">
        <v>206</v>
      </c>
      <c r="G29" s="5" t="s">
        <v>316</v>
      </c>
      <c r="H29" s="5">
        <v>2</v>
      </c>
    </row>
    <row r="30" spans="1:11" ht="15" customHeight="1" x14ac:dyDescent="0.25">
      <c r="A30" s="13" t="s">
        <v>199</v>
      </c>
      <c r="B30" s="13" t="s">
        <v>219</v>
      </c>
      <c r="C30" s="13"/>
      <c r="D30" s="13" t="s">
        <v>275</v>
      </c>
      <c r="G30" s="5" t="s">
        <v>317</v>
      </c>
      <c r="H30" s="5">
        <v>2</v>
      </c>
    </row>
    <row r="31" spans="1:11" ht="15" customHeight="1" x14ac:dyDescent="0.25">
      <c r="A31" s="13" t="s">
        <v>8</v>
      </c>
      <c r="B31" s="13" t="s">
        <v>210</v>
      </c>
      <c r="C31" s="13"/>
      <c r="D31" s="13" t="s">
        <v>249</v>
      </c>
      <c r="G31" s="5" t="s">
        <v>318</v>
      </c>
      <c r="H31" s="5">
        <v>2</v>
      </c>
    </row>
    <row r="32" spans="1:11" ht="15" customHeight="1" x14ac:dyDescent="0.25">
      <c r="A32" s="13" t="s">
        <v>157</v>
      </c>
      <c r="B32" s="13" t="s">
        <v>206</v>
      </c>
      <c r="C32" s="13"/>
      <c r="D32" s="13" t="s">
        <v>206</v>
      </c>
      <c r="G32" s="5" t="s">
        <v>319</v>
      </c>
      <c r="H32" s="5">
        <v>2</v>
      </c>
    </row>
    <row r="33" spans="1:8" ht="15" customHeight="1" x14ac:dyDescent="0.25">
      <c r="A33" s="13" t="s">
        <v>158</v>
      </c>
      <c r="B33" s="13" t="s">
        <v>219</v>
      </c>
      <c r="C33" s="13"/>
      <c r="D33" s="13" t="s">
        <v>275</v>
      </c>
      <c r="G33" s="5" t="s">
        <v>320</v>
      </c>
      <c r="H33" s="5">
        <v>2</v>
      </c>
    </row>
    <row r="34" spans="1:8" ht="15" customHeight="1" x14ac:dyDescent="0.25">
      <c r="A34" s="13" t="s">
        <v>200</v>
      </c>
      <c r="B34" s="13" t="s">
        <v>206</v>
      </c>
      <c r="C34" s="13"/>
      <c r="D34" s="13" t="s">
        <v>206</v>
      </c>
      <c r="G34" s="5" t="s">
        <v>321</v>
      </c>
      <c r="H34" s="5">
        <v>2</v>
      </c>
    </row>
    <row r="35" spans="1:8" ht="15" customHeight="1" x14ac:dyDescent="0.25">
      <c r="A35" s="13" t="s">
        <v>161</v>
      </c>
      <c r="B35" s="13" t="s">
        <v>219</v>
      </c>
      <c r="C35" s="13"/>
      <c r="D35" s="13" t="s">
        <v>275</v>
      </c>
      <c r="G35" s="5" t="s">
        <v>322</v>
      </c>
      <c r="H35" s="5">
        <v>3</v>
      </c>
    </row>
    <row r="36" spans="1:8" ht="15" customHeight="1" x14ac:dyDescent="0.25">
      <c r="A36" s="13" t="s">
        <v>201</v>
      </c>
      <c r="B36" s="13" t="s">
        <v>206</v>
      </c>
      <c r="C36" s="13"/>
      <c r="D36" s="13" t="s">
        <v>206</v>
      </c>
      <c r="G36" s="5" t="s">
        <v>323</v>
      </c>
      <c r="H36" s="5">
        <v>2</v>
      </c>
    </row>
    <row r="37" spans="1:8" x14ac:dyDescent="0.25">
      <c r="A37" s="13" t="s">
        <v>202</v>
      </c>
      <c r="B37" s="13" t="s">
        <v>211</v>
      </c>
      <c r="C37" s="13"/>
      <c r="D37" s="13" t="s">
        <v>225</v>
      </c>
      <c r="G37" s="5" t="s">
        <v>324</v>
      </c>
      <c r="H37" s="5">
        <v>3</v>
      </c>
    </row>
    <row r="38" spans="1:8" ht="15" customHeight="1" x14ac:dyDescent="0.25">
      <c r="A38" s="13" t="s">
        <v>203</v>
      </c>
      <c r="B38" s="13" t="s">
        <v>219</v>
      </c>
      <c r="C38" s="13"/>
      <c r="D38" s="13" t="s">
        <v>275</v>
      </c>
      <c r="G38" s="5" t="s">
        <v>325</v>
      </c>
      <c r="H38" s="5">
        <v>3</v>
      </c>
    </row>
    <row r="39" spans="1:8" ht="15" customHeight="1" x14ac:dyDescent="0.25">
      <c r="A39" s="13" t="s">
        <v>162</v>
      </c>
      <c r="B39" s="13" t="s">
        <v>210</v>
      </c>
      <c r="C39" s="13"/>
      <c r="D39" s="13" t="s">
        <v>249</v>
      </c>
      <c r="G39" s="5" t="s">
        <v>326</v>
      </c>
      <c r="H39" s="5">
        <v>3</v>
      </c>
    </row>
    <row r="40" spans="1:8" ht="15" customHeight="1" x14ac:dyDescent="0.25">
      <c r="A40" s="13" t="s">
        <v>6</v>
      </c>
      <c r="B40" s="13" t="s">
        <v>210</v>
      </c>
      <c r="C40" s="13"/>
      <c r="D40" s="13" t="s">
        <v>249</v>
      </c>
      <c r="G40" s="5" t="s">
        <v>327</v>
      </c>
      <c r="H40" s="5">
        <v>3</v>
      </c>
    </row>
    <row r="41" spans="1:8" ht="15" customHeight="1" x14ac:dyDescent="0.25">
      <c r="A41" s="13" t="s">
        <v>7</v>
      </c>
      <c r="B41" s="13" t="s">
        <v>209</v>
      </c>
      <c r="C41" s="13"/>
      <c r="D41" s="13" t="s">
        <v>254</v>
      </c>
      <c r="G41" s="5" t="s">
        <v>328</v>
      </c>
      <c r="H41" s="5">
        <v>3</v>
      </c>
    </row>
    <row r="42" spans="1:8" ht="15" customHeight="1" x14ac:dyDescent="0.25">
      <c r="A42" s="13" t="s">
        <v>159</v>
      </c>
      <c r="B42" s="13" t="s">
        <v>206</v>
      </c>
      <c r="C42" s="13"/>
      <c r="D42" s="13" t="s">
        <v>206</v>
      </c>
      <c r="G42" s="5" t="s">
        <v>329</v>
      </c>
      <c r="H42" s="5">
        <v>3</v>
      </c>
    </row>
    <row r="43" spans="1:8" ht="15" customHeight="1" x14ac:dyDescent="0.25">
      <c r="A43" s="13" t="s">
        <v>160</v>
      </c>
      <c r="B43" s="13" t="s">
        <v>206</v>
      </c>
      <c r="C43" s="13"/>
      <c r="D43" s="13" t="s">
        <v>206</v>
      </c>
      <c r="G43" s="5" t="s">
        <v>330</v>
      </c>
      <c r="H43" s="5">
        <v>3</v>
      </c>
    </row>
    <row r="44" spans="1:8" ht="15" customHeight="1" x14ac:dyDescent="0.25">
      <c r="A44" s="13" t="s">
        <v>163</v>
      </c>
      <c r="B44" s="13" t="s">
        <v>218</v>
      </c>
      <c r="C44" s="13"/>
      <c r="D44" s="13" t="s">
        <v>268</v>
      </c>
      <c r="G44" s="5" t="s">
        <v>331</v>
      </c>
      <c r="H44" s="5">
        <v>3</v>
      </c>
    </row>
    <row r="45" spans="1:8" ht="15" customHeight="1" x14ac:dyDescent="0.25">
      <c r="A45" s="13" t="s">
        <v>164</v>
      </c>
      <c r="B45" s="13" t="s">
        <v>220</v>
      </c>
      <c r="C45" s="13"/>
      <c r="D45" s="13" t="s">
        <v>220</v>
      </c>
      <c r="G45" s="5" t="s">
        <v>332</v>
      </c>
      <c r="H45" s="5">
        <v>3</v>
      </c>
    </row>
    <row r="46" spans="1:8" x14ac:dyDescent="0.25">
      <c r="A46" s="13" t="s">
        <v>127</v>
      </c>
      <c r="B46" s="13" t="s">
        <v>211</v>
      </c>
      <c r="C46" s="13"/>
      <c r="D46" s="13" t="s">
        <v>225</v>
      </c>
    </row>
    <row r="47" spans="1:8" ht="15" customHeight="1" x14ac:dyDescent="0.25">
      <c r="A47" s="13" t="s">
        <v>214</v>
      </c>
      <c r="B47" s="13" t="s">
        <v>221</v>
      </c>
      <c r="C47" s="13" t="s">
        <v>215</v>
      </c>
      <c r="D47" s="13" t="s">
        <v>269</v>
      </c>
    </row>
    <row r="48" spans="1:8" ht="15" customHeight="1" x14ac:dyDescent="0.25">
      <c r="A48" s="13" t="s">
        <v>342</v>
      </c>
      <c r="B48" s="13" t="s">
        <v>221</v>
      </c>
      <c r="C48" s="13" t="s">
        <v>215</v>
      </c>
      <c r="D48" s="13" t="s">
        <v>269</v>
      </c>
    </row>
    <row r="49" spans="1:4" ht="15" customHeight="1" x14ac:dyDescent="0.25">
      <c r="A49" s="13" t="s">
        <v>246</v>
      </c>
      <c r="B49" s="13" t="s">
        <v>211</v>
      </c>
      <c r="C49" s="13" t="s">
        <v>281</v>
      </c>
      <c r="D49" s="13" t="s">
        <v>225</v>
      </c>
    </row>
    <row r="50" spans="1:4" ht="15" customHeight="1" x14ac:dyDescent="0.25">
      <c r="A50" s="13" t="s">
        <v>247</v>
      </c>
      <c r="B50" s="13" t="s">
        <v>211</v>
      </c>
      <c r="C50" s="13" t="s">
        <v>280</v>
      </c>
      <c r="D50" s="13" t="s">
        <v>225</v>
      </c>
    </row>
    <row r="51" spans="1:4" ht="30" x14ac:dyDescent="0.25">
      <c r="A51" s="13" t="s">
        <v>233</v>
      </c>
      <c r="B51" s="13" t="s">
        <v>221</v>
      </c>
      <c r="C51" s="13" t="s">
        <v>282</v>
      </c>
      <c r="D51" s="13" t="s">
        <v>262</v>
      </c>
    </row>
    <row r="52" spans="1:4" ht="30" x14ac:dyDescent="0.25">
      <c r="A52" s="13" t="s">
        <v>243</v>
      </c>
      <c r="B52" s="13"/>
      <c r="C52" s="13" t="s">
        <v>230</v>
      </c>
      <c r="D52" s="13" t="s">
        <v>268</v>
      </c>
    </row>
    <row r="53" spans="1:4" ht="30" x14ac:dyDescent="0.25">
      <c r="A53" s="13" t="s">
        <v>244</v>
      </c>
      <c r="B53" s="13"/>
      <c r="C53" s="13" t="s">
        <v>230</v>
      </c>
      <c r="D53" s="13" t="s">
        <v>268</v>
      </c>
    </row>
    <row r="54" spans="1:4" ht="30" x14ac:dyDescent="0.25">
      <c r="A54" s="13" t="s">
        <v>123</v>
      </c>
      <c r="B54" s="13"/>
      <c r="C54" s="13" t="s">
        <v>283</v>
      </c>
      <c r="D54" s="13" t="s">
        <v>225</v>
      </c>
    </row>
    <row r="55" spans="1:4" x14ac:dyDescent="0.25">
      <c r="A55" s="13" t="s">
        <v>125</v>
      </c>
      <c r="B55" s="13"/>
      <c r="C55" s="13"/>
      <c r="D55" s="13" t="s">
        <v>213</v>
      </c>
    </row>
    <row r="56" spans="1:4" x14ac:dyDescent="0.25">
      <c r="A56" s="13" t="s">
        <v>245</v>
      </c>
      <c r="B56" s="13"/>
      <c r="C56" s="13"/>
      <c r="D56" s="13" t="s">
        <v>264</v>
      </c>
    </row>
    <row r="57" spans="1:4" x14ac:dyDescent="0.25">
      <c r="A57" s="13" t="s">
        <v>339</v>
      </c>
      <c r="B57" s="13"/>
      <c r="C57" s="13"/>
      <c r="D57" s="13" t="s">
        <v>341</v>
      </c>
    </row>
    <row r="58" spans="1:4" ht="30" x14ac:dyDescent="0.25">
      <c r="A58" s="13" t="s">
        <v>345</v>
      </c>
      <c r="B58" s="13"/>
      <c r="C58" s="13"/>
      <c r="D58" s="13" t="s">
        <v>263</v>
      </c>
    </row>
    <row r="59" spans="1:4" ht="45" x14ac:dyDescent="0.25">
      <c r="A59" s="13" t="s">
        <v>343</v>
      </c>
      <c r="B59" s="13"/>
      <c r="C59" s="13"/>
      <c r="D59" s="13" t="s">
        <v>259</v>
      </c>
    </row>
    <row r="60" spans="1:4" x14ac:dyDescent="0.25">
      <c r="A60" s="13" t="s">
        <v>416</v>
      </c>
      <c r="B60" s="13"/>
      <c r="C60" s="13"/>
      <c r="D60" s="13" t="s">
        <v>229</v>
      </c>
    </row>
    <row r="61" spans="1:4" x14ac:dyDescent="0.25">
      <c r="A61" s="13" t="s">
        <v>126</v>
      </c>
      <c r="B61" s="13"/>
      <c r="C61" s="13"/>
      <c r="D61" s="13" t="s">
        <v>258</v>
      </c>
    </row>
    <row r="62" spans="1:4" x14ac:dyDescent="0.25">
      <c r="A62" s="13" t="s">
        <v>451</v>
      </c>
      <c r="B62" s="13"/>
      <c r="C62" s="13"/>
      <c r="D62" s="13" t="s">
        <v>206</v>
      </c>
    </row>
    <row r="63" spans="1:4" ht="30" x14ac:dyDescent="0.25">
      <c r="A63" s="13" t="s">
        <v>468</v>
      </c>
      <c r="B63" s="13" t="s">
        <v>218</v>
      </c>
      <c r="C63" s="13"/>
      <c r="D63" s="13" t="s">
        <v>268</v>
      </c>
    </row>
    <row r="64" spans="1:4" ht="45" x14ac:dyDescent="0.25">
      <c r="A64" s="13" t="s">
        <v>670</v>
      </c>
      <c r="B64" s="13"/>
      <c r="C64" s="13" t="s">
        <v>672</v>
      </c>
      <c r="D64" s="13" t="s">
        <v>262</v>
      </c>
    </row>
    <row r="65" spans="1:4" ht="30" x14ac:dyDescent="0.25">
      <c r="A65" s="13" t="s">
        <v>671</v>
      </c>
      <c r="B65" s="13"/>
      <c r="C65" s="13" t="s">
        <v>673</v>
      </c>
      <c r="D65" s="13" t="s">
        <v>262</v>
      </c>
    </row>
    <row r="66" spans="1:4" x14ac:dyDescent="0.25">
      <c r="A66" s="13" t="s">
        <v>490</v>
      </c>
      <c r="B66" s="13"/>
      <c r="C66" s="13"/>
      <c r="D66" s="13" t="s">
        <v>254</v>
      </c>
    </row>
    <row r="67" spans="1:4" x14ac:dyDescent="0.25">
      <c r="A67" s="13" t="s">
        <v>491</v>
      </c>
      <c r="B67" s="13"/>
      <c r="C67" s="13"/>
      <c r="D67" s="13" t="s">
        <v>206</v>
      </c>
    </row>
    <row r="72" spans="1:4" x14ac:dyDescent="0.25">
      <c r="A72" s="208" t="s">
        <v>465</v>
      </c>
    </row>
    <row r="73" spans="1:4" ht="45" x14ac:dyDescent="0.25">
      <c r="A73" s="207" t="s">
        <v>248</v>
      </c>
    </row>
    <row r="74" spans="1:4" x14ac:dyDescent="0.25">
      <c r="A74" s="207" t="s">
        <v>249</v>
      </c>
    </row>
    <row r="75" spans="1:4" x14ac:dyDescent="0.25">
      <c r="A75" s="207" t="s">
        <v>250</v>
      </c>
    </row>
    <row r="76" spans="1:4" x14ac:dyDescent="0.25">
      <c r="A76" s="207" t="s">
        <v>251</v>
      </c>
    </row>
    <row r="77" spans="1:4" x14ac:dyDescent="0.25">
      <c r="A77" s="207" t="s">
        <v>252</v>
      </c>
    </row>
    <row r="78" spans="1:4" x14ac:dyDescent="0.25">
      <c r="A78" s="207" t="s">
        <v>253</v>
      </c>
    </row>
    <row r="79" spans="1:4" x14ac:dyDescent="0.25">
      <c r="A79" s="207" t="s">
        <v>254</v>
      </c>
    </row>
    <row r="80" spans="1:4" ht="30" x14ac:dyDescent="0.25">
      <c r="A80" s="207" t="s">
        <v>255</v>
      </c>
    </row>
    <row r="81" spans="1:1" x14ac:dyDescent="0.25">
      <c r="A81" s="207" t="s">
        <v>256</v>
      </c>
    </row>
    <row r="82" spans="1:1" ht="30" x14ac:dyDescent="0.25">
      <c r="A82" s="207" t="s">
        <v>257</v>
      </c>
    </row>
    <row r="83" spans="1:1" x14ac:dyDescent="0.25">
      <c r="A83" s="207" t="s">
        <v>258</v>
      </c>
    </row>
    <row r="84" spans="1:1" x14ac:dyDescent="0.25">
      <c r="A84" s="207" t="s">
        <v>225</v>
      </c>
    </row>
    <row r="85" spans="1:1" ht="45" x14ac:dyDescent="0.25">
      <c r="A85" s="207" t="s">
        <v>259</v>
      </c>
    </row>
    <row r="86" spans="1:1" ht="45" x14ac:dyDescent="0.25">
      <c r="A86" s="207" t="s">
        <v>260</v>
      </c>
    </row>
    <row r="87" spans="1:1" x14ac:dyDescent="0.25">
      <c r="A87" s="207" t="s">
        <v>213</v>
      </c>
    </row>
    <row r="88" spans="1:1" ht="30" x14ac:dyDescent="0.25">
      <c r="A88" s="207" t="s">
        <v>261</v>
      </c>
    </row>
    <row r="89" spans="1:1" ht="30" x14ac:dyDescent="0.25">
      <c r="A89" s="207" t="s">
        <v>262</v>
      </c>
    </row>
    <row r="90" spans="1:1" ht="30" x14ac:dyDescent="0.25">
      <c r="A90" s="207" t="s">
        <v>263</v>
      </c>
    </row>
    <row r="91" spans="1:1" x14ac:dyDescent="0.25">
      <c r="A91" s="207" t="s">
        <v>264</v>
      </c>
    </row>
    <row r="92" spans="1:1" x14ac:dyDescent="0.25">
      <c r="A92" s="207" t="s">
        <v>265</v>
      </c>
    </row>
    <row r="93" spans="1:1" x14ac:dyDescent="0.25">
      <c r="A93" s="207" t="s">
        <v>266</v>
      </c>
    </row>
    <row r="94" spans="1:1" ht="30" x14ac:dyDescent="0.25">
      <c r="A94" s="207" t="s">
        <v>267</v>
      </c>
    </row>
    <row r="95" spans="1:1" ht="30" x14ac:dyDescent="0.25">
      <c r="A95" s="207" t="s">
        <v>268</v>
      </c>
    </row>
    <row r="96" spans="1:1" ht="30" x14ac:dyDescent="0.25">
      <c r="A96" s="207" t="s">
        <v>269</v>
      </c>
    </row>
    <row r="97" spans="1:1" ht="30" x14ac:dyDescent="0.25">
      <c r="A97" s="207" t="s">
        <v>270</v>
      </c>
    </row>
    <row r="98" spans="1:1" ht="30" x14ac:dyDescent="0.25">
      <c r="A98" s="207" t="s">
        <v>271</v>
      </c>
    </row>
    <row r="99" spans="1:1" x14ac:dyDescent="0.25">
      <c r="A99" s="207" t="s">
        <v>272</v>
      </c>
    </row>
    <row r="100" spans="1:1" x14ac:dyDescent="0.25">
      <c r="A100" s="207" t="s">
        <v>273</v>
      </c>
    </row>
    <row r="101" spans="1:1" x14ac:dyDescent="0.25">
      <c r="A101" s="207" t="s">
        <v>229</v>
      </c>
    </row>
    <row r="102" spans="1:1" ht="30" x14ac:dyDescent="0.25">
      <c r="A102" s="207" t="s">
        <v>274</v>
      </c>
    </row>
    <row r="103" spans="1:1" ht="30" x14ac:dyDescent="0.25">
      <c r="A103" s="207" t="s">
        <v>275</v>
      </c>
    </row>
    <row r="104" spans="1:1" ht="30" x14ac:dyDescent="0.25">
      <c r="A104" s="207" t="s">
        <v>276</v>
      </c>
    </row>
    <row r="105" spans="1:1" ht="45" x14ac:dyDescent="0.25">
      <c r="A105" s="207" t="s">
        <v>277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L11" sqref="L11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8"/>
    <col min="8" max="8" width="23.5703125" style="178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689</v>
      </c>
      <c r="B2" t="s">
        <v>346</v>
      </c>
      <c r="C2" t="s">
        <v>347</v>
      </c>
      <c r="D2" t="s">
        <v>348</v>
      </c>
      <c r="E2" t="s">
        <v>349</v>
      </c>
      <c r="F2" t="s">
        <v>350</v>
      </c>
      <c r="G2" s="178" t="s">
        <v>406</v>
      </c>
      <c r="H2" s="178" t="s">
        <v>307</v>
      </c>
    </row>
    <row r="3" spans="1:8" x14ac:dyDescent="0.25">
      <c r="A3" s="177" t="str">
        <f>'Инвест политика'!A26</f>
        <v>SBER</v>
      </c>
      <c r="B3" t="s">
        <v>417</v>
      </c>
      <c r="C3" s="181" t="s">
        <v>418</v>
      </c>
      <c r="D3" t="s">
        <v>419</v>
      </c>
      <c r="E3" t="s">
        <v>420</v>
      </c>
      <c r="F3" t="s">
        <v>421</v>
      </c>
      <c r="G3" s="178">
        <f>VLOOKUP(A3,'Инвест политика'!$A$26:$H$130,8,FALSE)</f>
        <v>0</v>
      </c>
      <c r="H3" s="178" t="str">
        <f>Эшелонирование(F3,G3,C3)</f>
        <v>Ошибка, не численные значения</v>
      </c>
    </row>
    <row r="4" spans="1:8" x14ac:dyDescent="0.25">
      <c r="A4" s="177" t="str">
        <f>'Инвест политика'!A27</f>
        <v>GAZP</v>
      </c>
      <c r="B4" t="s">
        <v>417</v>
      </c>
      <c r="C4" t="s">
        <v>422</v>
      </c>
      <c r="D4" t="s">
        <v>419</v>
      </c>
      <c r="E4" t="s">
        <v>420</v>
      </c>
      <c r="F4" t="s">
        <v>421</v>
      </c>
      <c r="G4" s="179">
        <f>VLOOKUP(A4,'Инвест политика'!$A$26:$H$130,8,FALSE)</f>
        <v>0</v>
      </c>
      <c r="H4" s="179" t="str">
        <f t="shared" ref="H4:H67" si="0">Эшелонирование(F4,G4,C4)</f>
        <v>Ошибка, не численные значения</v>
      </c>
    </row>
    <row r="5" spans="1:8" x14ac:dyDescent="0.25">
      <c r="A5" s="177" t="str">
        <f>'Инвест политика'!A28</f>
        <v>SNGS</v>
      </c>
      <c r="B5" t="s">
        <v>417</v>
      </c>
      <c r="C5" t="s">
        <v>422</v>
      </c>
      <c r="D5" t="s">
        <v>419</v>
      </c>
      <c r="E5" t="s">
        <v>420</v>
      </c>
      <c r="F5" t="s">
        <v>421</v>
      </c>
      <c r="G5" s="179">
        <f>VLOOKUP(A5,'Инвест политика'!$A$26:$H$130,8,FALSE)</f>
        <v>0</v>
      </c>
      <c r="H5" s="179" t="str">
        <f t="shared" si="0"/>
        <v>Ошибка, не численные значения</v>
      </c>
    </row>
    <row r="6" spans="1:8" x14ac:dyDescent="0.25">
      <c r="A6" s="177" t="str">
        <f>'Инвест политика'!A29</f>
        <v>SNGS</v>
      </c>
      <c r="B6" t="s">
        <v>417</v>
      </c>
      <c r="C6" t="s">
        <v>422</v>
      </c>
      <c r="D6" t="s">
        <v>419</v>
      </c>
      <c r="E6" t="s">
        <v>420</v>
      </c>
      <c r="F6" t="s">
        <v>421</v>
      </c>
      <c r="G6" s="179">
        <f>VLOOKUP(A6,'Инвест политика'!$A$26:$H$130,8,FALSE)</f>
        <v>0</v>
      </c>
      <c r="H6" s="179" t="str">
        <f t="shared" si="0"/>
        <v>Ошибка, не численные значения</v>
      </c>
    </row>
    <row r="7" spans="1:8" x14ac:dyDescent="0.25">
      <c r="A7" s="177" t="str">
        <f>'Инвест политика'!A30</f>
        <v>YNDX</v>
      </c>
      <c r="B7" t="s">
        <v>417</v>
      </c>
      <c r="C7" t="s">
        <v>422</v>
      </c>
      <c r="D7" t="s">
        <v>419</v>
      </c>
      <c r="E7" t="s">
        <v>420</v>
      </c>
      <c r="F7" t="s">
        <v>421</v>
      </c>
      <c r="G7" s="179">
        <f>VLOOKUP(A7,'Инвест политика'!$A$26:$H$130,8,FALSE)</f>
        <v>0</v>
      </c>
      <c r="H7" s="179" t="str">
        <f t="shared" si="0"/>
        <v>Ошибка, не численные значения</v>
      </c>
    </row>
    <row r="8" spans="1:8" x14ac:dyDescent="0.25">
      <c r="A8" s="177" t="str">
        <f>'Инвест политика'!A31</f>
        <v>GMKN</v>
      </c>
      <c r="B8" t="s">
        <v>417</v>
      </c>
      <c r="C8" t="s">
        <v>422</v>
      </c>
      <c r="D8" t="s">
        <v>419</v>
      </c>
      <c r="E8" t="s">
        <v>420</v>
      </c>
      <c r="F8" t="s">
        <v>421</v>
      </c>
      <c r="G8" s="179">
        <f>VLOOKUP(A8,'Инвест политика'!$A$26:$H$130,8,FALSE)</f>
        <v>0</v>
      </c>
      <c r="H8" s="179" t="str">
        <f t="shared" si="0"/>
        <v>Ошибка, не численные значения</v>
      </c>
    </row>
    <row r="9" spans="1:8" x14ac:dyDescent="0.25">
      <c r="A9" s="177" t="str">
        <f>'Инвест политика'!A32</f>
        <v>NVTK</v>
      </c>
      <c r="B9" t="s">
        <v>417</v>
      </c>
      <c r="C9" t="s">
        <v>422</v>
      </c>
      <c r="D9" t="s">
        <v>419</v>
      </c>
      <c r="E9" t="s">
        <v>420</v>
      </c>
      <c r="F9" t="s">
        <v>421</v>
      </c>
      <c r="G9" s="179">
        <f>VLOOKUP(A9,'Инвест политика'!$A$26:$H$130,8,FALSE)</f>
        <v>0</v>
      </c>
      <c r="H9" s="179" t="str">
        <f t="shared" si="0"/>
        <v>Ошибка, не численные значения</v>
      </c>
    </row>
    <row r="10" spans="1:8" x14ac:dyDescent="0.25">
      <c r="A10" s="177" t="str">
        <f>'Инвест политика'!A33</f>
        <v>MAGN</v>
      </c>
      <c r="B10" t="s">
        <v>417</v>
      </c>
      <c r="C10" t="s">
        <v>422</v>
      </c>
      <c r="D10" t="s">
        <v>419</v>
      </c>
      <c r="E10" t="s">
        <v>420</v>
      </c>
      <c r="F10" t="s">
        <v>421</v>
      </c>
      <c r="G10" s="179">
        <f>VLOOKUP(A10,'Инвест политика'!$A$26:$H$130,8,FALSE)</f>
        <v>0</v>
      </c>
      <c r="H10" s="179" t="str">
        <f>Эшелонирование(F10,G10,C10)</f>
        <v>Ошибка, не численные значения</v>
      </c>
    </row>
    <row r="11" spans="1:8" x14ac:dyDescent="0.25">
      <c r="A11" s="177" t="str">
        <f>'Инвест политика'!A34</f>
        <v>NLMK</v>
      </c>
      <c r="B11" t="s">
        <v>417</v>
      </c>
      <c r="C11" t="s">
        <v>422</v>
      </c>
      <c r="D11" t="s">
        <v>419</v>
      </c>
      <c r="E11" t="s">
        <v>420</v>
      </c>
      <c r="F11" t="s">
        <v>421</v>
      </c>
      <c r="G11" s="179">
        <f>VLOOKUP(A11,'Инвест политика'!$A$26:$H$130,8,FALSE)</f>
        <v>0</v>
      </c>
      <c r="H11" s="179" t="str">
        <f t="shared" si="0"/>
        <v>Ошибка, не численные значения</v>
      </c>
    </row>
    <row r="12" spans="1:8" x14ac:dyDescent="0.25">
      <c r="A12" s="177" t="str">
        <f>'Инвест политика'!A35</f>
        <v>RU000A101616</v>
      </c>
      <c r="B12" t="s">
        <v>351</v>
      </c>
      <c r="C12">
        <v>18.940000000000001</v>
      </c>
      <c r="D12">
        <v>150000000</v>
      </c>
      <c r="E12" t="s">
        <v>352</v>
      </c>
      <c r="F12">
        <v>8</v>
      </c>
      <c r="G12" s="179" t="str">
        <f>VLOOKUP(A12,'Инвест политика'!$A$26:$H$130,8,FALSE)</f>
        <v>BB+</v>
      </c>
      <c r="H12" s="179">
        <f t="shared" si="0"/>
        <v>1</v>
      </c>
    </row>
    <row r="13" spans="1:8" x14ac:dyDescent="0.25">
      <c r="A13" s="177" t="str">
        <f>'Инвест политика'!A36</f>
        <v>XS2159874002</v>
      </c>
      <c r="B13" t="s">
        <v>452</v>
      </c>
      <c r="C13">
        <v>7.6870000000000003</v>
      </c>
      <c r="D13">
        <v>1500000000</v>
      </c>
      <c r="E13" t="s">
        <v>354</v>
      </c>
      <c r="F13">
        <v>10</v>
      </c>
      <c r="G13" s="179" t="str">
        <f>VLOOKUP(A13,'Инвест политика'!$A$26:$H$130,8,FALSE)</f>
        <v>BBB</v>
      </c>
      <c r="H13" s="179">
        <f t="shared" si="0"/>
        <v>1</v>
      </c>
    </row>
    <row r="14" spans="1:8" x14ac:dyDescent="0.25">
      <c r="A14" s="177" t="str">
        <f>'Инвест политика'!A37</f>
        <v>XS2134628069</v>
      </c>
      <c r="B14" t="s">
        <v>353</v>
      </c>
      <c r="C14">
        <v>3.8690000000000002</v>
      </c>
      <c r="D14">
        <v>500000000</v>
      </c>
      <c r="E14" t="s">
        <v>354</v>
      </c>
      <c r="F14">
        <v>10</v>
      </c>
      <c r="G14" s="179" t="str">
        <f>VLOOKUP(A14,'Инвест политика'!$A$26:$H$130,8,FALSE)</f>
        <v>BBB-</v>
      </c>
      <c r="H14" s="179">
        <f t="shared" si="0"/>
        <v>1</v>
      </c>
    </row>
    <row r="15" spans="1:8" x14ac:dyDescent="0.25">
      <c r="A15" s="177" t="str">
        <f>'Инвест политика'!A38</f>
        <v>XS2291819980</v>
      </c>
      <c r="B15" t="s">
        <v>423</v>
      </c>
      <c r="C15">
        <v>6.8630000000000004</v>
      </c>
      <c r="D15">
        <v>2000000000</v>
      </c>
      <c r="E15" t="s">
        <v>354</v>
      </c>
      <c r="F15">
        <v>9</v>
      </c>
      <c r="G15" s="179" t="str">
        <f>VLOOKUP(A15,'Инвест политика'!$A$26:$H$130,8,FALSE)</f>
        <v>BBB</v>
      </c>
      <c r="H15" s="179">
        <f t="shared" si="0"/>
        <v>1</v>
      </c>
    </row>
    <row r="16" spans="1:8" x14ac:dyDescent="0.25">
      <c r="A16" s="177" t="str">
        <f>'Инвест политика'!A39</f>
        <v>XS0810596832</v>
      </c>
      <c r="B16" t="s">
        <v>453</v>
      </c>
      <c r="C16">
        <v>1.425</v>
      </c>
      <c r="D16">
        <v>2250000000</v>
      </c>
      <c r="E16" t="s">
        <v>354</v>
      </c>
      <c r="F16">
        <v>10</v>
      </c>
      <c r="G16" s="179" t="str">
        <f>VLOOKUP(A16,'Инвест политика'!$A$26:$H$130,8,FALSE)</f>
        <v>BBB-</v>
      </c>
      <c r="H16" s="179">
        <f t="shared" si="0"/>
        <v>1</v>
      </c>
    </row>
    <row r="17" spans="1:8" x14ac:dyDescent="0.25">
      <c r="A17" s="177" t="str">
        <f>'Инвест политика'!A40</f>
        <v>XS2252958751</v>
      </c>
      <c r="B17" t="s">
        <v>471</v>
      </c>
      <c r="C17">
        <v>5.6150000000000002</v>
      </c>
      <c r="D17">
        <v>1250000000</v>
      </c>
      <c r="E17" t="s">
        <v>354</v>
      </c>
      <c r="F17">
        <v>9</v>
      </c>
      <c r="G17" s="179" t="str">
        <f>VLOOKUP(A17,'Инвест политика'!$A$26:$H$130,8,FALSE)</f>
        <v>BB+</v>
      </c>
      <c r="H17" s="179">
        <f t="shared" si="0"/>
        <v>1</v>
      </c>
    </row>
    <row r="18" spans="1:8" x14ac:dyDescent="0.25">
      <c r="A18" s="177" t="str">
        <f>'Инвест политика'!A41</f>
        <v>XS1449458915</v>
      </c>
      <c r="B18" t="s">
        <v>355</v>
      </c>
      <c r="C18">
        <v>0.16900000000000001</v>
      </c>
      <c r="D18">
        <v>254701000</v>
      </c>
      <c r="E18" t="s">
        <v>354</v>
      </c>
      <c r="F18">
        <v>10</v>
      </c>
      <c r="G18" s="179" t="str">
        <f>VLOOKUP(A18,'Инвест политика'!$A$26:$H$130,8,FALSE)</f>
        <v>BB</v>
      </c>
      <c r="H18" s="179">
        <f t="shared" si="0"/>
        <v>2</v>
      </c>
    </row>
    <row r="19" spans="1:8" x14ac:dyDescent="0.25">
      <c r="A19" s="177" t="str">
        <f>'Инвест политика'!A42</f>
        <v>XS1433454243</v>
      </c>
      <c r="B19" t="s">
        <v>454</v>
      </c>
      <c r="C19">
        <v>1.956</v>
      </c>
      <c r="D19">
        <v>498427000</v>
      </c>
      <c r="E19" t="s">
        <v>354</v>
      </c>
      <c r="F19">
        <v>10</v>
      </c>
      <c r="G19" s="179" t="str">
        <f>VLOOKUP(A19,'Инвест политика'!$A$26:$H$130,8,FALSE)</f>
        <v>BB+</v>
      </c>
      <c r="H19" s="179">
        <f t="shared" si="0"/>
        <v>1</v>
      </c>
    </row>
    <row r="20" spans="1:8" x14ac:dyDescent="0.25">
      <c r="A20" s="177" t="str">
        <f>'Инвест политика'!A43</f>
        <v>CH0385518086</v>
      </c>
      <c r="B20" t="s">
        <v>356</v>
      </c>
      <c r="C20">
        <v>1.4470000000000001</v>
      </c>
      <c r="D20">
        <v>165000000</v>
      </c>
      <c r="E20" t="s">
        <v>357</v>
      </c>
      <c r="F20">
        <v>9</v>
      </c>
      <c r="G20" s="179" t="str">
        <f>VLOOKUP(A20,'Инвест политика'!$A$26:$H$130,8,FALSE)</f>
        <v>BB</v>
      </c>
      <c r="H20" s="179">
        <f t="shared" si="0"/>
        <v>2</v>
      </c>
    </row>
    <row r="21" spans="1:8" x14ac:dyDescent="0.25">
      <c r="A21" s="177" t="str">
        <f>'Инвест политика'!A44</f>
        <v>XS1759468967</v>
      </c>
      <c r="B21" t="s">
        <v>359</v>
      </c>
      <c r="C21">
        <v>1.6340000000000001</v>
      </c>
      <c r="D21">
        <v>500000000</v>
      </c>
      <c r="E21" t="s">
        <v>354</v>
      </c>
      <c r="F21">
        <v>8</v>
      </c>
      <c r="G21" s="179" t="str">
        <f>VLOOKUP(A21,'Инвест политика'!$A$26:$H$130,8,FALSE)</f>
        <v>B+</v>
      </c>
      <c r="H21" s="179">
        <f t="shared" si="0"/>
        <v>2</v>
      </c>
    </row>
    <row r="22" spans="1:8" x14ac:dyDescent="0.25">
      <c r="A22" s="177" t="str">
        <f>'Инвест политика'!A45</f>
        <v>XS1400710726</v>
      </c>
      <c r="B22" t="s">
        <v>360</v>
      </c>
      <c r="C22">
        <v>1.615</v>
      </c>
      <c r="D22">
        <v>700000000</v>
      </c>
      <c r="E22" t="s">
        <v>354</v>
      </c>
      <c r="F22">
        <v>10</v>
      </c>
      <c r="G22" s="179" t="str">
        <f>VLOOKUP(A22,'Инвест политика'!$A$26:$H$130,8,FALSE)</f>
        <v>BB</v>
      </c>
      <c r="H22" s="179">
        <f t="shared" si="0"/>
        <v>2</v>
      </c>
    </row>
    <row r="23" spans="1:8" x14ac:dyDescent="0.25">
      <c r="A23" s="177" t="str">
        <f>'Инвест политика'!A46</f>
        <v>XS1772800204</v>
      </c>
      <c r="B23" t="s">
        <v>361</v>
      </c>
      <c r="C23">
        <v>1.4379999999999999</v>
      </c>
      <c r="D23">
        <v>204719000</v>
      </c>
      <c r="E23" t="s">
        <v>354</v>
      </c>
      <c r="F23">
        <v>10</v>
      </c>
      <c r="G23" s="179" t="str">
        <f>VLOOKUP(A23,'Инвест политика'!$A$26:$H$130,8,FALSE)</f>
        <v>BB</v>
      </c>
      <c r="H23" s="179">
        <f t="shared" si="0"/>
        <v>2</v>
      </c>
    </row>
    <row r="24" spans="1:8" x14ac:dyDescent="0.25">
      <c r="A24" s="177" t="str">
        <f>'Инвест политика'!A47</f>
        <v>XS2010044548</v>
      </c>
      <c r="B24" t="s">
        <v>362</v>
      </c>
      <c r="C24">
        <v>2.899</v>
      </c>
      <c r="D24">
        <v>300000000</v>
      </c>
      <c r="E24" t="s">
        <v>354</v>
      </c>
      <c r="F24">
        <v>8</v>
      </c>
      <c r="G24" s="179" t="str">
        <f>VLOOKUP(A24,'Инвест политика'!$A$26:$H$130,8,FALSE)</f>
        <v>BB-</v>
      </c>
      <c r="H24" s="179">
        <f t="shared" si="0"/>
        <v>2</v>
      </c>
    </row>
    <row r="25" spans="1:8" x14ac:dyDescent="0.25">
      <c r="A25" s="177" t="str">
        <f>'Инвест политика'!A48</f>
        <v>XS2010044381</v>
      </c>
      <c r="B25" t="s">
        <v>363</v>
      </c>
      <c r="C25">
        <v>4.2610000000000001</v>
      </c>
      <c r="D25">
        <v>550000000</v>
      </c>
      <c r="E25" t="s">
        <v>354</v>
      </c>
      <c r="F25">
        <v>10</v>
      </c>
      <c r="G25" s="179" t="str">
        <f>VLOOKUP(A25,'Инвест политика'!$A$26:$H$130,8,FALSE)</f>
        <v>BB</v>
      </c>
      <c r="H25" s="179">
        <f t="shared" si="0"/>
        <v>2</v>
      </c>
    </row>
    <row r="26" spans="1:8" x14ac:dyDescent="0.25">
      <c r="A26" s="177" t="str">
        <f>'Инвест политика'!A49</f>
        <v>RU000A101616</v>
      </c>
      <c r="B26" t="s">
        <v>351</v>
      </c>
      <c r="C26">
        <v>18.940000000000001</v>
      </c>
      <c r="D26">
        <v>150000000</v>
      </c>
      <c r="E26" t="s">
        <v>352</v>
      </c>
      <c r="F26">
        <v>8</v>
      </c>
      <c r="G26" s="179" t="str">
        <f>VLOOKUP(A26,'Инвест политика'!$A$26:$H$130,8,FALSE)</f>
        <v>BB+</v>
      </c>
      <c r="H26" s="179">
        <f t="shared" si="0"/>
        <v>1</v>
      </c>
    </row>
    <row r="27" spans="1:8" x14ac:dyDescent="0.25">
      <c r="A27" s="177" t="str">
        <f>'Инвест политика'!A50</f>
        <v>XS2063279959</v>
      </c>
      <c r="B27" t="s">
        <v>364</v>
      </c>
      <c r="C27">
        <v>3.5350000000000001</v>
      </c>
      <c r="D27">
        <v>850000000</v>
      </c>
      <c r="E27" t="s">
        <v>354</v>
      </c>
      <c r="F27">
        <v>9</v>
      </c>
      <c r="G27" s="179" t="str">
        <f>VLOOKUP(A27,'Инвест политика'!$A$26:$H$130,8,FALSE)</f>
        <v>BB</v>
      </c>
      <c r="H27" s="179">
        <f t="shared" si="0"/>
        <v>2</v>
      </c>
    </row>
    <row r="28" spans="1:8" x14ac:dyDescent="0.25">
      <c r="A28" s="177" t="str">
        <f>'Инвест политика'!A51</f>
        <v>XS2124187571</v>
      </c>
      <c r="B28" t="s">
        <v>366</v>
      </c>
      <c r="C28">
        <v>7.6390000000000002</v>
      </c>
      <c r="D28">
        <v>2000000000</v>
      </c>
      <c r="E28" t="s">
        <v>354</v>
      </c>
      <c r="F28">
        <v>10</v>
      </c>
      <c r="G28" s="179" t="str">
        <f>VLOOKUP(A28,'Инвест политика'!$A$26:$H$130,8,FALSE)</f>
        <v>BBB</v>
      </c>
      <c r="H28" s="179">
        <f t="shared" si="0"/>
        <v>1</v>
      </c>
    </row>
    <row r="29" spans="1:8" x14ac:dyDescent="0.25">
      <c r="A29" s="177" t="str">
        <f>'Инвест политика'!A52</f>
        <v>XS0841671000</v>
      </c>
      <c r="B29" t="s">
        <v>367</v>
      </c>
      <c r="C29">
        <v>1.373</v>
      </c>
      <c r="D29">
        <v>634051000</v>
      </c>
      <c r="E29" t="s">
        <v>354</v>
      </c>
      <c r="F29">
        <v>10</v>
      </c>
      <c r="G29" s="179" t="str">
        <f>VLOOKUP(A29,'Инвест политика'!$A$26:$H$130,8,FALSE)</f>
        <v>BBB</v>
      </c>
      <c r="H29" s="179">
        <f t="shared" si="0"/>
        <v>1</v>
      </c>
    </row>
    <row r="30" spans="1:8" x14ac:dyDescent="0.25">
      <c r="A30" s="177" t="str">
        <f>'Инвест политика'!A53</f>
        <v>XS0800817073</v>
      </c>
      <c r="B30" t="s">
        <v>368</v>
      </c>
      <c r="C30">
        <v>1.089</v>
      </c>
      <c r="D30">
        <v>1000000000</v>
      </c>
      <c r="E30" t="s">
        <v>354</v>
      </c>
      <c r="F30">
        <v>10</v>
      </c>
      <c r="G30" s="179" t="str">
        <f>VLOOKUP(A30,'Инвест политика'!$A$26:$H$130,8,FALSE)</f>
        <v>BBB-</v>
      </c>
      <c r="H30" s="179">
        <f t="shared" si="0"/>
        <v>1</v>
      </c>
    </row>
    <row r="31" spans="1:8" x14ac:dyDescent="0.25">
      <c r="A31" s="177" t="str">
        <f>'Инвест политика'!A54</f>
        <v>XS0830192711</v>
      </c>
      <c r="B31" t="s">
        <v>369</v>
      </c>
      <c r="C31">
        <v>1.3049999999999999</v>
      </c>
      <c r="D31">
        <v>1500000000</v>
      </c>
      <c r="E31" t="s">
        <v>354</v>
      </c>
      <c r="F31">
        <v>10</v>
      </c>
      <c r="G31" s="179" t="str">
        <f>VLOOKUP(A31,'Инвест политика'!$A$26:$H$130,8,FALSE)</f>
        <v>BBB</v>
      </c>
      <c r="H31" s="179">
        <f t="shared" si="0"/>
        <v>1</v>
      </c>
    </row>
    <row r="32" spans="1:8" x14ac:dyDescent="0.25">
      <c r="A32" s="177" t="str">
        <f>'Инвест политика'!A55</f>
        <v>XS2183144810</v>
      </c>
      <c r="B32" t="s">
        <v>370</v>
      </c>
      <c r="C32">
        <v>1.9890000000000001</v>
      </c>
      <c r="D32">
        <v>350000000</v>
      </c>
      <c r="E32" t="s">
        <v>352</v>
      </c>
      <c r="F32">
        <v>9</v>
      </c>
      <c r="G32" s="179" t="str">
        <f>VLOOKUP(A32,'Инвест политика'!$A$26:$H$130,8,FALSE)</f>
        <v>BB</v>
      </c>
      <c r="H32" s="179">
        <f t="shared" si="0"/>
        <v>2</v>
      </c>
    </row>
    <row r="33" spans="1:8" x14ac:dyDescent="0.25">
      <c r="A33" s="177" t="str">
        <f>'Инвест политика'!A56</f>
        <v>XS0861981180</v>
      </c>
      <c r="B33" t="s">
        <v>371</v>
      </c>
      <c r="C33">
        <v>0.79</v>
      </c>
      <c r="D33">
        <v>2000000000</v>
      </c>
      <c r="E33" t="s">
        <v>354</v>
      </c>
      <c r="F33">
        <v>10</v>
      </c>
      <c r="G33" s="179" t="str">
        <f>VLOOKUP(A33,'Инвест политика'!$A$26:$H$130,8,FALSE)</f>
        <v>BBB-</v>
      </c>
      <c r="H33" s="179">
        <f t="shared" si="0"/>
        <v>1</v>
      </c>
    </row>
    <row r="34" spans="1:8" x14ac:dyDescent="0.25">
      <c r="A34" s="177" t="str">
        <f>'Инвест политика'!A57</f>
        <v>XS1622146758</v>
      </c>
      <c r="B34" t="s">
        <v>472</v>
      </c>
      <c r="C34">
        <v>0.64</v>
      </c>
      <c r="D34">
        <v>500000000</v>
      </c>
      <c r="E34" t="s">
        <v>354</v>
      </c>
      <c r="F34">
        <v>10</v>
      </c>
      <c r="G34" s="179" t="str">
        <f>VLOOKUP(A34,'Инвест политика'!$A$26:$H$130,8,FALSE)</f>
        <v>BBB-</v>
      </c>
      <c r="H34" s="179">
        <f t="shared" si="0"/>
        <v>1</v>
      </c>
    </row>
    <row r="35" spans="1:8" x14ac:dyDescent="0.25">
      <c r="A35" s="177" t="str">
        <f>'Инвест политика'!A58</f>
        <v>XS1567051443</v>
      </c>
      <c r="B35" t="s">
        <v>372</v>
      </c>
      <c r="C35">
        <v>0.27500000000000002</v>
      </c>
      <c r="D35">
        <v>500000000</v>
      </c>
      <c r="E35" t="s">
        <v>354</v>
      </c>
      <c r="F35">
        <v>10</v>
      </c>
      <c r="G35" s="179" t="str">
        <f>VLOOKUP(A35,'Инвест политика'!$A$26:$H$130,8,FALSE)</f>
        <v>BBB</v>
      </c>
      <c r="H35" s="179">
        <f t="shared" si="0"/>
        <v>1</v>
      </c>
    </row>
    <row r="36" spans="1:8" x14ac:dyDescent="0.25">
      <c r="A36" s="177" t="str">
        <f>'Инвест политика'!A59</f>
        <v>XS0743596040</v>
      </c>
      <c r="B36" t="s">
        <v>373</v>
      </c>
      <c r="C36">
        <v>0.70499999999999996</v>
      </c>
      <c r="D36">
        <v>1500000000</v>
      </c>
      <c r="E36" t="s">
        <v>354</v>
      </c>
      <c r="F36">
        <v>10</v>
      </c>
      <c r="G36" s="179" t="str">
        <f>VLOOKUP(A36,'Инвест политика'!$A$26:$H$130,8,FALSE)</f>
        <v>BBB-</v>
      </c>
      <c r="H36" s="179">
        <f t="shared" si="0"/>
        <v>1</v>
      </c>
    </row>
    <row r="37" spans="1:8" x14ac:dyDescent="0.25">
      <c r="A37" s="177" t="str">
        <f>'Инвест политика'!A60</f>
        <v>XS1634369067</v>
      </c>
      <c r="B37" t="s">
        <v>374</v>
      </c>
      <c r="C37">
        <v>1.6819999999999999</v>
      </c>
      <c r="D37">
        <v>800000000</v>
      </c>
      <c r="E37" t="s">
        <v>354</v>
      </c>
      <c r="F37">
        <v>10</v>
      </c>
      <c r="G37" s="179" t="str">
        <f>VLOOKUP(A37,'Инвест политика'!$A$26:$H$130,8,FALSE)</f>
        <v>B</v>
      </c>
      <c r="H37" s="179">
        <f t="shared" si="0"/>
        <v>2</v>
      </c>
    </row>
    <row r="38" spans="1:8" x14ac:dyDescent="0.25">
      <c r="A38" s="177" t="str">
        <f>'Инвест политика'!A61</f>
        <v>XS2243631095</v>
      </c>
      <c r="B38" t="s">
        <v>473</v>
      </c>
      <c r="C38">
        <v>4.016</v>
      </c>
      <c r="D38">
        <v>1400000000</v>
      </c>
      <c r="E38" t="s">
        <v>354</v>
      </c>
      <c r="F38">
        <v>9</v>
      </c>
      <c r="G38" s="179" t="str">
        <f>VLOOKUP(A38,'Инвест политика'!$A$26:$H$130,8,FALSE)</f>
        <v>BB+</v>
      </c>
      <c r="H38" s="179">
        <f t="shared" si="0"/>
        <v>1</v>
      </c>
    </row>
    <row r="39" spans="1:8" x14ac:dyDescent="0.25">
      <c r="A39" s="177" t="str">
        <f>'Инвест политика'!A62</f>
        <v>XS1951067039</v>
      </c>
      <c r="B39" t="s">
        <v>358</v>
      </c>
      <c r="C39">
        <v>2.6219999999999999</v>
      </c>
      <c r="D39">
        <v>327228000</v>
      </c>
      <c r="E39" t="s">
        <v>352</v>
      </c>
      <c r="F39">
        <v>10</v>
      </c>
      <c r="G39" s="179" t="str">
        <f>VLOOKUP(A39,'Инвест политика'!$A$26:$H$130,8,FALSE)</f>
        <v>BB-</v>
      </c>
      <c r="H39" s="179">
        <f t="shared" si="0"/>
        <v>2</v>
      </c>
    </row>
    <row r="40" spans="1:8" x14ac:dyDescent="0.25">
      <c r="A40" s="177" t="str">
        <f>'Инвест политика'!A63</f>
        <v>XS2099763075</v>
      </c>
      <c r="B40" t="s">
        <v>365</v>
      </c>
      <c r="C40">
        <v>3.395</v>
      </c>
      <c r="D40">
        <v>541000000</v>
      </c>
      <c r="E40" t="s">
        <v>354</v>
      </c>
      <c r="F40">
        <v>9</v>
      </c>
      <c r="G40" s="179" t="str">
        <f>VLOOKUP(A40,'Инвест политика'!$A$26:$H$130,8,FALSE)</f>
        <v>BB-</v>
      </c>
      <c r="H40" s="179">
        <f t="shared" si="0"/>
        <v>2</v>
      </c>
    </row>
    <row r="41" spans="1:8" x14ac:dyDescent="0.25">
      <c r="A41" s="177" t="str">
        <f>'Инвест политика'!A64</f>
        <v>RU000A0JV508</v>
      </c>
      <c r="B41" t="s">
        <v>376</v>
      </c>
      <c r="C41">
        <v>8.7270000000000003</v>
      </c>
      <c r="D41">
        <v>147163642.56</v>
      </c>
      <c r="E41" t="s">
        <v>375</v>
      </c>
      <c r="F41" t="s">
        <v>424</v>
      </c>
      <c r="G41" s="179" t="str">
        <f>VLOOKUP(A41,'Инвест политика'!$A$26:$H$130,8,FALSE)</f>
        <v>BBB-</v>
      </c>
      <c r="H41" s="179" t="str">
        <f>Эшелонирование(F41,G41,C41)</f>
        <v>Ошибка, не численные значения</v>
      </c>
    </row>
    <row r="42" spans="1:8" x14ac:dyDescent="0.25">
      <c r="A42" s="177" t="str">
        <f>'Инвест политика'!A65</f>
        <v>RU000A0JTX09</v>
      </c>
      <c r="B42" t="s">
        <v>425</v>
      </c>
      <c r="C42">
        <v>0</v>
      </c>
      <c r="D42">
        <v>5000000000</v>
      </c>
      <c r="E42" t="s">
        <v>375</v>
      </c>
      <c r="F42" t="s">
        <v>424</v>
      </c>
      <c r="G42" s="179" t="str">
        <f>VLOOKUP(A42,'Инвест политика'!$A$26:$H$130,8,FALSE)</f>
        <v>D</v>
      </c>
      <c r="H42" s="179" t="str">
        <f t="shared" si="0"/>
        <v>Ошибка, не численные значения</v>
      </c>
    </row>
    <row r="43" spans="1:8" x14ac:dyDescent="0.25">
      <c r="A43" s="177" t="str">
        <f>'Инвест политика'!A66</f>
        <v>RU000A0JWV63</v>
      </c>
      <c r="B43" t="s">
        <v>377</v>
      </c>
      <c r="C43">
        <v>4.024</v>
      </c>
      <c r="D43">
        <v>5000000000</v>
      </c>
      <c r="E43" t="s">
        <v>375</v>
      </c>
      <c r="F43">
        <v>7</v>
      </c>
      <c r="G43" s="179" t="str">
        <f>VLOOKUP(A43,'Инвест политика'!$A$26:$H$130,8,FALSE)</f>
        <v>BB+</v>
      </c>
      <c r="H43" s="179">
        <f t="shared" si="0"/>
        <v>2</v>
      </c>
    </row>
    <row r="44" spans="1:8" x14ac:dyDescent="0.25">
      <c r="A44" s="177" t="str">
        <f>'Инвест политика'!A67</f>
        <v>RU000A0JVUK8</v>
      </c>
      <c r="B44" t="s">
        <v>378</v>
      </c>
      <c r="C44">
        <v>0.87</v>
      </c>
      <c r="D44">
        <v>5000000000</v>
      </c>
      <c r="E44" t="s">
        <v>375</v>
      </c>
      <c r="F44">
        <v>8</v>
      </c>
      <c r="G44" s="179" t="str">
        <f>VLOOKUP(A44,'Инвест политика'!$A$26:$H$130,8,FALSE)</f>
        <v>BB-</v>
      </c>
      <c r="H44" s="179">
        <f t="shared" si="0"/>
        <v>2</v>
      </c>
    </row>
    <row r="45" spans="1:8" x14ac:dyDescent="0.25">
      <c r="A45" s="177" t="str">
        <f>'Инвест политика'!A68</f>
        <v>RU000A0JWYQ5</v>
      </c>
      <c r="B45" t="s">
        <v>379</v>
      </c>
      <c r="C45">
        <v>4.6790000000000003</v>
      </c>
      <c r="D45">
        <v>6500000000</v>
      </c>
      <c r="E45" t="s">
        <v>375</v>
      </c>
      <c r="F45">
        <v>8</v>
      </c>
      <c r="G45" s="179" t="str">
        <f>VLOOKUP(A45,'Инвест политика'!$A$26:$H$130,8,FALSE)</f>
        <v>BB-</v>
      </c>
      <c r="H45" s="179">
        <f t="shared" si="0"/>
        <v>2</v>
      </c>
    </row>
    <row r="46" spans="1:8" x14ac:dyDescent="0.25">
      <c r="A46" s="177" t="str">
        <f>'Инвест политика'!A69</f>
        <v>RU000A100V79</v>
      </c>
      <c r="B46" t="s">
        <v>380</v>
      </c>
      <c r="C46">
        <v>6.1320000000000006</v>
      </c>
      <c r="D46">
        <v>10000000000</v>
      </c>
      <c r="E46" t="s">
        <v>375</v>
      </c>
      <c r="F46">
        <v>7</v>
      </c>
      <c r="G46" s="179" t="str">
        <f>VLOOKUP(A46,'Инвест политика'!$A$26:$H$130,8,FALSE)</f>
        <v>BB-</v>
      </c>
      <c r="H46" s="179">
        <f t="shared" si="0"/>
        <v>2</v>
      </c>
    </row>
    <row r="47" spans="1:8" x14ac:dyDescent="0.25">
      <c r="A47" s="177" t="str">
        <f>'Инвест политика'!A70</f>
        <v>RU000A0JXVE5</v>
      </c>
      <c r="B47" t="s">
        <v>381</v>
      </c>
      <c r="C47">
        <v>1.0720000000000001</v>
      </c>
      <c r="D47">
        <v>20000000000</v>
      </c>
      <c r="E47" t="s">
        <v>375</v>
      </c>
      <c r="F47">
        <v>9</v>
      </c>
      <c r="G47" s="179" t="str">
        <f>VLOOKUP(A47,'Инвест политика'!$A$26:$H$130,8,FALSE)</f>
        <v>BB+</v>
      </c>
      <c r="H47" s="179">
        <f t="shared" si="0"/>
        <v>1</v>
      </c>
    </row>
    <row r="48" spans="1:8" x14ac:dyDescent="0.25">
      <c r="A48" s="177" t="str">
        <f>'Инвест политика'!A71</f>
        <v>RU000A0JX2F6</v>
      </c>
      <c r="B48" t="s">
        <v>382</v>
      </c>
      <c r="C48">
        <v>1.516</v>
      </c>
      <c r="D48">
        <v>5000000000</v>
      </c>
      <c r="E48" t="s">
        <v>375</v>
      </c>
      <c r="F48">
        <v>7</v>
      </c>
      <c r="G48" s="179" t="str">
        <f>VLOOKUP(A48,'Инвест политика'!$A$26:$H$130,8,FALSE)</f>
        <v>BBB-</v>
      </c>
      <c r="H48" s="179">
        <f t="shared" si="0"/>
        <v>2</v>
      </c>
    </row>
    <row r="49" spans="1:8" x14ac:dyDescent="0.25">
      <c r="A49" s="177" t="str">
        <f>'Инвест политика'!A72</f>
        <v>RU000A0JWNB0</v>
      </c>
      <c r="B49" t="s">
        <v>383</v>
      </c>
      <c r="C49">
        <v>0.183</v>
      </c>
      <c r="D49">
        <v>7000000000</v>
      </c>
      <c r="E49" t="s">
        <v>375</v>
      </c>
      <c r="F49">
        <v>5</v>
      </c>
      <c r="G49" s="179" t="str">
        <f>VLOOKUP(A49,'Инвест политика'!$A$26:$H$130,8,FALSE)</f>
        <v>BBB-</v>
      </c>
      <c r="H49" s="179">
        <f t="shared" si="0"/>
        <v>2</v>
      </c>
    </row>
    <row r="50" spans="1:8" x14ac:dyDescent="0.25">
      <c r="A50" s="177" t="str">
        <f>'Инвест политика'!A73</f>
        <v>RU000A0JTM36</v>
      </c>
      <c r="B50" t="s">
        <v>426</v>
      </c>
      <c r="C50">
        <v>1.639</v>
      </c>
      <c r="D50">
        <v>10000000000</v>
      </c>
      <c r="E50" t="s">
        <v>375</v>
      </c>
      <c r="F50">
        <v>9</v>
      </c>
      <c r="G50" s="179" t="str">
        <f>VLOOKUP(A50,'Инвест политика'!$A$26:$H$130,8,FALSE)</f>
        <v>BBB-</v>
      </c>
      <c r="H50" s="179">
        <f t="shared" si="0"/>
        <v>1</v>
      </c>
    </row>
    <row r="51" spans="1:8" x14ac:dyDescent="0.25">
      <c r="A51" s="177" t="str">
        <f>'Инвест политика'!A74</f>
        <v>RU000A0JTM51</v>
      </c>
      <c r="B51" t="s">
        <v>426</v>
      </c>
      <c r="C51">
        <v>1.631</v>
      </c>
      <c r="D51">
        <v>5000000000</v>
      </c>
      <c r="E51" t="s">
        <v>375</v>
      </c>
      <c r="F51">
        <v>9</v>
      </c>
      <c r="G51" s="179" t="str">
        <f>VLOOKUP(A51,'Инвест политика'!$A$26:$H$130,8,FALSE)</f>
        <v>BBB-</v>
      </c>
      <c r="H51" s="179">
        <f t="shared" si="0"/>
        <v>1</v>
      </c>
    </row>
    <row r="52" spans="1:8" x14ac:dyDescent="0.25">
      <c r="A52" s="177" t="str">
        <f>'Инвест политика'!A75</f>
        <v>RU000A101MZ4</v>
      </c>
      <c r="B52" t="s">
        <v>384</v>
      </c>
      <c r="C52">
        <v>1.86</v>
      </c>
      <c r="D52">
        <v>7000000000</v>
      </c>
      <c r="E52" t="s">
        <v>375</v>
      </c>
      <c r="F52">
        <v>6</v>
      </c>
      <c r="G52" s="179" t="str">
        <f>VLOOKUP(A52,'Инвест политика'!$A$26:$H$130,8,FALSE)</f>
        <v>A-</v>
      </c>
      <c r="H52" s="179">
        <f t="shared" si="0"/>
        <v>3</v>
      </c>
    </row>
    <row r="53" spans="1:8" x14ac:dyDescent="0.25">
      <c r="A53" s="177" t="str">
        <f>'Инвест политика'!A76</f>
        <v>RU000A0ZZZN8</v>
      </c>
      <c r="B53" t="s">
        <v>385</v>
      </c>
      <c r="C53">
        <v>0.57899999999999996</v>
      </c>
      <c r="D53">
        <v>1650000000</v>
      </c>
      <c r="E53" t="s">
        <v>375</v>
      </c>
      <c r="F53">
        <v>8</v>
      </c>
      <c r="G53" s="179" t="str">
        <f>VLOOKUP(A53,'Инвест политика'!$A$26:$H$130,8,FALSE)</f>
        <v>BB+</v>
      </c>
      <c r="H53" s="179">
        <f t="shared" si="0"/>
        <v>1</v>
      </c>
    </row>
    <row r="54" spans="1:8" x14ac:dyDescent="0.25">
      <c r="A54" s="177" t="str">
        <f>'Инвест политика'!A77</f>
        <v>RU000A1023K1</v>
      </c>
      <c r="B54" t="s">
        <v>386</v>
      </c>
      <c r="C54">
        <v>6.9450000000000003</v>
      </c>
      <c r="D54">
        <v>10000000000</v>
      </c>
      <c r="E54" t="s">
        <v>375</v>
      </c>
      <c r="F54">
        <v>8</v>
      </c>
      <c r="G54" s="179" t="str">
        <f>VLOOKUP(A54,'Инвест политика'!$A$26:$H$130,8,FALSE)</f>
        <v>BB-</v>
      </c>
      <c r="H54" s="179">
        <f t="shared" si="0"/>
        <v>2</v>
      </c>
    </row>
    <row r="55" spans="1:8" x14ac:dyDescent="0.25">
      <c r="A55" s="177" t="str">
        <f>'Инвест политика'!A78</f>
        <v>RU000A1023H7</v>
      </c>
      <c r="B55" t="s">
        <v>387</v>
      </c>
      <c r="C55">
        <v>1.905</v>
      </c>
      <c r="D55">
        <v>7000000000</v>
      </c>
      <c r="E55" t="s">
        <v>375</v>
      </c>
      <c r="F55" t="s">
        <v>424</v>
      </c>
      <c r="G55" s="179" t="str">
        <f>VLOOKUP(A55,'Инвест политика'!$A$26:$H$130,8,FALSE)</f>
        <v>A-</v>
      </c>
      <c r="H55" s="179" t="str">
        <f t="shared" si="0"/>
        <v>Ошибка, не численные значения</v>
      </c>
    </row>
    <row r="56" spans="1:8" x14ac:dyDescent="0.25">
      <c r="A56" s="177" t="str">
        <f>'Инвест политика'!A79</f>
        <v>RU000A102GY7</v>
      </c>
      <c r="B56" t="s">
        <v>388</v>
      </c>
      <c r="C56">
        <v>2.37</v>
      </c>
      <c r="D56">
        <v>4000000000</v>
      </c>
      <c r="E56" t="s">
        <v>375</v>
      </c>
      <c r="F56">
        <v>6</v>
      </c>
      <c r="G56" s="179" t="str">
        <f>VLOOKUP(A56,'Инвест политика'!$A$26:$H$130,8,FALSE)</f>
        <v>BB</v>
      </c>
      <c r="H56" s="179">
        <f t="shared" si="0"/>
        <v>3</v>
      </c>
    </row>
    <row r="57" spans="1:8" x14ac:dyDescent="0.25">
      <c r="A57" s="177" t="str">
        <f>'Инвест политика'!A80</f>
        <v>RU000A102RF3</v>
      </c>
      <c r="B57" t="s">
        <v>455</v>
      </c>
      <c r="C57">
        <v>2.5209999999999999</v>
      </c>
      <c r="D57">
        <v>5000000000</v>
      </c>
      <c r="E57" t="s">
        <v>375</v>
      </c>
      <c r="F57">
        <v>7</v>
      </c>
      <c r="G57" s="179" t="str">
        <f>VLOOKUP(A57,'Инвест политика'!$A$26:$H$130,8,FALSE)</f>
        <v>BB-</v>
      </c>
      <c r="H57" s="179">
        <f t="shared" si="0"/>
        <v>2</v>
      </c>
    </row>
    <row r="58" spans="1:8" x14ac:dyDescent="0.25">
      <c r="A58" s="177" t="str">
        <f>'Инвест политика'!A81</f>
        <v>RU000A102SV8</v>
      </c>
      <c r="B58" t="s">
        <v>474</v>
      </c>
      <c r="C58">
        <v>7.0680000000000005</v>
      </c>
      <c r="D58">
        <v>5000000000</v>
      </c>
      <c r="E58" t="s">
        <v>375</v>
      </c>
      <c r="F58">
        <v>7</v>
      </c>
      <c r="G58" s="179" t="str">
        <f>VLOOKUP(A58,'Инвест политика'!$A$26:$H$130,8,FALSE)</f>
        <v>BB-</v>
      </c>
      <c r="H58" s="179">
        <f t="shared" si="0"/>
        <v>2</v>
      </c>
    </row>
    <row r="59" spans="1:8" x14ac:dyDescent="0.25">
      <c r="A59" s="177" t="str">
        <f>'Инвест политика'!A82</f>
        <v>RU000A0JW1P8</v>
      </c>
      <c r="B59" t="s">
        <v>389</v>
      </c>
      <c r="C59">
        <v>1.516</v>
      </c>
      <c r="D59">
        <v>4000000000</v>
      </c>
      <c r="E59" t="s">
        <v>375</v>
      </c>
      <c r="F59">
        <v>8</v>
      </c>
      <c r="G59" s="179" t="str">
        <f>VLOOKUP(A59,'Инвест политика'!$A$26:$H$130,8,FALSE)</f>
        <v>BB+</v>
      </c>
      <c r="H59" s="179">
        <f t="shared" si="0"/>
        <v>1</v>
      </c>
    </row>
    <row r="60" spans="1:8" x14ac:dyDescent="0.25">
      <c r="A60" s="177" t="str">
        <f>'Инвест политика'!A83</f>
        <v>RU000A0JV508</v>
      </c>
      <c r="B60" t="s">
        <v>376</v>
      </c>
      <c r="C60">
        <v>8.7270000000000003</v>
      </c>
      <c r="D60">
        <v>147163642.56</v>
      </c>
      <c r="E60" t="s">
        <v>375</v>
      </c>
      <c r="F60" t="s">
        <v>424</v>
      </c>
      <c r="G60" s="179" t="str">
        <f>VLOOKUP(A60,'Инвест политика'!$A$26:$H$130,8,FALSE)</f>
        <v>BBB-</v>
      </c>
      <c r="H60" s="179" t="str">
        <f t="shared" si="0"/>
        <v>Ошибка, не численные значения</v>
      </c>
    </row>
    <row r="61" spans="1:8" x14ac:dyDescent="0.25">
      <c r="A61" s="177" t="str">
        <f>'Инвест политика'!A84</f>
        <v>RU000A0JWV63</v>
      </c>
      <c r="B61" t="s">
        <v>377</v>
      </c>
      <c r="C61">
        <v>4.024</v>
      </c>
      <c r="D61">
        <v>5000000000</v>
      </c>
      <c r="E61" t="s">
        <v>375</v>
      </c>
      <c r="F61">
        <v>7</v>
      </c>
      <c r="G61" s="179" t="str">
        <f>VLOOKUP(A61,'Инвест политика'!$A$26:$H$130,8,FALSE)</f>
        <v>BB+</v>
      </c>
      <c r="H61" s="179">
        <f t="shared" si="0"/>
        <v>2</v>
      </c>
    </row>
    <row r="62" spans="1:8" x14ac:dyDescent="0.25">
      <c r="A62" s="177" t="str">
        <f>'Инвест политика'!A85</f>
        <v>RU000A0ZYNY4</v>
      </c>
      <c r="B62" t="s">
        <v>475</v>
      </c>
      <c r="C62">
        <v>8.2490000000000006</v>
      </c>
      <c r="D62">
        <v>10000000000</v>
      </c>
      <c r="E62" t="s">
        <v>375</v>
      </c>
      <c r="F62">
        <v>8</v>
      </c>
      <c r="G62" s="179" t="str">
        <f>VLOOKUP(A62,'Инвест политика'!$A$26:$H$130,8,FALSE)</f>
        <v>BB+</v>
      </c>
      <c r="H62" s="179">
        <f t="shared" si="0"/>
        <v>1</v>
      </c>
    </row>
    <row r="63" spans="1:8" x14ac:dyDescent="0.25">
      <c r="A63" s="177" t="str">
        <f>'Инвест политика'!A86</f>
        <v>RU000A0ZYR91</v>
      </c>
      <c r="B63" t="s">
        <v>674</v>
      </c>
      <c r="C63">
        <v>8.3140000000000001</v>
      </c>
      <c r="D63">
        <v>10000000000</v>
      </c>
      <c r="E63" t="s">
        <v>375</v>
      </c>
      <c r="F63">
        <v>9</v>
      </c>
      <c r="G63" s="179" t="str">
        <f>VLOOKUP(A63,'Инвест политика'!$A$26:$H$130,8,FALSE)</f>
        <v>BB+</v>
      </c>
      <c r="H63" s="179">
        <f t="shared" si="0"/>
        <v>1</v>
      </c>
    </row>
    <row r="64" spans="1:8" x14ac:dyDescent="0.25">
      <c r="A64" s="177" t="str">
        <f>'Инвест политика'!A87</f>
        <v>RU000A0JVUK8</v>
      </c>
      <c r="B64" t="s">
        <v>378</v>
      </c>
      <c r="C64">
        <v>0.87</v>
      </c>
      <c r="D64">
        <v>5000000000</v>
      </c>
      <c r="E64" t="s">
        <v>375</v>
      </c>
      <c r="F64">
        <v>8</v>
      </c>
      <c r="G64" s="179" t="str">
        <f>VLOOKUP(A64,'Инвест политика'!$A$26:$H$130,8,FALSE)</f>
        <v>BB-</v>
      </c>
      <c r="H64" s="179">
        <f t="shared" si="0"/>
        <v>2</v>
      </c>
    </row>
    <row r="65" spans="1:8" x14ac:dyDescent="0.25">
      <c r="A65" s="177" t="str">
        <f>'Инвест политика'!A88</f>
        <v>RU000A0ZZ1J8</v>
      </c>
      <c r="B65" t="s">
        <v>390</v>
      </c>
      <c r="C65">
        <v>7.9329999999999998</v>
      </c>
      <c r="D65">
        <v>10000000000</v>
      </c>
      <c r="E65" t="s">
        <v>375</v>
      </c>
      <c r="F65">
        <v>9</v>
      </c>
      <c r="G65" s="179" t="str">
        <f>VLOOKUP(A65,'Инвест политика'!$A$26:$H$130,8,FALSE)</f>
        <v>BB+</v>
      </c>
      <c r="H65" s="179">
        <f t="shared" si="0"/>
        <v>1</v>
      </c>
    </row>
    <row r="66" spans="1:8" x14ac:dyDescent="0.25">
      <c r="A66" s="177" t="str">
        <f>'Инвест политика'!A89</f>
        <v>RU000A0ZZAW2</v>
      </c>
      <c r="B66" t="s">
        <v>391</v>
      </c>
      <c r="C66">
        <v>0.10100000000000001</v>
      </c>
      <c r="D66">
        <v>6000000000</v>
      </c>
      <c r="E66" t="s">
        <v>375</v>
      </c>
      <c r="F66">
        <v>9</v>
      </c>
      <c r="G66" s="179" t="str">
        <f>VLOOKUP(A66,'Инвест политика'!$A$26:$H$130,8,FALSE)</f>
        <v>BB-</v>
      </c>
      <c r="H66" s="179">
        <f t="shared" si="0"/>
        <v>2</v>
      </c>
    </row>
    <row r="67" spans="1:8" x14ac:dyDescent="0.25">
      <c r="A67" s="177" t="str">
        <f>'Инвест политика'!A90</f>
        <v>RU000A0JWYQ5</v>
      </c>
      <c r="B67" t="s">
        <v>379</v>
      </c>
      <c r="C67">
        <v>4.6790000000000003</v>
      </c>
      <c r="D67">
        <v>6500000000</v>
      </c>
      <c r="E67" t="s">
        <v>375</v>
      </c>
      <c r="F67">
        <v>8</v>
      </c>
      <c r="G67" s="179" t="str">
        <f>VLOOKUP(A67,'Инвест политика'!$A$26:$H$130,8,FALSE)</f>
        <v>BB-</v>
      </c>
      <c r="H67" s="179">
        <f t="shared" si="0"/>
        <v>2</v>
      </c>
    </row>
    <row r="68" spans="1:8" x14ac:dyDescent="0.25">
      <c r="A68" s="177" t="str">
        <f>'Инвест политика'!A91</f>
        <v>RU000A0JVA10</v>
      </c>
      <c r="B68" t="s">
        <v>392</v>
      </c>
      <c r="C68">
        <v>2.113</v>
      </c>
      <c r="D68">
        <v>5000000000</v>
      </c>
      <c r="E68" t="s">
        <v>375</v>
      </c>
      <c r="F68">
        <v>8</v>
      </c>
      <c r="G68" s="179" t="str">
        <f>VLOOKUP(A68,'Инвест политика'!$A$26:$H$130,8,FALSE)</f>
        <v>BB+</v>
      </c>
      <c r="H68" s="179">
        <f t="shared" ref="H68:H131" si="1">Эшелонирование(F68,G68,C68)</f>
        <v>1</v>
      </c>
    </row>
    <row r="69" spans="1:8" x14ac:dyDescent="0.25">
      <c r="A69" s="177" t="str">
        <f>'Инвест политика'!A92</f>
        <v>RU000A0JWPA7</v>
      </c>
      <c r="B69" t="s">
        <v>393</v>
      </c>
      <c r="C69">
        <v>0.20300000000000001</v>
      </c>
      <c r="D69">
        <v>7000000000</v>
      </c>
      <c r="E69" t="s">
        <v>375</v>
      </c>
      <c r="F69">
        <v>8</v>
      </c>
      <c r="G69" s="179" t="str">
        <f>VLOOKUP(A69,'Инвест политика'!$A$26:$H$130,8,FALSE)</f>
        <v>BB+</v>
      </c>
      <c r="H69" s="179">
        <f t="shared" si="1"/>
        <v>1</v>
      </c>
    </row>
    <row r="70" spans="1:8" x14ac:dyDescent="0.25">
      <c r="A70" s="177" t="str">
        <f>'Инвест политика'!A93</f>
        <v>RU000A0JVVA7</v>
      </c>
      <c r="B70" t="s">
        <v>394</v>
      </c>
      <c r="C70">
        <v>1.3240000000000001</v>
      </c>
      <c r="D70">
        <v>9000000000</v>
      </c>
      <c r="E70" t="s">
        <v>375</v>
      </c>
      <c r="F70">
        <v>8</v>
      </c>
      <c r="G70" s="179" t="str">
        <f>VLOOKUP(A70,'Инвест политика'!$A$26:$H$130,8,FALSE)</f>
        <v>BBB</v>
      </c>
      <c r="H70" s="179">
        <f t="shared" si="1"/>
        <v>1</v>
      </c>
    </row>
    <row r="71" spans="1:8" x14ac:dyDescent="0.25">
      <c r="A71" s="177" t="str">
        <f>'Инвест политика'!A94</f>
        <v>RU000A0JTVJ2</v>
      </c>
      <c r="B71" t="s">
        <v>395</v>
      </c>
      <c r="C71">
        <v>0.89</v>
      </c>
      <c r="D71">
        <v>10000000000</v>
      </c>
      <c r="E71" t="s">
        <v>375</v>
      </c>
      <c r="F71">
        <v>8</v>
      </c>
      <c r="G71" s="179" t="str">
        <f>VLOOKUP(A71,'Инвест политика'!$A$26:$H$130,8,FALSE)</f>
        <v>BB+</v>
      </c>
      <c r="H71" s="179">
        <f t="shared" si="1"/>
        <v>1</v>
      </c>
    </row>
    <row r="72" spans="1:8" x14ac:dyDescent="0.25">
      <c r="A72" s="177" t="str">
        <f>'Инвест политика'!A95</f>
        <v>RU000A100VX2</v>
      </c>
      <c r="B72" t="s">
        <v>396</v>
      </c>
      <c r="C72">
        <v>6.242</v>
      </c>
      <c r="D72">
        <v>7000000000</v>
      </c>
      <c r="E72" t="s">
        <v>375</v>
      </c>
      <c r="F72">
        <v>6</v>
      </c>
      <c r="G72" s="179" t="str">
        <f>VLOOKUP(A72,'Инвест политика'!$A$26:$H$130,8,FALSE)</f>
        <v>BBB-</v>
      </c>
      <c r="H72" s="179">
        <f t="shared" si="1"/>
        <v>2</v>
      </c>
    </row>
    <row r="73" spans="1:8" x14ac:dyDescent="0.25">
      <c r="A73" s="177" t="str">
        <f>'Инвест политика'!A96</f>
        <v>RU000A1008V9</v>
      </c>
      <c r="B73" t="s">
        <v>397</v>
      </c>
      <c r="C73">
        <v>0</v>
      </c>
      <c r="D73">
        <v>13400000000</v>
      </c>
      <c r="E73" t="s">
        <v>375</v>
      </c>
      <c r="F73">
        <v>8</v>
      </c>
      <c r="G73" s="179" t="str">
        <f>VLOOKUP(A73,'Инвест политика'!$A$26:$H$130,8,FALSE)</f>
        <v>BBB</v>
      </c>
      <c r="H73" s="179">
        <f t="shared" si="1"/>
        <v>2</v>
      </c>
    </row>
    <row r="74" spans="1:8" x14ac:dyDescent="0.25">
      <c r="A74" s="177" t="str">
        <f>'Инвест политика'!A97</f>
        <v>RU000A0JXVE5</v>
      </c>
      <c r="B74" t="s">
        <v>381</v>
      </c>
      <c r="C74">
        <v>1.0720000000000001</v>
      </c>
      <c r="D74">
        <v>20000000000</v>
      </c>
      <c r="E74" t="s">
        <v>375</v>
      </c>
      <c r="F74">
        <v>9</v>
      </c>
      <c r="G74" s="179" t="str">
        <f>VLOOKUP(A74,'Инвест политика'!$A$26:$H$130,8,FALSE)</f>
        <v>BB+</v>
      </c>
      <c r="H74" s="179">
        <f t="shared" si="1"/>
        <v>1</v>
      </c>
    </row>
    <row r="75" spans="1:8" x14ac:dyDescent="0.25">
      <c r="A75" s="177" t="str">
        <f>'Инвест политика'!A98</f>
        <v>RU000A101D13</v>
      </c>
      <c r="B75" t="s">
        <v>398</v>
      </c>
      <c r="C75">
        <v>1.5960000000000001</v>
      </c>
      <c r="D75">
        <v>10000000000</v>
      </c>
      <c r="E75" t="s">
        <v>375</v>
      </c>
      <c r="F75">
        <v>8</v>
      </c>
      <c r="G75" s="179" t="str">
        <f>VLOOKUP(A75,'Инвест политика'!$A$26:$H$130,8,FALSE)</f>
        <v>BB-</v>
      </c>
      <c r="H75" s="179">
        <f t="shared" si="1"/>
        <v>2</v>
      </c>
    </row>
    <row r="76" spans="1:8" x14ac:dyDescent="0.25">
      <c r="A76" s="177" t="str">
        <f>'Инвест политика'!A99</f>
        <v>RU000A0JX1S1</v>
      </c>
      <c r="B76" t="s">
        <v>399</v>
      </c>
      <c r="C76">
        <v>1.4850000000000001</v>
      </c>
      <c r="D76">
        <v>15000000000</v>
      </c>
      <c r="E76" t="s">
        <v>375</v>
      </c>
      <c r="F76">
        <v>8</v>
      </c>
      <c r="G76" s="179" t="str">
        <f>VLOOKUP(A76,'Инвест политика'!$A$26:$H$130,8,FALSE)</f>
        <v>BBB</v>
      </c>
      <c r="H76" s="179">
        <f t="shared" si="1"/>
        <v>1</v>
      </c>
    </row>
    <row r="77" spans="1:8" x14ac:dyDescent="0.25">
      <c r="A77" s="177" t="str">
        <f>'Инвест политика'!A100</f>
        <v>RU000A101KK0</v>
      </c>
      <c r="B77" t="s">
        <v>400</v>
      </c>
      <c r="C77">
        <v>2.597</v>
      </c>
      <c r="D77">
        <v>6500000000</v>
      </c>
      <c r="E77" t="s">
        <v>375</v>
      </c>
      <c r="F77">
        <v>7</v>
      </c>
      <c r="G77" s="179" t="str">
        <f>VLOOKUP(A77,'Инвест политика'!$A$26:$H$130,8,FALSE)</f>
        <v>BBB</v>
      </c>
      <c r="H77" s="179">
        <f t="shared" si="1"/>
        <v>3</v>
      </c>
    </row>
    <row r="78" spans="1:8" x14ac:dyDescent="0.25">
      <c r="A78" s="177" t="str">
        <f>'Инвест политика'!A101</f>
        <v>XS1946883342</v>
      </c>
      <c r="B78" t="s">
        <v>401</v>
      </c>
      <c r="C78">
        <v>1.1520000000000001</v>
      </c>
      <c r="D78">
        <v>10000000000</v>
      </c>
      <c r="E78" t="s">
        <v>375</v>
      </c>
      <c r="F78">
        <v>8</v>
      </c>
      <c r="G78" s="179" t="str">
        <f>VLOOKUP(A78,'Инвест политика'!$A$26:$H$130,8,FALSE)</f>
        <v>BB+</v>
      </c>
      <c r="H78" s="179">
        <f t="shared" si="1"/>
        <v>1</v>
      </c>
    </row>
    <row r="79" spans="1:8" x14ac:dyDescent="0.25">
      <c r="A79" s="177" t="str">
        <f>'Инвест политика'!A102</f>
        <v>RU000A101MZ4</v>
      </c>
      <c r="B79" t="s">
        <v>384</v>
      </c>
      <c r="C79">
        <v>1.86</v>
      </c>
      <c r="D79">
        <v>7000000000</v>
      </c>
      <c r="E79" t="s">
        <v>375</v>
      </c>
      <c r="F79">
        <v>6</v>
      </c>
      <c r="G79" s="179" t="str">
        <f>VLOOKUP(A79,'Инвест политика'!$A$26:$H$130,8,FALSE)</f>
        <v>A-</v>
      </c>
      <c r="H79" s="179">
        <f t="shared" si="1"/>
        <v>3</v>
      </c>
    </row>
    <row r="80" spans="1:8" x14ac:dyDescent="0.25">
      <c r="A80" s="177" t="str">
        <f>'Инвест политика'!A103</f>
        <v>RU000A101S81</v>
      </c>
      <c r="B80" t="s">
        <v>402</v>
      </c>
      <c r="C80">
        <v>6.8129999999999997</v>
      </c>
      <c r="D80">
        <v>10000000000</v>
      </c>
      <c r="E80" t="s">
        <v>375</v>
      </c>
      <c r="F80">
        <v>7</v>
      </c>
      <c r="G80" s="179" t="str">
        <f>VLOOKUP(A80,'Инвест политика'!$A$26:$H$130,8,FALSE)</f>
        <v>BB-</v>
      </c>
      <c r="H80" s="179">
        <f t="shared" si="1"/>
        <v>2</v>
      </c>
    </row>
    <row r="81" spans="1:8" x14ac:dyDescent="0.25">
      <c r="A81" s="177" t="str">
        <f>'Инвест политика'!A104</f>
        <v>RU000A0ZZZN8</v>
      </c>
      <c r="B81" t="s">
        <v>385</v>
      </c>
      <c r="C81">
        <v>0.57899999999999996</v>
      </c>
      <c r="D81">
        <v>1650000000</v>
      </c>
      <c r="E81" t="s">
        <v>375</v>
      </c>
      <c r="F81">
        <v>8</v>
      </c>
      <c r="G81" s="179" t="str">
        <f>VLOOKUP(A81,'Инвест политика'!$A$26:$H$130,8,FALSE)</f>
        <v>BB+</v>
      </c>
      <c r="H81" s="179">
        <f t="shared" si="1"/>
        <v>1</v>
      </c>
    </row>
    <row r="82" spans="1:8" x14ac:dyDescent="0.25">
      <c r="A82" s="177" t="str">
        <f>'Инвест политика'!A105</f>
        <v>XS1691350455</v>
      </c>
      <c r="B82" t="s">
        <v>403</v>
      </c>
      <c r="C82">
        <v>1.073</v>
      </c>
      <c r="D82">
        <v>20000000000</v>
      </c>
      <c r="E82" t="s">
        <v>375</v>
      </c>
      <c r="F82">
        <v>9</v>
      </c>
      <c r="G82" s="179" t="str">
        <f>VLOOKUP(A82,'Инвест политика'!$A$26:$H$130,8,FALSE)</f>
        <v>BBB-</v>
      </c>
      <c r="H82" s="179">
        <f t="shared" si="1"/>
        <v>1</v>
      </c>
    </row>
    <row r="83" spans="1:8" x14ac:dyDescent="0.25">
      <c r="A83" s="177" t="str">
        <f>'Инвест политика'!A106</f>
        <v>RU000A0JTLJ3</v>
      </c>
      <c r="B83" t="s">
        <v>404</v>
      </c>
      <c r="C83">
        <v>1.589</v>
      </c>
      <c r="D83">
        <v>5000000000</v>
      </c>
      <c r="E83" t="s">
        <v>375</v>
      </c>
      <c r="F83">
        <v>8</v>
      </c>
      <c r="G83" s="179" t="str">
        <f>VLOOKUP(A83,'Инвест политика'!$A$26:$H$130,8,FALSE)</f>
        <v>BB+</v>
      </c>
      <c r="H83" s="179">
        <f t="shared" si="1"/>
        <v>1</v>
      </c>
    </row>
    <row r="84" spans="1:8" x14ac:dyDescent="0.25">
      <c r="A84" s="177" t="str">
        <f>'Инвест политика'!A107</f>
        <v>RU000A0JTLL9</v>
      </c>
      <c r="B84" t="s">
        <v>404</v>
      </c>
      <c r="C84">
        <v>1.589</v>
      </c>
      <c r="D84">
        <v>5000000000</v>
      </c>
      <c r="E84" t="s">
        <v>375</v>
      </c>
      <c r="F84">
        <v>7</v>
      </c>
      <c r="G84" s="179" t="str">
        <f>VLOOKUP(A84,'Инвест политика'!$A$26:$H$130,8,FALSE)</f>
        <v>BB+</v>
      </c>
      <c r="H84" s="179">
        <f t="shared" si="1"/>
        <v>2</v>
      </c>
    </row>
    <row r="85" spans="1:8" x14ac:dyDescent="0.25">
      <c r="A85" s="177" t="str">
        <f>'Инвест политика'!A108</f>
        <v>RU000A0JRMB2</v>
      </c>
      <c r="B85" t="s">
        <v>476</v>
      </c>
      <c r="C85">
        <v>0.123</v>
      </c>
      <c r="D85">
        <v>5000000000</v>
      </c>
      <c r="E85" t="s">
        <v>375</v>
      </c>
      <c r="F85">
        <v>8</v>
      </c>
      <c r="G85" s="179" t="str">
        <f>VLOOKUP(A85,'Инвест политика'!$A$26:$H$130,8,FALSE)</f>
        <v>BB+</v>
      </c>
      <c r="H85" s="179">
        <f t="shared" si="1"/>
        <v>1</v>
      </c>
    </row>
    <row r="86" spans="1:8" x14ac:dyDescent="0.25">
      <c r="A86" s="177" t="str">
        <f>'Инвест политика'!A109</f>
        <v>RU000A0JRL96</v>
      </c>
      <c r="B86" t="s">
        <v>477</v>
      </c>
      <c r="C86">
        <v>0.107</v>
      </c>
      <c r="D86">
        <v>10000000000</v>
      </c>
      <c r="E86" t="s">
        <v>375</v>
      </c>
      <c r="F86">
        <v>8</v>
      </c>
      <c r="G86" s="179" t="str">
        <f>VLOOKUP(A86,'Инвест политика'!$A$26:$H$130,8,FALSE)</f>
        <v>BBB-</v>
      </c>
      <c r="H86" s="179">
        <f t="shared" si="1"/>
        <v>1</v>
      </c>
    </row>
    <row r="87" spans="1:8" x14ac:dyDescent="0.25">
      <c r="A87" s="177" t="str">
        <f>'Инвест политика'!A110</f>
        <v>RU000A102Y58</v>
      </c>
      <c r="B87" t="s">
        <v>675</v>
      </c>
      <c r="C87">
        <v>0</v>
      </c>
      <c r="D87">
        <v>6000000000</v>
      </c>
      <c r="E87" t="s">
        <v>375</v>
      </c>
      <c r="F87" t="s">
        <v>424</v>
      </c>
      <c r="G87" s="179" t="str">
        <f>VLOOKUP(A87,'Инвест политика'!$A$26:$H$130,8,FALSE)</f>
        <v>B+</v>
      </c>
      <c r="H87" s="179" t="str">
        <f t="shared" si="1"/>
        <v>Ошибка, не численные значения</v>
      </c>
    </row>
    <row r="88" spans="1:8" x14ac:dyDescent="0.25">
      <c r="A88" s="177" t="str">
        <f>'Инвест политика'!A111</f>
        <v>RU000A0JS5R1</v>
      </c>
      <c r="B88" t="s">
        <v>676</v>
      </c>
      <c r="C88">
        <v>0.81800000000000006</v>
      </c>
      <c r="D88">
        <v>5000000000</v>
      </c>
      <c r="E88" t="s">
        <v>375</v>
      </c>
      <c r="F88">
        <v>7</v>
      </c>
      <c r="G88" s="179" t="str">
        <f>VLOOKUP(A88,'Инвест политика'!$A$26:$H$130,8,FALSE)</f>
        <v>BB</v>
      </c>
      <c r="H88" s="179">
        <f t="shared" si="1"/>
        <v>3</v>
      </c>
    </row>
    <row r="89" spans="1:8" x14ac:dyDescent="0.25">
      <c r="A89" s="177" t="str">
        <f>'Инвест политика'!A112</f>
        <v>RU000A0JS603</v>
      </c>
      <c r="B89" t="s">
        <v>677</v>
      </c>
      <c r="C89">
        <v>1.1910000000000001</v>
      </c>
      <c r="D89">
        <v>5000000000</v>
      </c>
      <c r="E89" t="s">
        <v>375</v>
      </c>
      <c r="F89">
        <v>7</v>
      </c>
      <c r="G89" s="179" t="str">
        <f>VLOOKUP(A89,'Инвест политика'!$A$26:$H$130,8,FALSE)</f>
        <v>BB</v>
      </c>
      <c r="H89" s="179">
        <f t="shared" si="1"/>
        <v>3</v>
      </c>
    </row>
    <row r="90" spans="1:8" x14ac:dyDescent="0.25">
      <c r="A90" s="177" t="str">
        <f>'Инвест политика'!A113</f>
        <v>RU000A0ZYZ26</v>
      </c>
      <c r="B90" t="s">
        <v>405</v>
      </c>
      <c r="C90">
        <v>6.1790000000000003</v>
      </c>
      <c r="D90">
        <v>276950000000</v>
      </c>
      <c r="E90" t="s">
        <v>375</v>
      </c>
      <c r="F90">
        <v>8</v>
      </c>
      <c r="G90" s="179" t="str">
        <f>VLOOKUP(A90,'Инвест политика'!$A$26:$H$130,8,FALSE)</f>
        <v>BBB-</v>
      </c>
      <c r="H90" s="179">
        <f t="shared" si="1"/>
        <v>1</v>
      </c>
    </row>
    <row r="91" spans="1:8" x14ac:dyDescent="0.25">
      <c r="A91" s="177" t="str">
        <f>'Инвест политика'!A114</f>
        <v>RU000A1007F4</v>
      </c>
      <c r="B91" t="s">
        <v>407</v>
      </c>
      <c r="C91">
        <v>2.8340000000000001</v>
      </c>
      <c r="D91">
        <v>400000000000</v>
      </c>
      <c r="E91" t="s">
        <v>375</v>
      </c>
      <c r="F91">
        <v>9</v>
      </c>
      <c r="G91" s="179" t="str">
        <f>VLOOKUP(A91,'Инвест политика'!$A$26:$H$130,8,FALSE)</f>
        <v>BBB-</v>
      </c>
      <c r="H91" s="179">
        <f t="shared" si="1"/>
        <v>1</v>
      </c>
    </row>
    <row r="92" spans="1:8" x14ac:dyDescent="0.25">
      <c r="A92" s="177" t="str">
        <f>'Инвест политика'!A115</f>
        <v>RU000A100EG3</v>
      </c>
      <c r="B92" t="s">
        <v>408</v>
      </c>
      <c r="C92">
        <v>3.8090000000000002</v>
      </c>
      <c r="D92">
        <v>450000000000</v>
      </c>
      <c r="E92" t="s">
        <v>375</v>
      </c>
      <c r="F92">
        <v>10</v>
      </c>
      <c r="G92" s="179" t="str">
        <f>VLOOKUP(A92,'Инвест политика'!$A$26:$H$130,8,FALSE)</f>
        <v>BBB-</v>
      </c>
      <c r="H92" s="179">
        <f t="shared" si="1"/>
        <v>1</v>
      </c>
    </row>
    <row r="93" spans="1:8" x14ac:dyDescent="0.25">
      <c r="A93" s="177" t="str">
        <f>'Инвест политика'!A116</f>
        <v>RU000A1014N4</v>
      </c>
      <c r="B93" t="s">
        <v>409</v>
      </c>
      <c r="C93">
        <v>5.36</v>
      </c>
      <c r="D93">
        <v>450000000000</v>
      </c>
      <c r="E93" t="s">
        <v>375</v>
      </c>
      <c r="F93">
        <v>9</v>
      </c>
      <c r="G93" s="179" t="str">
        <f>VLOOKUP(A93,'Инвест политика'!$A$26:$H$130,8,FALSE)</f>
        <v>BBB-</v>
      </c>
      <c r="H93" s="179">
        <f t="shared" si="1"/>
        <v>1</v>
      </c>
    </row>
    <row r="94" spans="1:8" x14ac:dyDescent="0.25">
      <c r="A94" s="177" t="str">
        <f>'Инвест политика'!A117</f>
        <v>RU000A0JS3W6</v>
      </c>
      <c r="B94" t="s">
        <v>410</v>
      </c>
      <c r="C94">
        <v>4.6360000000000001</v>
      </c>
      <c r="D94">
        <v>350000000000</v>
      </c>
      <c r="E94" t="s">
        <v>375</v>
      </c>
      <c r="F94">
        <v>10</v>
      </c>
      <c r="G94" s="179" t="str">
        <f>VLOOKUP(A94,'Инвест политика'!$A$26:$H$130,8,FALSE)</f>
        <v>BBB-</v>
      </c>
      <c r="H94" s="179">
        <f t="shared" si="1"/>
        <v>1</v>
      </c>
    </row>
    <row r="95" spans="1:8" x14ac:dyDescent="0.25">
      <c r="A95" s="177" t="str">
        <f>'Инвест политика'!A118</f>
        <v>RU000A0JS3W6</v>
      </c>
      <c r="B95" t="s">
        <v>410</v>
      </c>
      <c r="C95">
        <v>4.6360000000000001</v>
      </c>
      <c r="D95">
        <v>350000000000</v>
      </c>
      <c r="E95" t="s">
        <v>375</v>
      </c>
      <c r="F95">
        <v>10</v>
      </c>
      <c r="G95" s="179" t="str">
        <f>VLOOKUP(A95,'Инвест политика'!$A$26:$H$130,8,FALSE)</f>
        <v>BBB-</v>
      </c>
      <c r="H95" s="179">
        <f t="shared" si="1"/>
        <v>1</v>
      </c>
    </row>
    <row r="96" spans="1:8" x14ac:dyDescent="0.25">
      <c r="A96" s="177" t="str">
        <f>'Инвест политика'!A119</f>
        <v>RU000A0JWM07</v>
      </c>
      <c r="B96" t="s">
        <v>411</v>
      </c>
      <c r="C96">
        <v>4.45</v>
      </c>
      <c r="D96">
        <v>350000000000</v>
      </c>
      <c r="E96" t="s">
        <v>375</v>
      </c>
      <c r="F96">
        <v>10</v>
      </c>
      <c r="G96" s="179" t="str">
        <f>VLOOKUP(A96,'Инвест политика'!$A$26:$H$130,8,FALSE)</f>
        <v>BBB-</v>
      </c>
      <c r="H96" s="179">
        <f t="shared" si="1"/>
        <v>1</v>
      </c>
    </row>
    <row r="97" spans="1:8" x14ac:dyDescent="0.25">
      <c r="A97" s="177" t="str">
        <f>'Инвест политика'!A120</f>
        <v>RU000A0JV4M0</v>
      </c>
      <c r="B97" t="s">
        <v>456</v>
      </c>
      <c r="C97">
        <v>4.9809999999999999</v>
      </c>
      <c r="D97">
        <v>190287001000</v>
      </c>
      <c r="E97" t="s">
        <v>375</v>
      </c>
      <c r="F97">
        <v>9</v>
      </c>
      <c r="G97" s="179" t="str">
        <f>VLOOKUP(A97,'Инвест политика'!$A$26:$H$130,8,FALSE)</f>
        <v>BBB-</v>
      </c>
      <c r="H97" s="179">
        <f t="shared" si="1"/>
        <v>1</v>
      </c>
    </row>
    <row r="98" spans="1:8" x14ac:dyDescent="0.25">
      <c r="A98" s="177" t="str">
        <f>'Инвест политика'!A121</f>
        <v>BANEP</v>
      </c>
      <c r="B98" t="s">
        <v>417</v>
      </c>
      <c r="C98" t="s">
        <v>422</v>
      </c>
      <c r="D98" t="s">
        <v>419</v>
      </c>
      <c r="E98" t="s">
        <v>420</v>
      </c>
      <c r="F98" t="s">
        <v>421</v>
      </c>
      <c r="G98" s="179">
        <f>VLOOKUP(A98,'Инвест политика'!$A$26:$H$130,8,FALSE)</f>
        <v>0</v>
      </c>
      <c r="H98" s="179" t="str">
        <f t="shared" si="1"/>
        <v>Ошибка, не численные значения</v>
      </c>
    </row>
    <row r="99" spans="1:8" x14ac:dyDescent="0.25">
      <c r="A99" s="177" t="str">
        <f>'Инвест политика'!A122</f>
        <v>TRNFP</v>
      </c>
      <c r="B99" t="s">
        <v>417</v>
      </c>
      <c r="C99" t="s">
        <v>422</v>
      </c>
      <c r="D99" t="s">
        <v>419</v>
      </c>
      <c r="E99" t="s">
        <v>420</v>
      </c>
      <c r="F99" t="s">
        <v>421</v>
      </c>
      <c r="G99" s="179">
        <f>VLOOKUP(A99,'Инвест политика'!$A$26:$H$130,8,FALSE)</f>
        <v>0</v>
      </c>
      <c r="H99" s="179" t="str">
        <f t="shared" si="1"/>
        <v>Ошибка, не численные значения</v>
      </c>
    </row>
    <row r="100" spans="1:8" x14ac:dyDescent="0.25">
      <c r="A100" s="177" t="str">
        <f>'Инвест политика'!A123</f>
        <v>RU000A102CL3</v>
      </c>
      <c r="B100" t="s">
        <v>412</v>
      </c>
      <c r="C100">
        <v>10.366</v>
      </c>
      <c r="D100">
        <v>1250000000</v>
      </c>
      <c r="E100" t="s">
        <v>352</v>
      </c>
      <c r="F100">
        <v>8</v>
      </c>
      <c r="G100" s="179" t="str">
        <f>VLOOKUP(A100,'Инвест политика'!$A$26:$H$130,8,FALSE)</f>
        <v>BBB-</v>
      </c>
      <c r="H100" s="179">
        <f t="shared" si="1"/>
        <v>1</v>
      </c>
    </row>
    <row r="101" spans="1:8" x14ac:dyDescent="0.25">
      <c r="A101" s="177" t="str">
        <f>'Инвест политика'!A124</f>
        <v>RU000A102CL3</v>
      </c>
      <c r="B101" t="s">
        <v>412</v>
      </c>
      <c r="C101">
        <v>10.366</v>
      </c>
      <c r="D101">
        <v>1250000000</v>
      </c>
      <c r="E101" t="s">
        <v>352</v>
      </c>
      <c r="F101">
        <v>8</v>
      </c>
      <c r="G101" s="179" t="str">
        <f>VLOOKUP(A101,'Инвест политика'!$A$26:$H$130,8,FALSE)</f>
        <v>BBB-</v>
      </c>
      <c r="H101" s="179">
        <f t="shared" si="1"/>
        <v>1</v>
      </c>
    </row>
    <row r="102" spans="1:8" x14ac:dyDescent="0.25">
      <c r="A102" s="177">
        <f>'Инвест политика'!A125</f>
        <v>0</v>
      </c>
      <c r="B102" t="s">
        <v>427</v>
      </c>
      <c r="C102" t="s">
        <v>422</v>
      </c>
      <c r="D102">
        <v>0</v>
      </c>
      <c r="E102" t="s">
        <v>375</v>
      </c>
      <c r="F102" t="s">
        <v>424</v>
      </c>
      <c r="G102" s="179" t="e">
        <f>VLOOKUP(A102,'Инвест политика'!$A$26:$H$130,8,FALSE)</f>
        <v>#N/A</v>
      </c>
      <c r="H102" s="179" t="str">
        <f t="shared" si="1"/>
        <v>Ошибка, не численные значения</v>
      </c>
    </row>
    <row r="103" spans="1:8" x14ac:dyDescent="0.25">
      <c r="A103" s="177">
        <f>'Инвест политика'!A126</f>
        <v>0</v>
      </c>
      <c r="B103" t="s">
        <v>427</v>
      </c>
      <c r="C103" t="s">
        <v>422</v>
      </c>
      <c r="D103">
        <v>0</v>
      </c>
      <c r="E103" t="s">
        <v>375</v>
      </c>
      <c r="F103" t="s">
        <v>424</v>
      </c>
      <c r="G103" s="179" t="e">
        <f>VLOOKUP(A103,'Инвест политика'!$A$26:$H$130,8,FALSE)</f>
        <v>#N/A</v>
      </c>
      <c r="H103" s="179" t="str">
        <f t="shared" si="1"/>
        <v>Ошибка, не численные значения</v>
      </c>
    </row>
    <row r="104" spans="1:8" x14ac:dyDescent="0.25">
      <c r="A104" s="177">
        <f>'Инвест политика'!A127</f>
        <v>0</v>
      </c>
      <c r="B104" t="s">
        <v>427</v>
      </c>
      <c r="C104" t="s">
        <v>422</v>
      </c>
      <c r="D104">
        <v>0</v>
      </c>
      <c r="E104" t="s">
        <v>375</v>
      </c>
      <c r="F104" t="s">
        <v>424</v>
      </c>
      <c r="G104" s="179" t="e">
        <f>VLOOKUP(A104,'Инвест политика'!$A$26:$H$130,8,FALSE)</f>
        <v>#N/A</v>
      </c>
      <c r="H104" s="179" t="str">
        <f t="shared" si="1"/>
        <v>Ошибка, не численные значения</v>
      </c>
    </row>
    <row r="105" spans="1:8" x14ac:dyDescent="0.25">
      <c r="A105" s="177">
        <f>'Инвест политика'!A128</f>
        <v>0</v>
      </c>
      <c r="B105" t="s">
        <v>427</v>
      </c>
      <c r="C105" t="s">
        <v>422</v>
      </c>
      <c r="D105">
        <v>0</v>
      </c>
      <c r="E105" t="s">
        <v>375</v>
      </c>
      <c r="F105" t="s">
        <v>424</v>
      </c>
      <c r="G105" s="179" t="e">
        <f>VLOOKUP(A105,'Инвест политика'!$A$26:$H$130,8,FALSE)</f>
        <v>#N/A</v>
      </c>
      <c r="H105" s="179" t="str">
        <f t="shared" si="1"/>
        <v>Ошибка, не численные значения</v>
      </c>
    </row>
    <row r="106" spans="1:8" x14ac:dyDescent="0.25">
      <c r="A106" s="177">
        <f>'Инвест политика'!A129</f>
        <v>0</v>
      </c>
      <c r="B106" t="s">
        <v>427</v>
      </c>
      <c r="C106" t="s">
        <v>422</v>
      </c>
      <c r="D106">
        <v>0</v>
      </c>
      <c r="E106" t="s">
        <v>375</v>
      </c>
      <c r="F106" t="s">
        <v>424</v>
      </c>
      <c r="G106" s="179" t="e">
        <f>VLOOKUP(A106,'Инвест политика'!$A$26:$H$130,8,FALSE)</f>
        <v>#N/A</v>
      </c>
      <c r="H106" s="179" t="str">
        <f t="shared" si="1"/>
        <v>Ошибка, не численные значения</v>
      </c>
    </row>
    <row r="107" spans="1:8" x14ac:dyDescent="0.25">
      <c r="A107" s="177">
        <f>'Инвест политика'!A130</f>
        <v>0</v>
      </c>
      <c r="B107" t="s">
        <v>427</v>
      </c>
      <c r="C107" t="s">
        <v>422</v>
      </c>
      <c r="D107">
        <v>0</v>
      </c>
      <c r="E107" t="s">
        <v>375</v>
      </c>
      <c r="F107" t="s">
        <v>424</v>
      </c>
      <c r="G107" s="179" t="e">
        <f>VLOOKUP(A107,'Инвест политика'!$A$26:$H$130,8,FALSE)</f>
        <v>#N/A</v>
      </c>
      <c r="H107" s="179" t="str">
        <f t="shared" si="1"/>
        <v>Ошибка, не численные значения</v>
      </c>
    </row>
    <row r="108" spans="1:8" x14ac:dyDescent="0.25">
      <c r="A108" s="177">
        <f>'Инвест политика'!A131</f>
        <v>0</v>
      </c>
      <c r="B108" t="s">
        <v>427</v>
      </c>
      <c r="C108" t="s">
        <v>422</v>
      </c>
      <c r="D108">
        <v>0</v>
      </c>
      <c r="E108" t="s">
        <v>375</v>
      </c>
      <c r="F108" t="s">
        <v>424</v>
      </c>
      <c r="G108" s="179" t="e">
        <f>VLOOKUP(A108,'Инвест политика'!$A$26:$H$130,8,FALSE)</f>
        <v>#N/A</v>
      </c>
      <c r="H108" s="179" t="str">
        <f t="shared" si="1"/>
        <v>Ошибка, не численные значения</v>
      </c>
    </row>
    <row r="109" spans="1:8" x14ac:dyDescent="0.25">
      <c r="A109" s="177">
        <f>'Инвест политика'!A132</f>
        <v>0</v>
      </c>
      <c r="B109" t="s">
        <v>427</v>
      </c>
      <c r="C109" t="s">
        <v>422</v>
      </c>
      <c r="D109">
        <v>0</v>
      </c>
      <c r="E109" t="s">
        <v>375</v>
      </c>
      <c r="F109" t="s">
        <v>424</v>
      </c>
      <c r="G109" s="179" t="e">
        <f>VLOOKUP(A109,'Инвест политика'!$A$26:$H$130,8,FALSE)</f>
        <v>#N/A</v>
      </c>
      <c r="H109" s="179" t="str">
        <f t="shared" si="1"/>
        <v>Ошибка, не численные значения</v>
      </c>
    </row>
    <row r="110" spans="1:8" x14ac:dyDescent="0.25">
      <c r="A110" s="177">
        <f>'Инвест политика'!A133</f>
        <v>0</v>
      </c>
      <c r="B110" t="s">
        <v>427</v>
      </c>
      <c r="C110" t="s">
        <v>422</v>
      </c>
      <c r="D110">
        <v>0</v>
      </c>
      <c r="E110" t="s">
        <v>375</v>
      </c>
      <c r="F110" t="s">
        <v>424</v>
      </c>
      <c r="G110" s="179" t="e">
        <f>VLOOKUP(A110,'Инвест политика'!$A$26:$H$130,8,FALSE)</f>
        <v>#N/A</v>
      </c>
      <c r="H110" s="179" t="str">
        <f t="shared" si="1"/>
        <v>Ошибка, не численные значения</v>
      </c>
    </row>
    <row r="111" spans="1:8" x14ac:dyDescent="0.25">
      <c r="A111" s="177">
        <f>'Инвест политика'!A134</f>
        <v>0</v>
      </c>
      <c r="B111" t="s">
        <v>427</v>
      </c>
      <c r="C111" t="s">
        <v>422</v>
      </c>
      <c r="D111">
        <v>0</v>
      </c>
      <c r="E111" t="s">
        <v>375</v>
      </c>
      <c r="F111" t="s">
        <v>424</v>
      </c>
      <c r="G111" s="179" t="e">
        <f>VLOOKUP(A111,'Инвест политика'!$A$26:$H$130,8,FALSE)</f>
        <v>#N/A</v>
      </c>
      <c r="H111" s="179" t="str">
        <f t="shared" si="1"/>
        <v>Ошибка, не численные значения</v>
      </c>
    </row>
    <row r="112" spans="1:8" x14ac:dyDescent="0.25">
      <c r="A112" s="177">
        <f>'Инвест политика'!A135</f>
        <v>0</v>
      </c>
      <c r="B112" t="s">
        <v>427</v>
      </c>
      <c r="C112" t="s">
        <v>422</v>
      </c>
      <c r="D112">
        <v>0</v>
      </c>
      <c r="E112" t="s">
        <v>375</v>
      </c>
      <c r="F112" t="s">
        <v>424</v>
      </c>
      <c r="G112" s="179" t="e">
        <f>VLOOKUP(A112,'Инвест политика'!$A$26:$H$130,8,FALSE)</f>
        <v>#N/A</v>
      </c>
      <c r="H112" s="179" t="str">
        <f t="shared" si="1"/>
        <v>Ошибка, не численные значения</v>
      </c>
    </row>
    <row r="113" spans="1:8" x14ac:dyDescent="0.25">
      <c r="A113" s="177">
        <f>'Инвест политика'!A136</f>
        <v>0</v>
      </c>
      <c r="B113" t="s">
        <v>427</v>
      </c>
      <c r="C113" t="s">
        <v>422</v>
      </c>
      <c r="D113">
        <v>0</v>
      </c>
      <c r="E113" t="s">
        <v>375</v>
      </c>
      <c r="F113" t="s">
        <v>424</v>
      </c>
      <c r="G113" s="179" t="e">
        <f>VLOOKUP(A113,'Инвест политика'!$A$26:$H$130,8,FALSE)</f>
        <v>#N/A</v>
      </c>
      <c r="H113" s="179" t="str">
        <f t="shared" si="1"/>
        <v>Ошибка, не численные значения</v>
      </c>
    </row>
    <row r="114" spans="1:8" x14ac:dyDescent="0.25">
      <c r="A114" s="177">
        <f>'Инвест политика'!A137</f>
        <v>0</v>
      </c>
      <c r="B114" t="s">
        <v>427</v>
      </c>
      <c r="C114" t="s">
        <v>422</v>
      </c>
      <c r="D114">
        <v>0</v>
      </c>
      <c r="E114" t="s">
        <v>375</v>
      </c>
      <c r="F114" t="s">
        <v>424</v>
      </c>
      <c r="G114" s="179" t="e">
        <f>VLOOKUP(A114,'Инвест политика'!$A$26:$H$130,8,FALSE)</f>
        <v>#N/A</v>
      </c>
      <c r="H114" s="179" t="str">
        <f t="shared" si="1"/>
        <v>Ошибка, не численные значения</v>
      </c>
    </row>
    <row r="115" spans="1:8" x14ac:dyDescent="0.25">
      <c r="A115" s="177">
        <f>'Инвест политика'!A138</f>
        <v>0</v>
      </c>
      <c r="B115" t="s">
        <v>427</v>
      </c>
      <c r="C115" t="s">
        <v>422</v>
      </c>
      <c r="D115">
        <v>0</v>
      </c>
      <c r="E115" t="s">
        <v>375</v>
      </c>
      <c r="F115" t="s">
        <v>424</v>
      </c>
      <c r="G115" s="179" t="e">
        <f>VLOOKUP(A115,'Инвест политика'!$A$26:$H$130,8,FALSE)</f>
        <v>#N/A</v>
      </c>
      <c r="H115" s="179" t="str">
        <f t="shared" si="1"/>
        <v>Ошибка, не численные значения</v>
      </c>
    </row>
    <row r="116" spans="1:8" x14ac:dyDescent="0.25">
      <c r="A116" s="177">
        <f>'Инвест политика'!A139</f>
        <v>0</v>
      </c>
      <c r="B116" t="s">
        <v>427</v>
      </c>
      <c r="C116" t="s">
        <v>422</v>
      </c>
      <c r="D116">
        <v>0</v>
      </c>
      <c r="E116" t="s">
        <v>375</v>
      </c>
      <c r="F116" t="s">
        <v>424</v>
      </c>
      <c r="G116" s="179" t="e">
        <f>VLOOKUP(A116,'Инвест политика'!$A$26:$H$130,8,FALSE)</f>
        <v>#N/A</v>
      </c>
      <c r="H116" s="179" t="str">
        <f t="shared" si="1"/>
        <v>Ошибка, не численные значения</v>
      </c>
    </row>
    <row r="117" spans="1:8" x14ac:dyDescent="0.25">
      <c r="A117" s="177">
        <f>'Инвест политика'!A140</f>
        <v>0</v>
      </c>
      <c r="B117" t="s">
        <v>427</v>
      </c>
      <c r="C117" t="s">
        <v>422</v>
      </c>
      <c r="D117">
        <v>0</v>
      </c>
      <c r="E117" t="s">
        <v>375</v>
      </c>
      <c r="F117" t="s">
        <v>424</v>
      </c>
      <c r="G117" s="179" t="e">
        <f>VLOOKUP(A117,'Инвест политика'!$A$26:$H$130,8,FALSE)</f>
        <v>#N/A</v>
      </c>
      <c r="H117" s="179" t="str">
        <f t="shared" si="1"/>
        <v>Ошибка, не численные значения</v>
      </c>
    </row>
    <row r="118" spans="1:8" x14ac:dyDescent="0.25">
      <c r="A118" s="177">
        <f>'Инвест политика'!A141</f>
        <v>0</v>
      </c>
      <c r="B118" t="s">
        <v>427</v>
      </c>
      <c r="C118" t="s">
        <v>422</v>
      </c>
      <c r="D118">
        <v>0</v>
      </c>
      <c r="E118" t="s">
        <v>375</v>
      </c>
      <c r="F118" t="s">
        <v>424</v>
      </c>
      <c r="G118" s="179" t="e">
        <f>VLOOKUP(A118,'Инвест политика'!$A$26:$H$130,8,FALSE)</f>
        <v>#N/A</v>
      </c>
      <c r="H118" s="179" t="str">
        <f t="shared" si="1"/>
        <v>Ошибка, не численные значения</v>
      </c>
    </row>
    <row r="119" spans="1:8" x14ac:dyDescent="0.25">
      <c r="A119" s="177">
        <f>'Инвест политика'!A142</f>
        <v>0</v>
      </c>
      <c r="B119" t="s">
        <v>427</v>
      </c>
      <c r="C119" t="s">
        <v>422</v>
      </c>
      <c r="D119">
        <v>0</v>
      </c>
      <c r="E119" t="s">
        <v>375</v>
      </c>
      <c r="F119" t="s">
        <v>424</v>
      </c>
      <c r="G119" s="179" t="e">
        <f>VLOOKUP(A119,'Инвест политика'!$A$26:$H$130,8,FALSE)</f>
        <v>#N/A</v>
      </c>
      <c r="H119" s="179" t="str">
        <f t="shared" si="1"/>
        <v>Ошибка, не численные значения</v>
      </c>
    </row>
    <row r="120" spans="1:8" x14ac:dyDescent="0.25">
      <c r="A120" s="177">
        <f>'Инвест политика'!A143</f>
        <v>0</v>
      </c>
      <c r="B120" t="s">
        <v>427</v>
      </c>
      <c r="C120" t="s">
        <v>422</v>
      </c>
      <c r="D120">
        <v>0</v>
      </c>
      <c r="E120" t="s">
        <v>375</v>
      </c>
      <c r="F120" t="s">
        <v>424</v>
      </c>
      <c r="G120" s="179" t="e">
        <f>VLOOKUP(A120,'Инвест политика'!$A$26:$H$130,8,FALSE)</f>
        <v>#N/A</v>
      </c>
      <c r="H120" s="179" t="str">
        <f t="shared" si="1"/>
        <v>Ошибка, не численные значения</v>
      </c>
    </row>
    <row r="121" spans="1:8" x14ac:dyDescent="0.25">
      <c r="A121" s="177">
        <f>'Инвест политика'!A144</f>
        <v>0</v>
      </c>
      <c r="B121" t="s">
        <v>427</v>
      </c>
      <c r="C121" t="s">
        <v>422</v>
      </c>
      <c r="D121">
        <v>0</v>
      </c>
      <c r="E121" t="s">
        <v>375</v>
      </c>
      <c r="F121" t="s">
        <v>424</v>
      </c>
      <c r="G121" s="179" t="e">
        <f>VLOOKUP(A121,'Инвест политика'!$A$26:$H$130,8,FALSE)</f>
        <v>#N/A</v>
      </c>
      <c r="H121" s="179" t="str">
        <f t="shared" si="1"/>
        <v>Ошибка, не численные значения</v>
      </c>
    </row>
    <row r="122" spans="1:8" x14ac:dyDescent="0.25">
      <c r="A122" s="177">
        <f>'Инвест политика'!A145</f>
        <v>0</v>
      </c>
      <c r="B122" t="s">
        <v>427</v>
      </c>
      <c r="C122" t="s">
        <v>422</v>
      </c>
      <c r="D122">
        <v>0</v>
      </c>
      <c r="E122" t="s">
        <v>375</v>
      </c>
      <c r="F122" t="s">
        <v>424</v>
      </c>
      <c r="G122" s="179" t="e">
        <f>VLOOKUP(A122,'Инвест политика'!$A$26:$H$130,8,FALSE)</f>
        <v>#N/A</v>
      </c>
      <c r="H122" s="179" t="str">
        <f t="shared" si="1"/>
        <v>Ошибка, не численные значения</v>
      </c>
    </row>
    <row r="123" spans="1:8" x14ac:dyDescent="0.25">
      <c r="A123" s="177">
        <f>'Инвест политика'!A146</f>
        <v>0</v>
      </c>
      <c r="B123" t="s">
        <v>427</v>
      </c>
      <c r="C123" t="s">
        <v>422</v>
      </c>
      <c r="D123">
        <v>0</v>
      </c>
      <c r="E123" t="s">
        <v>375</v>
      </c>
      <c r="F123" t="s">
        <v>424</v>
      </c>
      <c r="G123" s="179" t="e">
        <f>VLOOKUP(A123,'Инвест политика'!$A$26:$H$130,8,FALSE)</f>
        <v>#N/A</v>
      </c>
      <c r="H123" s="179" t="str">
        <f t="shared" si="1"/>
        <v>Ошибка, не численные значения</v>
      </c>
    </row>
    <row r="124" spans="1:8" x14ac:dyDescent="0.25">
      <c r="A124" s="177">
        <f>'Инвест политика'!A147</f>
        <v>0</v>
      </c>
      <c r="B124" t="s">
        <v>427</v>
      </c>
      <c r="C124" t="s">
        <v>422</v>
      </c>
      <c r="D124">
        <v>0</v>
      </c>
      <c r="E124" t="s">
        <v>375</v>
      </c>
      <c r="F124" t="s">
        <v>424</v>
      </c>
      <c r="G124" s="179" t="e">
        <f>VLOOKUP(A124,'Инвест политика'!$A$26:$H$130,8,FALSE)</f>
        <v>#N/A</v>
      </c>
      <c r="H124" s="179" t="str">
        <f t="shared" si="1"/>
        <v>Ошибка, не численные значения</v>
      </c>
    </row>
    <row r="125" spans="1:8" x14ac:dyDescent="0.25">
      <c r="A125" s="177">
        <f>'Инвест политика'!A148</f>
        <v>0</v>
      </c>
      <c r="B125" t="s">
        <v>427</v>
      </c>
      <c r="C125" t="s">
        <v>422</v>
      </c>
      <c r="D125">
        <v>0</v>
      </c>
      <c r="E125" t="s">
        <v>375</v>
      </c>
      <c r="F125" t="s">
        <v>424</v>
      </c>
      <c r="G125" s="179" t="e">
        <f>VLOOKUP(A125,'Инвест политика'!$A$26:$H$130,8,FALSE)</f>
        <v>#N/A</v>
      </c>
      <c r="H125" s="179" t="str">
        <f t="shared" si="1"/>
        <v>Ошибка, не численные значения</v>
      </c>
    </row>
    <row r="126" spans="1:8" x14ac:dyDescent="0.25">
      <c r="A126" s="177">
        <f>'Инвест политика'!A149</f>
        <v>0</v>
      </c>
      <c r="B126" t="s">
        <v>427</v>
      </c>
      <c r="C126" t="s">
        <v>422</v>
      </c>
      <c r="D126">
        <v>0</v>
      </c>
      <c r="E126" t="s">
        <v>375</v>
      </c>
      <c r="F126" t="s">
        <v>424</v>
      </c>
      <c r="G126" s="179" t="e">
        <f>VLOOKUP(A126,'Инвест политика'!$A$26:$H$130,8,FALSE)</f>
        <v>#N/A</v>
      </c>
      <c r="H126" s="179" t="str">
        <f t="shared" si="1"/>
        <v>Ошибка, не численные значения</v>
      </c>
    </row>
    <row r="127" spans="1:8" x14ac:dyDescent="0.25">
      <c r="A127" s="177">
        <f>'Инвест политика'!A150</f>
        <v>0</v>
      </c>
      <c r="B127" t="s">
        <v>427</v>
      </c>
      <c r="C127" t="s">
        <v>422</v>
      </c>
      <c r="D127">
        <v>0</v>
      </c>
      <c r="E127" t="s">
        <v>375</v>
      </c>
      <c r="F127" t="s">
        <v>424</v>
      </c>
      <c r="G127" s="179" t="e">
        <f>VLOOKUP(A127,'Инвест политика'!$A$26:$H$130,8,FALSE)</f>
        <v>#N/A</v>
      </c>
      <c r="H127" s="179" t="str">
        <f t="shared" si="1"/>
        <v>Ошибка, не численные значения</v>
      </c>
    </row>
    <row r="128" spans="1:8" x14ac:dyDescent="0.25">
      <c r="A128" s="177">
        <f>'Инвест политика'!A151</f>
        <v>0</v>
      </c>
      <c r="B128" t="s">
        <v>427</v>
      </c>
      <c r="C128" t="s">
        <v>422</v>
      </c>
      <c r="D128">
        <v>0</v>
      </c>
      <c r="E128" t="s">
        <v>375</v>
      </c>
      <c r="F128" t="s">
        <v>424</v>
      </c>
      <c r="G128" s="179" t="e">
        <f>VLOOKUP(A128,'Инвест политика'!$A$26:$H$130,8,FALSE)</f>
        <v>#N/A</v>
      </c>
      <c r="H128" s="179" t="str">
        <f t="shared" si="1"/>
        <v>Ошибка, не численные значения</v>
      </c>
    </row>
    <row r="129" spans="1:8" x14ac:dyDescent="0.25">
      <c r="A129" s="177">
        <f>'Инвест политика'!A152</f>
        <v>0</v>
      </c>
      <c r="B129" t="s">
        <v>427</v>
      </c>
      <c r="C129" t="s">
        <v>422</v>
      </c>
      <c r="D129">
        <v>0</v>
      </c>
      <c r="E129" t="s">
        <v>375</v>
      </c>
      <c r="F129" t="s">
        <v>424</v>
      </c>
      <c r="G129" s="179" t="e">
        <f>VLOOKUP(A129,'Инвест политика'!$A$26:$H$130,8,FALSE)</f>
        <v>#N/A</v>
      </c>
      <c r="H129" s="179" t="str">
        <f t="shared" si="1"/>
        <v>Ошибка, не численные значения</v>
      </c>
    </row>
    <row r="130" spans="1:8" x14ac:dyDescent="0.25">
      <c r="A130" s="177">
        <f>'Инвест политика'!A153</f>
        <v>0</v>
      </c>
      <c r="B130" t="s">
        <v>427</v>
      </c>
      <c r="C130" t="s">
        <v>422</v>
      </c>
      <c r="D130">
        <v>0</v>
      </c>
      <c r="E130" t="s">
        <v>375</v>
      </c>
      <c r="F130" t="s">
        <v>424</v>
      </c>
      <c r="G130" s="179" t="e">
        <f>VLOOKUP(A130,'Инвест политика'!$A$26:$H$130,8,FALSE)</f>
        <v>#N/A</v>
      </c>
      <c r="H130" s="179" t="str">
        <f t="shared" si="1"/>
        <v>Ошибка, не численные значения</v>
      </c>
    </row>
    <row r="131" spans="1:8" x14ac:dyDescent="0.25">
      <c r="A131" s="177">
        <f>'Инвест политика'!A154</f>
        <v>0</v>
      </c>
      <c r="B131" t="s">
        <v>427</v>
      </c>
      <c r="C131" t="s">
        <v>422</v>
      </c>
      <c r="D131">
        <v>0</v>
      </c>
      <c r="E131" t="s">
        <v>375</v>
      </c>
      <c r="F131" t="s">
        <v>424</v>
      </c>
      <c r="G131" s="179" t="e">
        <f>VLOOKUP(A131,'Инвест политика'!$A$26:$H$130,8,FALSE)</f>
        <v>#N/A</v>
      </c>
      <c r="H131" s="179" t="str">
        <f t="shared" si="1"/>
        <v>Ошибка, не численные значения</v>
      </c>
    </row>
    <row r="132" spans="1:8" x14ac:dyDescent="0.25">
      <c r="A132" s="177">
        <f>'Инвест политика'!A155</f>
        <v>0</v>
      </c>
      <c r="B132" t="s">
        <v>427</v>
      </c>
      <c r="C132" t="s">
        <v>422</v>
      </c>
      <c r="D132">
        <v>0</v>
      </c>
      <c r="E132" t="s">
        <v>375</v>
      </c>
      <c r="F132" t="s">
        <v>424</v>
      </c>
      <c r="G132" s="179" t="e">
        <f>VLOOKUP(A132,'Инвест политика'!$A$26:$H$130,8,FALSE)</f>
        <v>#N/A</v>
      </c>
      <c r="H132" s="179" t="str">
        <f t="shared" ref="H132:H161" si="2">Эшелонирование(F132,G132,C132)</f>
        <v>Ошибка, не численные значения</v>
      </c>
    </row>
    <row r="133" spans="1:8" x14ac:dyDescent="0.25">
      <c r="A133" s="177">
        <f>'Инвест политика'!A156</f>
        <v>0</v>
      </c>
      <c r="B133" t="s">
        <v>427</v>
      </c>
      <c r="C133" t="s">
        <v>422</v>
      </c>
      <c r="D133">
        <v>0</v>
      </c>
      <c r="E133" t="s">
        <v>375</v>
      </c>
      <c r="F133" t="s">
        <v>424</v>
      </c>
      <c r="G133" s="179" t="e">
        <f>VLOOKUP(A133,'Инвест политика'!$A$26:$H$130,8,FALSE)</f>
        <v>#N/A</v>
      </c>
      <c r="H133" s="179" t="str">
        <f t="shared" si="2"/>
        <v>Ошибка, не численные значения</v>
      </c>
    </row>
    <row r="134" spans="1:8" x14ac:dyDescent="0.25">
      <c r="A134" s="177">
        <f>'Инвест политика'!A157</f>
        <v>0</v>
      </c>
      <c r="B134" t="s">
        <v>427</v>
      </c>
      <c r="C134" t="s">
        <v>422</v>
      </c>
      <c r="D134">
        <v>0</v>
      </c>
      <c r="E134" t="s">
        <v>375</v>
      </c>
      <c r="F134" t="s">
        <v>424</v>
      </c>
      <c r="G134" s="179" t="e">
        <f>VLOOKUP(A134,'Инвест политика'!$A$26:$H$130,8,FALSE)</f>
        <v>#N/A</v>
      </c>
      <c r="H134" s="179" t="str">
        <f t="shared" si="2"/>
        <v>Ошибка, не численные значения</v>
      </c>
    </row>
    <row r="135" spans="1:8" x14ac:dyDescent="0.25">
      <c r="A135" s="177">
        <f>'Инвест политика'!A158</f>
        <v>0</v>
      </c>
      <c r="B135" t="s">
        <v>427</v>
      </c>
      <c r="C135" t="s">
        <v>422</v>
      </c>
      <c r="D135">
        <v>0</v>
      </c>
      <c r="E135" t="s">
        <v>375</v>
      </c>
      <c r="F135" t="s">
        <v>424</v>
      </c>
      <c r="G135" s="179" t="e">
        <f>VLOOKUP(A135,'Инвест политика'!$A$26:$H$130,8,FALSE)</f>
        <v>#N/A</v>
      </c>
      <c r="H135" s="179" t="str">
        <f t="shared" si="2"/>
        <v>Ошибка, не численные значения</v>
      </c>
    </row>
    <row r="136" spans="1:8" x14ac:dyDescent="0.25">
      <c r="A136" s="177">
        <f>'Инвест политика'!A159</f>
        <v>0</v>
      </c>
      <c r="B136" t="s">
        <v>427</v>
      </c>
      <c r="C136" t="s">
        <v>422</v>
      </c>
      <c r="D136">
        <v>0</v>
      </c>
      <c r="E136" t="s">
        <v>375</v>
      </c>
      <c r="F136" t="s">
        <v>424</v>
      </c>
      <c r="G136" s="179" t="e">
        <f>VLOOKUP(A136,'Инвест политика'!$A$26:$H$130,8,FALSE)</f>
        <v>#N/A</v>
      </c>
      <c r="H136" s="179" t="str">
        <f t="shared" si="2"/>
        <v>Ошибка, не численные значения</v>
      </c>
    </row>
    <row r="137" spans="1:8" x14ac:dyDescent="0.25">
      <c r="A137" s="177">
        <f>'Инвест политика'!A160</f>
        <v>0</v>
      </c>
      <c r="B137" t="s">
        <v>427</v>
      </c>
      <c r="C137" t="s">
        <v>422</v>
      </c>
      <c r="D137">
        <v>0</v>
      </c>
      <c r="E137" t="s">
        <v>375</v>
      </c>
      <c r="F137" t="s">
        <v>424</v>
      </c>
      <c r="G137" s="179" t="e">
        <f>VLOOKUP(A137,'Инвест политика'!$A$26:$H$130,8,FALSE)</f>
        <v>#N/A</v>
      </c>
      <c r="H137" s="179" t="str">
        <f t="shared" si="2"/>
        <v>Ошибка, не численные значения</v>
      </c>
    </row>
    <row r="138" spans="1:8" x14ac:dyDescent="0.25">
      <c r="A138" s="177">
        <f>'Инвест политика'!A161</f>
        <v>0</v>
      </c>
      <c r="B138" t="s">
        <v>427</v>
      </c>
      <c r="C138" t="s">
        <v>422</v>
      </c>
      <c r="D138">
        <v>0</v>
      </c>
      <c r="E138" t="s">
        <v>375</v>
      </c>
      <c r="F138" t="s">
        <v>424</v>
      </c>
      <c r="G138" s="179" t="e">
        <f>VLOOKUP(A138,'Инвест политика'!$A$26:$H$130,8,FALSE)</f>
        <v>#N/A</v>
      </c>
      <c r="H138" s="179" t="str">
        <f t="shared" si="2"/>
        <v>Ошибка, не численные значения</v>
      </c>
    </row>
    <row r="139" spans="1:8" x14ac:dyDescent="0.25">
      <c r="A139" s="177">
        <f>'Инвест политика'!A162</f>
        <v>0</v>
      </c>
      <c r="B139" t="s">
        <v>427</v>
      </c>
      <c r="C139" t="s">
        <v>422</v>
      </c>
      <c r="D139">
        <v>0</v>
      </c>
      <c r="E139" t="s">
        <v>375</v>
      </c>
      <c r="F139" t="s">
        <v>424</v>
      </c>
      <c r="G139" s="179" t="e">
        <f>VLOOKUP(A139,'Инвест политика'!$A$26:$H$130,8,FALSE)</f>
        <v>#N/A</v>
      </c>
      <c r="H139" s="179" t="str">
        <f t="shared" si="2"/>
        <v>Ошибка, не численные значения</v>
      </c>
    </row>
    <row r="140" spans="1:8" x14ac:dyDescent="0.25">
      <c r="A140" s="177">
        <f>'Инвест политика'!A163</f>
        <v>0</v>
      </c>
      <c r="B140" t="s">
        <v>427</v>
      </c>
      <c r="C140" t="s">
        <v>422</v>
      </c>
      <c r="D140">
        <v>0</v>
      </c>
      <c r="E140" t="s">
        <v>375</v>
      </c>
      <c r="F140" t="s">
        <v>424</v>
      </c>
      <c r="G140" s="179" t="e">
        <f>VLOOKUP(A140,'Инвест политика'!$A$26:$H$130,8,FALSE)</f>
        <v>#N/A</v>
      </c>
      <c r="H140" s="179" t="str">
        <f t="shared" si="2"/>
        <v>Ошибка, не численные значения</v>
      </c>
    </row>
    <row r="141" spans="1:8" x14ac:dyDescent="0.25">
      <c r="A141" s="177">
        <f>'Инвест политика'!A164</f>
        <v>0</v>
      </c>
      <c r="B141" t="s">
        <v>427</v>
      </c>
      <c r="C141" t="s">
        <v>422</v>
      </c>
      <c r="D141">
        <v>0</v>
      </c>
      <c r="E141" t="s">
        <v>375</v>
      </c>
      <c r="F141" t="s">
        <v>424</v>
      </c>
      <c r="G141" s="179" t="e">
        <f>VLOOKUP(A141,'Инвест политика'!$A$26:$H$130,8,FALSE)</f>
        <v>#N/A</v>
      </c>
      <c r="H141" s="179" t="str">
        <f t="shared" si="2"/>
        <v>Ошибка, не численные значения</v>
      </c>
    </row>
    <row r="142" spans="1:8" x14ac:dyDescent="0.25">
      <c r="A142" s="177">
        <f>'Инвест политика'!A165</f>
        <v>0</v>
      </c>
      <c r="B142" t="s">
        <v>427</v>
      </c>
      <c r="C142" t="s">
        <v>422</v>
      </c>
      <c r="D142">
        <v>0</v>
      </c>
      <c r="E142" t="s">
        <v>375</v>
      </c>
      <c r="F142" t="s">
        <v>424</v>
      </c>
      <c r="G142" s="179" t="e">
        <f>VLOOKUP(A142,'Инвест политика'!$A$26:$H$130,8,FALSE)</f>
        <v>#N/A</v>
      </c>
      <c r="H142" s="179" t="str">
        <f t="shared" si="2"/>
        <v>Ошибка, не численные значения</v>
      </c>
    </row>
    <row r="143" spans="1:8" x14ac:dyDescent="0.25">
      <c r="A143" s="177">
        <f>'Инвест политика'!A166</f>
        <v>0</v>
      </c>
      <c r="B143" t="s">
        <v>427</v>
      </c>
      <c r="C143" t="s">
        <v>422</v>
      </c>
      <c r="D143">
        <v>0</v>
      </c>
      <c r="E143" t="s">
        <v>375</v>
      </c>
      <c r="F143" t="s">
        <v>424</v>
      </c>
      <c r="G143" s="179" t="e">
        <f>VLOOKUP(A143,'Инвест политика'!$A$26:$H$130,8,FALSE)</f>
        <v>#N/A</v>
      </c>
      <c r="H143" s="179" t="str">
        <f t="shared" si="2"/>
        <v>Ошибка, не численные значения</v>
      </c>
    </row>
    <row r="144" spans="1:8" x14ac:dyDescent="0.25">
      <c r="A144" s="177">
        <f>'Инвест политика'!A167</f>
        <v>0</v>
      </c>
      <c r="B144" t="s">
        <v>427</v>
      </c>
      <c r="C144" t="s">
        <v>422</v>
      </c>
      <c r="D144">
        <v>0</v>
      </c>
      <c r="E144" t="s">
        <v>375</v>
      </c>
      <c r="F144" t="s">
        <v>424</v>
      </c>
      <c r="G144" s="179" t="e">
        <f>VLOOKUP(A144,'Инвест политика'!$A$26:$H$130,8,FALSE)</f>
        <v>#N/A</v>
      </c>
      <c r="H144" s="179" t="str">
        <f t="shared" si="2"/>
        <v>Ошибка, не численные значения</v>
      </c>
    </row>
    <row r="145" spans="1:8" x14ac:dyDescent="0.25">
      <c r="A145" s="177">
        <f>'Инвест политика'!A168</f>
        <v>0</v>
      </c>
      <c r="B145" t="s">
        <v>427</v>
      </c>
      <c r="C145" t="s">
        <v>422</v>
      </c>
      <c r="D145">
        <v>0</v>
      </c>
      <c r="E145" t="s">
        <v>375</v>
      </c>
      <c r="F145" t="s">
        <v>424</v>
      </c>
      <c r="G145" s="179" t="e">
        <f>VLOOKUP(A145,'Инвест политика'!$A$26:$H$130,8,FALSE)</f>
        <v>#N/A</v>
      </c>
      <c r="H145" s="179" t="str">
        <f t="shared" si="2"/>
        <v>Ошибка, не численные значения</v>
      </c>
    </row>
    <row r="146" spans="1:8" x14ac:dyDescent="0.25">
      <c r="A146" s="177">
        <f>'Инвест политика'!A169</f>
        <v>0</v>
      </c>
      <c r="B146" t="s">
        <v>427</v>
      </c>
      <c r="C146" t="s">
        <v>422</v>
      </c>
      <c r="D146">
        <v>0</v>
      </c>
      <c r="E146" t="s">
        <v>375</v>
      </c>
      <c r="F146" t="s">
        <v>424</v>
      </c>
      <c r="G146" s="179" t="e">
        <f>VLOOKUP(A146,'Инвест политика'!$A$26:$H$130,8,FALSE)</f>
        <v>#N/A</v>
      </c>
      <c r="H146" s="179" t="str">
        <f t="shared" si="2"/>
        <v>Ошибка, не численные значения</v>
      </c>
    </row>
    <row r="147" spans="1:8" x14ac:dyDescent="0.25">
      <c r="A147" s="177">
        <f>'Инвест политика'!A170</f>
        <v>0</v>
      </c>
      <c r="B147" t="s">
        <v>427</v>
      </c>
      <c r="C147" t="s">
        <v>422</v>
      </c>
      <c r="D147">
        <v>0</v>
      </c>
      <c r="E147" t="s">
        <v>375</v>
      </c>
      <c r="F147" t="s">
        <v>424</v>
      </c>
      <c r="G147" s="179" t="e">
        <f>VLOOKUP(A147,'Инвест политика'!$A$26:$H$130,8,FALSE)</f>
        <v>#N/A</v>
      </c>
      <c r="H147" s="179" t="str">
        <f t="shared" si="2"/>
        <v>Ошибка, не численные значения</v>
      </c>
    </row>
    <row r="148" spans="1:8" x14ac:dyDescent="0.25">
      <c r="A148" s="177">
        <f>'Инвест политика'!A171</f>
        <v>0</v>
      </c>
      <c r="B148" t="s">
        <v>427</v>
      </c>
      <c r="C148" t="s">
        <v>422</v>
      </c>
      <c r="D148">
        <v>0</v>
      </c>
      <c r="E148" t="s">
        <v>375</v>
      </c>
      <c r="F148" t="s">
        <v>424</v>
      </c>
      <c r="G148" s="179" t="e">
        <f>VLOOKUP(A148,'Инвест политика'!$A$26:$H$130,8,FALSE)</f>
        <v>#N/A</v>
      </c>
      <c r="H148" s="179" t="str">
        <f t="shared" si="2"/>
        <v>Ошибка, не численные значения</v>
      </c>
    </row>
    <row r="149" spans="1:8" x14ac:dyDescent="0.25">
      <c r="A149" s="177">
        <f>'Инвест политика'!A172</f>
        <v>0</v>
      </c>
      <c r="B149" t="s">
        <v>427</v>
      </c>
      <c r="C149" t="s">
        <v>422</v>
      </c>
      <c r="D149">
        <v>0</v>
      </c>
      <c r="E149" t="s">
        <v>375</v>
      </c>
      <c r="F149" t="s">
        <v>424</v>
      </c>
      <c r="G149" s="179" t="e">
        <f>VLOOKUP(A149,'Инвест политика'!$A$26:$H$130,8,FALSE)</f>
        <v>#N/A</v>
      </c>
      <c r="H149" s="179" t="str">
        <f t="shared" si="2"/>
        <v>Ошибка, не численные значения</v>
      </c>
    </row>
    <row r="150" spans="1:8" x14ac:dyDescent="0.25">
      <c r="A150" s="177">
        <f>'Инвест политика'!A173</f>
        <v>0</v>
      </c>
      <c r="B150" t="s">
        <v>427</v>
      </c>
      <c r="C150" t="s">
        <v>422</v>
      </c>
      <c r="D150">
        <v>0</v>
      </c>
      <c r="E150" t="s">
        <v>375</v>
      </c>
      <c r="F150" t="s">
        <v>424</v>
      </c>
      <c r="G150" s="179" t="e">
        <f>VLOOKUP(A150,'Инвест политика'!$A$26:$H$130,8,FALSE)</f>
        <v>#N/A</v>
      </c>
      <c r="H150" s="179" t="str">
        <f t="shared" si="2"/>
        <v>Ошибка, не численные значения</v>
      </c>
    </row>
    <row r="151" spans="1:8" x14ac:dyDescent="0.25">
      <c r="A151" s="177">
        <f>'Инвест политика'!A174</f>
        <v>0</v>
      </c>
      <c r="B151" t="s">
        <v>427</v>
      </c>
      <c r="C151" t="s">
        <v>422</v>
      </c>
      <c r="D151">
        <v>0</v>
      </c>
      <c r="E151" t="s">
        <v>375</v>
      </c>
      <c r="F151" t="s">
        <v>424</v>
      </c>
      <c r="G151" s="179" t="e">
        <f>VLOOKUP(A151,'Инвест политика'!$A$26:$H$130,8,FALSE)</f>
        <v>#N/A</v>
      </c>
      <c r="H151" s="179" t="str">
        <f t="shared" si="2"/>
        <v>Ошибка, не численные значения</v>
      </c>
    </row>
    <row r="152" spans="1:8" x14ac:dyDescent="0.25">
      <c r="A152" s="177">
        <f>'Инвест политика'!A175</f>
        <v>0</v>
      </c>
      <c r="B152" t="s">
        <v>427</v>
      </c>
      <c r="C152" t="s">
        <v>422</v>
      </c>
      <c r="D152">
        <v>0</v>
      </c>
      <c r="E152" t="s">
        <v>375</v>
      </c>
      <c r="F152" t="s">
        <v>424</v>
      </c>
      <c r="G152" s="179" t="e">
        <f>VLOOKUP(A152,'Инвест политика'!$A$26:$H$130,8,FALSE)</f>
        <v>#N/A</v>
      </c>
      <c r="H152" s="179" t="str">
        <f t="shared" si="2"/>
        <v>Ошибка, не численные значения</v>
      </c>
    </row>
    <row r="153" spans="1:8" x14ac:dyDescent="0.25">
      <c r="A153" s="177">
        <f>'Инвест политика'!A176</f>
        <v>0</v>
      </c>
      <c r="B153" t="s">
        <v>427</v>
      </c>
      <c r="C153" t="s">
        <v>422</v>
      </c>
      <c r="D153">
        <v>0</v>
      </c>
      <c r="E153" t="s">
        <v>375</v>
      </c>
      <c r="F153" t="s">
        <v>424</v>
      </c>
      <c r="G153" s="179" t="e">
        <f>VLOOKUP(A153,'Инвест политика'!$A$26:$H$130,8,FALSE)</f>
        <v>#N/A</v>
      </c>
      <c r="H153" s="179" t="str">
        <f t="shared" si="2"/>
        <v>Ошибка, не численные значения</v>
      </c>
    </row>
    <row r="154" spans="1:8" x14ac:dyDescent="0.25">
      <c r="A154" s="177">
        <f>'Инвест политика'!A177</f>
        <v>0</v>
      </c>
      <c r="B154" t="s">
        <v>427</v>
      </c>
      <c r="C154" t="s">
        <v>422</v>
      </c>
      <c r="D154">
        <v>0</v>
      </c>
      <c r="E154" t="s">
        <v>375</v>
      </c>
      <c r="F154" t="s">
        <v>424</v>
      </c>
      <c r="G154" s="179" t="e">
        <f>VLOOKUP(A154,'Инвест политика'!$A$26:$H$130,8,FALSE)</f>
        <v>#N/A</v>
      </c>
      <c r="H154" s="179" t="str">
        <f t="shared" si="2"/>
        <v>Ошибка, не численные значения</v>
      </c>
    </row>
    <row r="155" spans="1:8" x14ac:dyDescent="0.25">
      <c r="A155" s="177">
        <f>'Инвест политика'!A178</f>
        <v>0</v>
      </c>
      <c r="B155" t="s">
        <v>427</v>
      </c>
      <c r="C155" t="s">
        <v>422</v>
      </c>
      <c r="D155">
        <v>0</v>
      </c>
      <c r="E155" t="s">
        <v>375</v>
      </c>
      <c r="F155" t="s">
        <v>424</v>
      </c>
      <c r="G155" s="179" t="e">
        <f>VLOOKUP(A155,'Инвест политика'!$A$26:$H$130,8,FALSE)</f>
        <v>#N/A</v>
      </c>
      <c r="H155" s="179" t="str">
        <f t="shared" si="2"/>
        <v>Ошибка, не численные значения</v>
      </c>
    </row>
    <row r="156" spans="1:8" x14ac:dyDescent="0.25">
      <c r="A156" s="177">
        <f>'Инвест политика'!A179</f>
        <v>0</v>
      </c>
      <c r="B156" t="s">
        <v>427</v>
      </c>
      <c r="C156" t="s">
        <v>422</v>
      </c>
      <c r="D156">
        <v>0</v>
      </c>
      <c r="E156" t="s">
        <v>375</v>
      </c>
      <c r="F156" t="s">
        <v>424</v>
      </c>
      <c r="G156" s="179" t="e">
        <f>VLOOKUP(A156,'Инвест политика'!$A$26:$H$130,8,FALSE)</f>
        <v>#N/A</v>
      </c>
      <c r="H156" s="179" t="str">
        <f t="shared" si="2"/>
        <v>Ошибка, не численные значения</v>
      </c>
    </row>
    <row r="157" spans="1:8" x14ac:dyDescent="0.25">
      <c r="A157" s="177">
        <f>'Инвест политика'!A180</f>
        <v>0</v>
      </c>
      <c r="B157" t="s">
        <v>427</v>
      </c>
      <c r="C157" t="s">
        <v>422</v>
      </c>
      <c r="D157">
        <v>0</v>
      </c>
      <c r="E157" t="s">
        <v>375</v>
      </c>
      <c r="F157" t="s">
        <v>424</v>
      </c>
      <c r="G157" s="179" t="e">
        <f>VLOOKUP(A157,'Инвест политика'!$A$26:$H$130,8,FALSE)</f>
        <v>#N/A</v>
      </c>
      <c r="H157" s="179" t="str">
        <f t="shared" si="2"/>
        <v>Ошибка, не численные значения</v>
      </c>
    </row>
    <row r="158" spans="1:8" x14ac:dyDescent="0.25">
      <c r="A158" s="177">
        <f>'Инвест политика'!A181</f>
        <v>0</v>
      </c>
      <c r="B158" t="s">
        <v>427</v>
      </c>
      <c r="C158" t="s">
        <v>422</v>
      </c>
      <c r="D158">
        <v>0</v>
      </c>
      <c r="E158" t="s">
        <v>375</v>
      </c>
      <c r="F158" t="s">
        <v>424</v>
      </c>
      <c r="G158" s="179" t="e">
        <f>VLOOKUP(A158,'Инвест политика'!$A$26:$H$130,8,FALSE)</f>
        <v>#N/A</v>
      </c>
      <c r="H158" s="179" t="str">
        <f t="shared" si="2"/>
        <v>Ошибка, не численные значения</v>
      </c>
    </row>
    <row r="159" spans="1:8" x14ac:dyDescent="0.25">
      <c r="A159" s="177">
        <f>'Инвест политика'!A182</f>
        <v>0</v>
      </c>
      <c r="B159" t="s">
        <v>427</v>
      </c>
      <c r="C159" t="s">
        <v>422</v>
      </c>
      <c r="D159">
        <v>0</v>
      </c>
      <c r="E159" t="s">
        <v>375</v>
      </c>
      <c r="F159" t="s">
        <v>424</v>
      </c>
      <c r="G159" s="179" t="e">
        <f>VLOOKUP(A159,'Инвест политика'!$A$26:$H$130,8,FALSE)</f>
        <v>#N/A</v>
      </c>
      <c r="H159" s="179" t="str">
        <f t="shared" si="2"/>
        <v>Ошибка, не численные значения</v>
      </c>
    </row>
    <row r="160" spans="1:8" x14ac:dyDescent="0.25">
      <c r="A160" s="177">
        <f>'Инвест политика'!A183</f>
        <v>0</v>
      </c>
      <c r="B160" t="s">
        <v>427</v>
      </c>
      <c r="C160" t="s">
        <v>422</v>
      </c>
      <c r="D160">
        <v>0</v>
      </c>
      <c r="E160" t="s">
        <v>375</v>
      </c>
      <c r="F160" t="s">
        <v>424</v>
      </c>
      <c r="G160" s="179" t="e">
        <f>VLOOKUP(A160,'Инвест политика'!$A$26:$H$130,8,FALSE)</f>
        <v>#N/A</v>
      </c>
      <c r="H160" s="179" t="str">
        <f t="shared" si="2"/>
        <v>Ошибка, не численные значения</v>
      </c>
    </row>
    <row r="161" spans="1:8" x14ac:dyDescent="0.25">
      <c r="A161" s="177">
        <f>'Инвест политика'!A184</f>
        <v>0</v>
      </c>
      <c r="B161" t="s">
        <v>427</v>
      </c>
      <c r="C161" t="s">
        <v>422</v>
      </c>
      <c r="D161">
        <v>0</v>
      </c>
      <c r="E161" t="s">
        <v>375</v>
      </c>
      <c r="F161" t="s">
        <v>424</v>
      </c>
      <c r="G161" s="179" t="e">
        <f>VLOOKUP(A161,'Инвест политика'!$A$26:$H$130,8,FALSE)</f>
        <v>#N/A</v>
      </c>
      <c r="H161" s="179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2"/>
  <sheetViews>
    <sheetView topLeftCell="A19" workbookViewId="0">
      <selection activeCell="H37" sqref="H37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customWidth="1"/>
    <col min="8" max="8" width="20.28515625" customWidth="1"/>
    <col min="9" max="9" width="18.140625" customWidth="1"/>
    <col min="10" max="10" width="24.140625" customWidth="1"/>
  </cols>
  <sheetData>
    <row r="1" spans="1:10" x14ac:dyDescent="0.25">
      <c r="G1" t="s">
        <v>20</v>
      </c>
    </row>
    <row r="2" spans="1:10" ht="156" customHeight="1" x14ac:dyDescent="0.25">
      <c r="A2" s="5"/>
      <c r="B2" s="185" t="s">
        <v>438</v>
      </c>
      <c r="C2" s="185" t="s">
        <v>439</v>
      </c>
      <c r="D2" s="185" t="s">
        <v>440</v>
      </c>
      <c r="E2" s="185" t="s">
        <v>441</v>
      </c>
      <c r="F2" s="185" t="s">
        <v>442</v>
      </c>
      <c r="G2" s="185" t="s">
        <v>443</v>
      </c>
      <c r="H2" s="185" t="s">
        <v>482</v>
      </c>
      <c r="I2" s="185" t="s">
        <v>483</v>
      </c>
      <c r="J2" s="190" t="s">
        <v>484</v>
      </c>
    </row>
    <row r="3" spans="1:10" x14ac:dyDescent="0.25">
      <c r="A3" s="5" t="s">
        <v>444</v>
      </c>
      <c r="B3" s="15">
        <v>17964.089510598817</v>
      </c>
      <c r="C3" s="15">
        <v>17479.938342013047</v>
      </c>
      <c r="D3" s="15">
        <v>2884.3065000000001</v>
      </c>
      <c r="E3" s="15">
        <v>3085.96</v>
      </c>
      <c r="F3" s="15">
        <v>11512.659</v>
      </c>
      <c r="G3" s="15">
        <v>15808.515864999999</v>
      </c>
      <c r="H3" s="15">
        <v>15479.185635</v>
      </c>
      <c r="I3" s="15">
        <v>15355.535384999999</v>
      </c>
      <c r="J3" s="26">
        <f>'1'!G11</f>
        <v>20010.22417275206</v>
      </c>
    </row>
    <row r="4" spans="1:10" x14ac:dyDescent="0.25">
      <c r="A4" s="5" t="s">
        <v>428</v>
      </c>
      <c r="B4" s="15">
        <v>916.8516290459595</v>
      </c>
      <c r="C4" s="15">
        <v>588.46430723403364</v>
      </c>
      <c r="D4" s="15">
        <v>99.087716157416168</v>
      </c>
      <c r="E4" s="15">
        <v>117.93922089975614</v>
      </c>
      <c r="F4" s="15">
        <v>398.51551174570358</v>
      </c>
      <c r="G4" s="15">
        <v>498.71841491866803</v>
      </c>
      <c r="H4" s="15">
        <v>507</v>
      </c>
      <c r="I4" s="15">
        <v>501.08319123191905</v>
      </c>
      <c r="J4" s="26">
        <f>'1'!E11</f>
        <v>745.57405171516007</v>
      </c>
    </row>
    <row r="5" spans="1:10" x14ac:dyDescent="0.25">
      <c r="A5" t="s">
        <v>428</v>
      </c>
      <c r="B5" s="186">
        <f>B4/B3</f>
        <v>5.1038023858933503E-2</v>
      </c>
      <c r="C5" s="186">
        <f t="shared" ref="C5:G5" si="0">C4/C3</f>
        <v>3.3665124883173025E-2</v>
      </c>
      <c r="D5" s="186">
        <f t="shared" si="0"/>
        <v>3.4354086903529903E-2</v>
      </c>
      <c r="E5" s="186">
        <f t="shared" si="0"/>
        <v>3.8218000524879177E-2</v>
      </c>
      <c r="F5" s="186">
        <f t="shared" si="0"/>
        <v>3.4615418709587731E-2</v>
      </c>
      <c r="G5" s="186">
        <f t="shared" si="0"/>
        <v>3.1547453232015847E-2</v>
      </c>
      <c r="H5" s="186">
        <f>H4/H3</f>
        <v>3.2753661074625393E-2</v>
      </c>
      <c r="I5" s="186">
        <f>I4/I3</f>
        <v>3.2632088603136586E-2</v>
      </c>
      <c r="J5" s="186">
        <f>J4/J3</f>
        <v>3.7259655128222345E-2</v>
      </c>
    </row>
    <row r="6" spans="1:10" x14ac:dyDescent="0.25">
      <c r="B6" s="211" t="s">
        <v>429</v>
      </c>
      <c r="C6" s="211" t="s">
        <v>429</v>
      </c>
      <c r="D6" s="211" t="s">
        <v>429</v>
      </c>
      <c r="E6" s="211" t="s">
        <v>429</v>
      </c>
      <c r="F6" s="211" t="s">
        <v>429</v>
      </c>
      <c r="G6" s="211" t="s">
        <v>429</v>
      </c>
      <c r="H6" s="211" t="s">
        <v>429</v>
      </c>
      <c r="I6" s="211" t="s">
        <v>429</v>
      </c>
      <c r="J6" s="211" t="s">
        <v>429</v>
      </c>
    </row>
    <row r="7" spans="1:10" x14ac:dyDescent="0.25">
      <c r="B7" s="211" t="s">
        <v>430</v>
      </c>
      <c r="C7" s="211" t="s">
        <v>432</v>
      </c>
      <c r="D7" s="211" t="s">
        <v>431</v>
      </c>
      <c r="E7" s="211" t="s">
        <v>431</v>
      </c>
      <c r="F7" s="211" t="s">
        <v>433</v>
      </c>
      <c r="G7" s="211" t="s">
        <v>433</v>
      </c>
      <c r="H7" s="211" t="s">
        <v>433</v>
      </c>
      <c r="I7" s="211" t="s">
        <v>433</v>
      </c>
      <c r="J7" s="211" t="s">
        <v>433</v>
      </c>
    </row>
    <row r="8" spans="1:10" x14ac:dyDescent="0.25">
      <c r="B8" s="211" t="s">
        <v>431</v>
      </c>
      <c r="C8" s="211" t="s">
        <v>431</v>
      </c>
      <c r="D8" s="211" t="s">
        <v>433</v>
      </c>
      <c r="E8" s="211" t="s">
        <v>433</v>
      </c>
      <c r="F8" s="211" t="s">
        <v>434</v>
      </c>
      <c r="G8" s="211" t="s">
        <v>434</v>
      </c>
      <c r="H8" s="211" t="s">
        <v>434</v>
      </c>
      <c r="I8" s="211" t="s">
        <v>434</v>
      </c>
      <c r="J8" s="211" t="s">
        <v>481</v>
      </c>
    </row>
    <row r="9" spans="1:10" x14ac:dyDescent="0.25">
      <c r="B9" s="211"/>
      <c r="C9" s="211" t="s">
        <v>433</v>
      </c>
      <c r="D9" s="211"/>
      <c r="E9" s="211"/>
      <c r="F9" s="211"/>
      <c r="G9" s="211" t="s">
        <v>435</v>
      </c>
      <c r="H9" s="211" t="s">
        <v>435</v>
      </c>
      <c r="I9" s="211" t="s">
        <v>435</v>
      </c>
      <c r="J9" s="211" t="s">
        <v>435</v>
      </c>
    </row>
    <row r="10" spans="1:10" x14ac:dyDescent="0.25">
      <c r="B10" s="211"/>
      <c r="C10" s="211"/>
      <c r="D10" s="211"/>
      <c r="E10" s="211"/>
      <c r="F10" s="211"/>
      <c r="G10" s="211" t="s">
        <v>437</v>
      </c>
      <c r="H10" s="211" t="s">
        <v>437</v>
      </c>
      <c r="I10" s="211" t="s">
        <v>437</v>
      </c>
      <c r="J10" s="211" t="s">
        <v>437</v>
      </c>
    </row>
    <row r="11" spans="1:10" x14ac:dyDescent="0.25">
      <c r="B11" s="184"/>
      <c r="C11" s="184"/>
      <c r="D11" s="184"/>
      <c r="E11" s="184"/>
      <c r="F11" s="184"/>
      <c r="J11" s="211" t="s">
        <v>145</v>
      </c>
    </row>
    <row r="12" spans="1:10" x14ac:dyDescent="0.25">
      <c r="B12" s="184"/>
      <c r="C12" s="184"/>
      <c r="D12" s="184"/>
      <c r="E12" s="184"/>
      <c r="F12" s="184"/>
      <c r="J12" s="211" t="s">
        <v>480</v>
      </c>
    </row>
    <row r="33" spans="1:4" x14ac:dyDescent="0.25">
      <c r="C33" t="s">
        <v>447</v>
      </c>
      <c r="D33" t="s">
        <v>448</v>
      </c>
    </row>
    <row r="34" spans="1:4" x14ac:dyDescent="0.25">
      <c r="A34" s="191" t="s">
        <v>429</v>
      </c>
      <c r="B34" s="192">
        <v>619970000</v>
      </c>
      <c r="C34" s="191" t="s">
        <v>82</v>
      </c>
      <c r="D34" s="191"/>
    </row>
    <row r="35" spans="1:4" x14ac:dyDescent="0.25">
      <c r="A35" s="191" t="s">
        <v>433</v>
      </c>
      <c r="B35" s="192">
        <v>743823000</v>
      </c>
      <c r="C35" s="191" t="s">
        <v>80</v>
      </c>
      <c r="D35" s="191" t="s">
        <v>82</v>
      </c>
    </row>
    <row r="36" spans="1:4" x14ac:dyDescent="0.25">
      <c r="A36" s="191" t="s">
        <v>481</v>
      </c>
      <c r="B36" s="192">
        <v>9916643000</v>
      </c>
      <c r="C36" s="191" t="s">
        <v>84</v>
      </c>
      <c r="D36" s="191"/>
    </row>
    <row r="37" spans="1:4" x14ac:dyDescent="0.25">
      <c r="A37" s="191" t="s">
        <v>435</v>
      </c>
      <c r="B37" s="192">
        <v>368192385</v>
      </c>
      <c r="C37" s="191" t="s">
        <v>78</v>
      </c>
      <c r="D37" s="191"/>
    </row>
    <row r="38" spans="1:4" x14ac:dyDescent="0.25">
      <c r="A38" s="191" t="s">
        <v>436</v>
      </c>
      <c r="B38" s="192">
        <v>3719115000</v>
      </c>
      <c r="C38" s="191" t="s">
        <v>82</v>
      </c>
      <c r="D38" s="191"/>
    </row>
    <row r="39" spans="1:4" x14ac:dyDescent="0.25">
      <c r="A39" s="191" t="s">
        <v>145</v>
      </c>
      <c r="B39" s="192">
        <v>2460599988</v>
      </c>
      <c r="C39" s="191" t="s">
        <v>84</v>
      </c>
      <c r="D39" s="191"/>
    </row>
    <row r="40" spans="1:4" x14ac:dyDescent="0.25">
      <c r="A40" s="191" t="s">
        <v>480</v>
      </c>
      <c r="B40" s="192">
        <v>2181880799.752059</v>
      </c>
      <c r="C40" s="191" t="s">
        <v>88</v>
      </c>
      <c r="D40" s="191"/>
    </row>
    <row r="41" spans="1:4" x14ac:dyDescent="0.25">
      <c r="A41" s="191"/>
      <c r="B41" s="192"/>
      <c r="C41" s="191"/>
      <c r="D41" s="191"/>
    </row>
    <row r="42" spans="1:4" x14ac:dyDescent="0.25">
      <c r="B42" s="2">
        <f>SUM(B34:B40)</f>
        <v>20010224172.75206</v>
      </c>
    </row>
    <row r="45" spans="1:4" x14ac:dyDescent="0.25">
      <c r="A45" t="s">
        <v>78</v>
      </c>
      <c r="B45" s="193">
        <f>SUMIF($C$34:$C$38,A45,$B$34:$B$38)</f>
        <v>368192385</v>
      </c>
      <c r="C45" s="223">
        <f>B45/$B$50</f>
        <v>1.8400212902230647E-2</v>
      </c>
    </row>
    <row r="46" spans="1:4" x14ac:dyDescent="0.25">
      <c r="A46" t="s">
        <v>80</v>
      </c>
      <c r="B46" s="193">
        <f t="shared" ref="B46:B47" si="1">SUMIF($C$34:$C$38,A46,$B$34:$B$38)</f>
        <v>743823000</v>
      </c>
      <c r="C46" s="223">
        <f t="shared" ref="C46:C49" si="2">B46/$B$50</f>
        <v>3.7172147277233628E-2</v>
      </c>
    </row>
    <row r="47" spans="1:4" x14ac:dyDescent="0.25">
      <c r="A47" t="s">
        <v>82</v>
      </c>
      <c r="B47" s="193">
        <f t="shared" si="1"/>
        <v>4339085000</v>
      </c>
      <c r="C47" s="223">
        <f t="shared" si="2"/>
        <v>0.21684339778204664</v>
      </c>
    </row>
    <row r="48" spans="1:4" x14ac:dyDescent="0.25">
      <c r="A48" t="s">
        <v>84</v>
      </c>
      <c r="B48" s="193">
        <f>SUMIF($C$34:$C$40,A48,$B$34:$B$40)</f>
        <v>12377242988</v>
      </c>
      <c r="C48" s="223">
        <f t="shared" si="2"/>
        <v>0.61854594337099444</v>
      </c>
    </row>
    <row r="49" spans="1:3" x14ac:dyDescent="0.25">
      <c r="A49" t="s">
        <v>88</v>
      </c>
      <c r="B49" s="193">
        <f>SUMIF($C$34:$C$40,A49,$B$34:$B$40)</f>
        <v>2181880799.752059</v>
      </c>
      <c r="C49" s="223">
        <f t="shared" si="2"/>
        <v>0.10903829866749459</v>
      </c>
    </row>
    <row r="50" spans="1:3" x14ac:dyDescent="0.25">
      <c r="B50" s="2">
        <f>SUM(B45:B49)</f>
        <v>20010224172.75206</v>
      </c>
      <c r="C50" s="22">
        <f>SUM(C45:C49)</f>
        <v>0.99999999999999989</v>
      </c>
    </row>
    <row r="51" spans="1:3" x14ac:dyDescent="0.25">
      <c r="A51" s="194" t="s">
        <v>14</v>
      </c>
      <c r="B51" s="195">
        <f>B50-B42</f>
        <v>0</v>
      </c>
    </row>
    <row r="52" spans="1:3" x14ac:dyDescent="0.25">
      <c r="A52" s="194"/>
      <c r="B52" s="194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D10" sqref="D10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463</v>
      </c>
    </row>
    <row r="2" spans="1:19" ht="15.75" thickBot="1" x14ac:dyDescent="0.3">
      <c r="A2" s="250" t="s">
        <v>43</v>
      </c>
      <c r="B2" s="251"/>
      <c r="C2" s="251"/>
      <c r="D2" s="251"/>
      <c r="E2" s="252"/>
      <c r="H2" s="250" t="s">
        <v>50</v>
      </c>
      <c r="I2" s="251"/>
      <c r="J2" s="251"/>
      <c r="K2" s="251"/>
      <c r="L2" s="252"/>
    </row>
    <row r="3" spans="1:19" x14ac:dyDescent="0.25">
      <c r="A3" s="249" t="s">
        <v>457</v>
      </c>
      <c r="B3" s="249"/>
      <c r="C3" s="249"/>
      <c r="D3" s="249"/>
      <c r="E3" s="249"/>
    </row>
    <row r="4" spans="1:19" ht="25.5" x14ac:dyDescent="0.25">
      <c r="A4" s="198" t="s">
        <v>45</v>
      </c>
      <c r="B4" s="198" t="s">
        <v>458</v>
      </c>
      <c r="C4" s="198" t="s">
        <v>103</v>
      </c>
      <c r="D4" s="199" t="s">
        <v>449</v>
      </c>
      <c r="E4" s="81" t="s">
        <v>166</v>
      </c>
    </row>
    <row r="5" spans="1:19" x14ac:dyDescent="0.25">
      <c r="A5" s="5"/>
      <c r="B5" s="5"/>
      <c r="C5" s="5"/>
      <c r="D5" s="200"/>
      <c r="E5" s="109" t="s">
        <v>78</v>
      </c>
    </row>
    <row r="8" spans="1:19" x14ac:dyDescent="0.25">
      <c r="A8" s="253" t="s">
        <v>459</v>
      </c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</row>
    <row r="9" spans="1:19" x14ac:dyDescent="0.25">
      <c r="A9" s="249" t="s">
        <v>460</v>
      </c>
      <c r="B9" s="249"/>
      <c r="C9" s="249"/>
      <c r="D9" s="249"/>
      <c r="E9" s="249"/>
      <c r="H9" s="249" t="s">
        <v>460</v>
      </c>
      <c r="I9" s="249"/>
      <c r="J9" s="249"/>
      <c r="K9" s="249"/>
      <c r="L9" s="249"/>
      <c r="O9" s="249" t="s">
        <v>461</v>
      </c>
      <c r="P9" s="249"/>
      <c r="Q9" s="249"/>
      <c r="R9" s="249"/>
      <c r="S9" s="249"/>
    </row>
    <row r="10" spans="1:19" ht="25.5" x14ac:dyDescent="0.25">
      <c r="A10" s="198" t="s">
        <v>45</v>
      </c>
      <c r="B10" s="198" t="s">
        <v>458</v>
      </c>
      <c r="C10" s="198" t="s">
        <v>103</v>
      </c>
      <c r="D10" s="199" t="str">
        <f>D4</f>
        <v>Вложения (руб) на 01.03.2021</v>
      </c>
      <c r="E10" s="81" t="s">
        <v>166</v>
      </c>
      <c r="H10" s="198" t="s">
        <v>45</v>
      </c>
      <c r="I10" s="198" t="s">
        <v>458</v>
      </c>
      <c r="J10" s="198" t="s">
        <v>103</v>
      </c>
      <c r="K10" s="199" t="str">
        <f>D4</f>
        <v>Вложения (руб) на 01.03.2021</v>
      </c>
      <c r="L10" s="81" t="s">
        <v>166</v>
      </c>
      <c r="O10" s="254" t="s">
        <v>43</v>
      </c>
      <c r="P10" s="254"/>
      <c r="Q10" s="201"/>
      <c r="R10" s="254" t="s">
        <v>50</v>
      </c>
      <c r="S10" s="254"/>
    </row>
    <row r="11" spans="1:19" x14ac:dyDescent="0.25">
      <c r="A11" s="198" t="s">
        <v>43</v>
      </c>
      <c r="B11" s="198" t="s">
        <v>450</v>
      </c>
      <c r="C11" s="198" t="s">
        <v>164</v>
      </c>
      <c r="D11" s="200"/>
      <c r="E11" s="109" t="s">
        <v>78</v>
      </c>
      <c r="H11" s="5"/>
      <c r="I11" s="5"/>
      <c r="J11" s="5"/>
      <c r="K11" s="5"/>
      <c r="L11" s="5"/>
      <c r="O11" s="158" t="s">
        <v>72</v>
      </c>
      <c r="P11" s="142">
        <f>SUMIF($E$23:$E$88,O11,$D$23:D$88)</f>
        <v>0</v>
      </c>
      <c r="Q11" s="201"/>
      <c r="R11" s="158" t="s">
        <v>72</v>
      </c>
      <c r="S11" s="142">
        <f>SUMIF($L$23:L$39,R11,$K$23:$K$39)</f>
        <v>0</v>
      </c>
    </row>
    <row r="12" spans="1:19" x14ac:dyDescent="0.25">
      <c r="A12" s="202"/>
      <c r="B12" s="202"/>
      <c r="C12" s="202"/>
      <c r="D12" s="203"/>
      <c r="E12" s="204"/>
      <c r="O12" s="141" t="s">
        <v>74</v>
      </c>
      <c r="P12" s="142">
        <f>SUMIF($E$23:$E$88,O12,$D$23:D$88)</f>
        <v>0</v>
      </c>
      <c r="Q12" s="201"/>
      <c r="R12" s="141" t="s">
        <v>74</v>
      </c>
      <c r="S12" s="142">
        <f>SUMIF($L$23:L$39,R12,$K$23:$K$39)</f>
        <v>0</v>
      </c>
    </row>
    <row r="13" spans="1:19" x14ac:dyDescent="0.25">
      <c r="O13" s="141" t="s">
        <v>76</v>
      </c>
      <c r="P13" s="142">
        <f>SUMIF($E$23:$E$88,O13,$D$23:D$88)</f>
        <v>0</v>
      </c>
      <c r="Q13" s="201"/>
      <c r="R13" s="141" t="s">
        <v>76</v>
      </c>
      <c r="S13" s="142">
        <f>SUMIF($L$23:L$39,R13,$K$23:$K$39)</f>
        <v>0</v>
      </c>
    </row>
    <row r="14" spans="1:19" x14ac:dyDescent="0.25">
      <c r="A14" s="202"/>
      <c r="B14" s="202"/>
      <c r="C14" s="202"/>
      <c r="D14" s="203"/>
      <c r="E14" s="204"/>
      <c r="O14" s="141" t="s">
        <v>78</v>
      </c>
      <c r="P14" s="142">
        <f>SUMIF($E$23:$E$88,O14,$D$23:D$88)</f>
        <v>0</v>
      </c>
      <c r="Q14" s="201"/>
      <c r="R14" s="141" t="s">
        <v>78</v>
      </c>
      <c r="S14" s="142">
        <f>SUMIF($L$23:L$39,R14,$K$23:$K$39)</f>
        <v>0</v>
      </c>
    </row>
    <row r="15" spans="1:19" x14ac:dyDescent="0.25">
      <c r="A15" s="249" t="s">
        <v>462</v>
      </c>
      <c r="B15" s="249"/>
      <c r="C15" s="249"/>
      <c r="D15" s="249"/>
      <c r="E15" s="249"/>
      <c r="H15" s="249" t="s">
        <v>462</v>
      </c>
      <c r="I15" s="249"/>
      <c r="J15" s="249"/>
      <c r="K15" s="249"/>
      <c r="L15" s="249"/>
      <c r="O15" s="158" t="s">
        <v>80</v>
      </c>
      <c r="P15" s="142">
        <f>SUMIF($E$23:$E$88,O15,$D$23:D$88)</f>
        <v>0</v>
      </c>
      <c r="Q15" s="201"/>
      <c r="R15" s="158" t="s">
        <v>80</v>
      </c>
      <c r="S15" s="142">
        <f>SUMIF($L$23:L$39,R15,$K$23:$K$39)</f>
        <v>0</v>
      </c>
    </row>
    <row r="16" spans="1:19" ht="25.5" x14ac:dyDescent="0.25">
      <c r="A16" s="198" t="s">
        <v>45</v>
      </c>
      <c r="B16" s="198" t="s">
        <v>458</v>
      </c>
      <c r="C16" s="198" t="s">
        <v>103</v>
      </c>
      <c r="D16" s="199" t="str">
        <f>D4</f>
        <v>Вложения (руб) на 01.03.2021</v>
      </c>
      <c r="E16" s="81" t="s">
        <v>166</v>
      </c>
      <c r="H16" s="198" t="s">
        <v>45</v>
      </c>
      <c r="I16" s="198" t="s">
        <v>458</v>
      </c>
      <c r="J16" s="198" t="s">
        <v>103</v>
      </c>
      <c r="K16" s="199" t="str">
        <f>D4</f>
        <v>Вложения (руб) на 01.03.2021</v>
      </c>
      <c r="L16" s="81" t="s">
        <v>166</v>
      </c>
      <c r="O16" s="159" t="s">
        <v>82</v>
      </c>
      <c r="P16" s="142">
        <f>SUMIF($E$23:$E$88,O16,$D$23:D$88)</f>
        <v>0</v>
      </c>
      <c r="Q16" s="201"/>
      <c r="R16" s="159" t="s">
        <v>82</v>
      </c>
      <c r="S16" s="142">
        <f>SUMIF($L$23:L$39,R16,$K$23:$K$39)</f>
        <v>0</v>
      </c>
    </row>
    <row r="17" spans="1:21" x14ac:dyDescent="0.25">
      <c r="A17" s="198"/>
      <c r="B17" s="198"/>
      <c r="C17" s="198"/>
      <c r="D17" s="200">
        <v>0</v>
      </c>
      <c r="E17" s="109"/>
      <c r="H17" s="198"/>
      <c r="I17" s="198"/>
      <c r="J17" s="198"/>
      <c r="K17" s="200"/>
      <c r="L17" s="109"/>
      <c r="O17" s="159" t="s">
        <v>84</v>
      </c>
      <c r="P17" s="142">
        <f>SUMIF($E$23:$E$88,O17,$D$23:D$88)</f>
        <v>0</v>
      </c>
      <c r="Q17" s="201"/>
      <c r="R17" s="159" t="s">
        <v>84</v>
      </c>
      <c r="S17" s="142">
        <f>SUMIF($L$23:L$39,R17,$K$23:$K$39)</f>
        <v>0</v>
      </c>
    </row>
    <row r="18" spans="1:21" x14ac:dyDescent="0.25">
      <c r="O18" s="158" t="s">
        <v>86</v>
      </c>
      <c r="P18" s="142">
        <f>SUMIF($E$23:$E$88,O18,$D$23:D$88)</f>
        <v>0</v>
      </c>
      <c r="Q18" s="201"/>
      <c r="R18" s="158" t="s">
        <v>86</v>
      </c>
      <c r="S18" s="142">
        <f>SUMIF($L$23:L$39,R18,$K$23:$K$39)</f>
        <v>0</v>
      </c>
    </row>
    <row r="19" spans="1:21" x14ac:dyDescent="0.25">
      <c r="O19" s="158" t="s">
        <v>88</v>
      </c>
      <c r="P19" s="142">
        <f>SUMIF($E$23:$E$88,O19,$D$23:D$88)</f>
        <v>0</v>
      </c>
      <c r="Q19" s="201"/>
      <c r="R19" s="158" t="s">
        <v>88</v>
      </c>
      <c r="S19" s="142">
        <f>SUMIF($L$23:L$39,R19,$K$23:$K$39)</f>
        <v>0</v>
      </c>
    </row>
    <row r="20" spans="1:21" x14ac:dyDescent="0.25">
      <c r="O20" s="158" t="s">
        <v>90</v>
      </c>
      <c r="P20" s="142">
        <f>SUMIF($E$23:$E$88,O20,$D$23:D$88)</f>
        <v>0</v>
      </c>
      <c r="Q20" s="201"/>
      <c r="R20" s="158" t="s">
        <v>90</v>
      </c>
      <c r="S20" s="142">
        <f>SUMIF($L$23:L$39,R20,$K$23:$K$39)</f>
        <v>0</v>
      </c>
    </row>
    <row r="21" spans="1:21" x14ac:dyDescent="0.25">
      <c r="A21" s="249" t="s">
        <v>461</v>
      </c>
      <c r="B21" s="249"/>
      <c r="C21" s="249"/>
      <c r="D21" s="249"/>
      <c r="E21" s="249"/>
      <c r="F21" s="80"/>
      <c r="G21" s="80"/>
      <c r="H21" s="249" t="s">
        <v>461</v>
      </c>
      <c r="I21" s="249"/>
      <c r="J21" s="249"/>
      <c r="K21" s="249"/>
      <c r="L21" s="249"/>
      <c r="M21" s="80"/>
      <c r="N21" s="201"/>
      <c r="O21" s="158" t="s">
        <v>117</v>
      </c>
      <c r="P21" s="142">
        <f>SUMIF($E$23:$E$88,O21,$D$23:D$88)</f>
        <v>0</v>
      </c>
      <c r="Q21" s="201"/>
      <c r="R21" s="158" t="s">
        <v>117</v>
      </c>
      <c r="S21" s="142">
        <f>SUMIF($L$23:L$39,R21,$K$23:$K$39)</f>
        <v>0</v>
      </c>
    </row>
    <row r="22" spans="1:21" ht="38.25" customHeight="1" x14ac:dyDescent="0.25">
      <c r="A22" s="198" t="s">
        <v>45</v>
      </c>
      <c r="B22" s="198" t="s">
        <v>458</v>
      </c>
      <c r="C22" s="198" t="s">
        <v>103</v>
      </c>
      <c r="D22" s="199" t="str">
        <f>D4</f>
        <v>Вложения (руб) на 01.03.2021</v>
      </c>
      <c r="E22" s="81" t="s">
        <v>166</v>
      </c>
      <c r="F22" s="204"/>
      <c r="G22" s="204"/>
      <c r="H22" s="198" t="s">
        <v>45</v>
      </c>
      <c r="I22" s="198" t="s">
        <v>458</v>
      </c>
      <c r="J22" s="198" t="s">
        <v>103</v>
      </c>
      <c r="K22" s="199" t="str">
        <f>D4</f>
        <v>Вложения (руб) на 01.03.2021</v>
      </c>
      <c r="L22" s="81" t="s">
        <v>166</v>
      </c>
      <c r="M22" s="204"/>
      <c r="N22" s="201"/>
      <c r="O22" s="158"/>
      <c r="P22" s="142">
        <f>SUM(P11:P21)</f>
        <v>0</v>
      </c>
      <c r="Q22" s="201"/>
      <c r="R22" s="158"/>
      <c r="S22" s="142">
        <f>SUM(S11:S21)</f>
        <v>0</v>
      </c>
    </row>
    <row r="23" spans="1:21" x14ac:dyDescent="0.25">
      <c r="A23" s="198"/>
      <c r="B23" s="198"/>
      <c r="C23" s="198"/>
      <c r="D23" s="200"/>
      <c r="E23" s="109"/>
      <c r="F23" s="205"/>
      <c r="G23" s="205"/>
      <c r="H23" s="198"/>
      <c r="I23" s="198"/>
      <c r="J23" s="198"/>
      <c r="K23" s="200"/>
      <c r="L23" s="109"/>
      <c r="M23" s="205"/>
      <c r="N23" s="201"/>
      <c r="O23" s="146" t="s">
        <v>14</v>
      </c>
      <c r="P23" s="142">
        <f ca="1">P22+D5+D11+D17-'портефль до погашения'!F3</f>
        <v>-61027714097.600014</v>
      </c>
      <c r="Q23" s="201"/>
      <c r="R23" s="146" t="s">
        <v>14</v>
      </c>
      <c r="S23" s="142">
        <f ca="1">S22+K11+K17-'портефль до погашения'!F4</f>
        <v>-3232484706.7756801</v>
      </c>
    </row>
    <row r="24" spans="1:21" x14ac:dyDescent="0.25">
      <c r="A24" s="198"/>
      <c r="B24" s="198"/>
      <c r="C24" s="198"/>
      <c r="D24" s="200"/>
      <c r="E24" s="109"/>
      <c r="F24" s="205"/>
      <c r="G24" s="205"/>
      <c r="H24" s="198"/>
      <c r="I24" s="198"/>
      <c r="J24" s="198"/>
      <c r="K24" s="200"/>
      <c r="L24" s="109"/>
      <c r="M24" s="205"/>
      <c r="N24" s="201"/>
      <c r="O24" s="201"/>
      <c r="P24" s="201"/>
      <c r="Q24" s="201"/>
      <c r="R24" s="201"/>
      <c r="S24" s="201"/>
    </row>
    <row r="25" spans="1:21" x14ac:dyDescent="0.25">
      <c r="A25" s="198"/>
      <c r="B25" s="198"/>
      <c r="C25" s="198"/>
      <c r="D25" s="200"/>
      <c r="E25" s="109"/>
      <c r="F25" s="205"/>
      <c r="G25" s="205"/>
      <c r="H25" s="198"/>
      <c r="I25" s="198"/>
      <c r="J25" s="198"/>
      <c r="K25" s="200"/>
      <c r="L25" s="109"/>
      <c r="M25" s="205"/>
      <c r="N25" s="201"/>
      <c r="O25" s="201"/>
      <c r="P25" s="201"/>
      <c r="Q25" s="201"/>
      <c r="R25" s="201"/>
      <c r="S25" s="201"/>
    </row>
    <row r="26" spans="1:21" x14ac:dyDescent="0.25">
      <c r="A26" s="198"/>
      <c r="B26" s="198"/>
      <c r="C26" s="198"/>
      <c r="D26" s="200"/>
      <c r="E26" s="109"/>
      <c r="F26" s="205"/>
      <c r="G26" s="205"/>
      <c r="H26" s="198"/>
      <c r="I26" s="198"/>
      <c r="J26" s="198"/>
      <c r="K26" s="200"/>
      <c r="L26" s="109"/>
      <c r="M26" s="205"/>
      <c r="N26" s="201"/>
      <c r="O26" s="201"/>
      <c r="P26" s="201"/>
      <c r="Q26" s="201"/>
      <c r="R26" s="201"/>
      <c r="S26" s="201"/>
    </row>
    <row r="27" spans="1:21" x14ac:dyDescent="0.25">
      <c r="A27" s="198"/>
      <c r="B27" s="198"/>
      <c r="C27" s="198"/>
      <c r="D27" s="200"/>
      <c r="E27" s="109"/>
      <c r="F27" s="205"/>
      <c r="G27" s="205"/>
      <c r="H27" s="198"/>
      <c r="I27" s="198"/>
      <c r="J27" s="198"/>
      <c r="K27" s="200"/>
      <c r="L27" s="109"/>
      <c r="M27" s="205"/>
      <c r="N27" s="201"/>
      <c r="O27" s="201"/>
      <c r="P27" s="201"/>
      <c r="Q27" s="201"/>
      <c r="R27" s="201"/>
      <c r="S27" s="201"/>
      <c r="T27" s="201"/>
      <c r="U27" s="201"/>
    </row>
    <row r="28" spans="1:21" x14ac:dyDescent="0.25">
      <c r="A28" s="198"/>
      <c r="B28" s="198"/>
      <c r="C28" s="198"/>
      <c r="D28" s="200"/>
      <c r="E28" s="109"/>
      <c r="F28" s="205"/>
      <c r="G28" s="205"/>
      <c r="H28" s="198"/>
      <c r="I28" s="198"/>
      <c r="J28" s="198"/>
      <c r="K28" s="200"/>
      <c r="L28" s="109"/>
      <c r="M28" s="205"/>
      <c r="N28" s="201"/>
      <c r="O28" s="201"/>
      <c r="P28" s="201"/>
      <c r="Q28" s="201"/>
      <c r="R28" s="201"/>
      <c r="S28" s="201"/>
      <c r="T28" s="201"/>
      <c r="U28" s="201"/>
    </row>
    <row r="29" spans="1:21" x14ac:dyDescent="0.25">
      <c r="A29" s="198"/>
      <c r="B29" s="198"/>
      <c r="C29" s="198"/>
      <c r="D29" s="200"/>
      <c r="E29" s="109"/>
      <c r="F29" s="205"/>
      <c r="G29" s="205"/>
      <c r="H29" s="198"/>
      <c r="I29" s="198"/>
      <c r="J29" s="198"/>
      <c r="K29" s="200"/>
      <c r="L29" s="109"/>
      <c r="M29" s="205"/>
      <c r="N29" s="201"/>
      <c r="O29" s="201"/>
      <c r="P29" s="201"/>
      <c r="Q29" s="201"/>
      <c r="R29" s="201"/>
      <c r="S29" s="201"/>
      <c r="T29" s="201"/>
      <c r="U29" s="201"/>
    </row>
    <row r="30" spans="1:21" x14ac:dyDescent="0.25">
      <c r="A30" s="198"/>
      <c r="B30" s="198"/>
      <c r="C30" s="198"/>
      <c r="D30" s="200"/>
      <c r="E30" s="109"/>
      <c r="F30" s="205"/>
      <c r="G30" s="205"/>
      <c r="H30" s="198"/>
      <c r="I30" s="198"/>
      <c r="J30" s="198"/>
      <c r="K30" s="200"/>
      <c r="L30" s="109"/>
      <c r="M30" s="205"/>
      <c r="N30" s="201"/>
      <c r="O30" s="201"/>
      <c r="P30" s="201"/>
      <c r="Q30" s="201"/>
      <c r="R30" s="201"/>
      <c r="S30" s="201"/>
      <c r="T30" s="201"/>
      <c r="U30" s="201"/>
    </row>
    <row r="31" spans="1:21" x14ac:dyDescent="0.25">
      <c r="A31" s="198"/>
      <c r="B31" s="198"/>
      <c r="C31" s="198"/>
      <c r="D31" s="200"/>
      <c r="E31" s="109"/>
      <c r="F31" s="205"/>
      <c r="G31" s="205"/>
      <c r="H31" s="205"/>
      <c r="I31" s="205"/>
      <c r="J31" s="205"/>
      <c r="K31" s="205"/>
      <c r="L31" s="205"/>
      <c r="M31" s="205"/>
      <c r="N31" s="201"/>
      <c r="O31" s="201"/>
      <c r="P31" s="201"/>
      <c r="Q31" s="201"/>
      <c r="R31" s="201"/>
      <c r="S31" s="201"/>
      <c r="T31" s="201"/>
      <c r="U31" s="201"/>
    </row>
    <row r="32" spans="1:21" x14ac:dyDescent="0.25">
      <c r="A32" s="198"/>
      <c r="B32" s="198"/>
      <c r="C32" s="198"/>
      <c r="D32" s="200"/>
      <c r="E32" s="109"/>
      <c r="F32" s="205"/>
      <c r="G32" s="205"/>
      <c r="H32" s="205"/>
      <c r="I32" s="205"/>
      <c r="J32" s="205"/>
      <c r="K32" s="205"/>
      <c r="L32" s="205"/>
      <c r="M32" s="205"/>
      <c r="N32" s="201"/>
      <c r="O32" s="201"/>
      <c r="P32" s="201"/>
      <c r="Q32" s="201"/>
      <c r="R32" s="201"/>
      <c r="S32" s="201"/>
      <c r="T32" s="201"/>
      <c r="U32" s="201"/>
    </row>
    <row r="33" spans="1:21" x14ac:dyDescent="0.25">
      <c r="A33" s="198"/>
      <c r="B33" s="198"/>
      <c r="C33" s="198"/>
      <c r="D33" s="200"/>
      <c r="E33" s="109"/>
      <c r="F33" s="205"/>
      <c r="G33" s="205"/>
      <c r="H33" s="205"/>
      <c r="I33" s="205"/>
      <c r="J33" s="205"/>
      <c r="K33" s="205"/>
      <c r="L33" s="205"/>
      <c r="M33" s="205"/>
      <c r="N33" s="201"/>
      <c r="O33" s="201"/>
      <c r="P33" s="201"/>
      <c r="Q33" s="201"/>
      <c r="R33" s="201"/>
      <c r="S33" s="201"/>
      <c r="T33" s="201"/>
      <c r="U33" s="201"/>
    </row>
    <row r="34" spans="1:21" x14ac:dyDescent="0.25">
      <c r="A34" s="198"/>
      <c r="B34" s="198"/>
      <c r="C34" s="198"/>
      <c r="D34" s="200"/>
      <c r="E34" s="109"/>
      <c r="F34" s="205"/>
      <c r="G34" s="205"/>
      <c r="H34" s="205"/>
      <c r="I34" s="205"/>
      <c r="J34" s="205"/>
      <c r="K34" s="205"/>
      <c r="L34" s="205"/>
      <c r="M34" s="205"/>
      <c r="N34" s="201"/>
      <c r="O34" s="201"/>
      <c r="P34" s="201"/>
      <c r="Q34" s="201"/>
      <c r="R34" s="201"/>
      <c r="S34" s="201"/>
      <c r="T34" s="201"/>
      <c r="U34" s="201"/>
    </row>
    <row r="35" spans="1:21" x14ac:dyDescent="0.25">
      <c r="A35" s="198"/>
      <c r="B35" s="198"/>
      <c r="C35" s="198"/>
      <c r="D35" s="200"/>
      <c r="E35" s="109"/>
      <c r="F35" s="205"/>
      <c r="G35" s="205"/>
      <c r="H35" s="205"/>
      <c r="I35" s="205"/>
      <c r="J35" s="205"/>
      <c r="K35" s="205"/>
      <c r="L35" s="205"/>
      <c r="M35" s="205"/>
      <c r="N35" s="201"/>
      <c r="O35" s="201"/>
      <c r="P35" s="201"/>
      <c r="Q35" s="201"/>
      <c r="R35" s="201"/>
      <c r="S35" s="201"/>
    </row>
    <row r="36" spans="1:21" x14ac:dyDescent="0.25">
      <c r="A36" s="198"/>
      <c r="B36" s="198"/>
      <c r="C36" s="198"/>
      <c r="D36" s="200"/>
      <c r="E36" s="109"/>
      <c r="F36" s="205"/>
      <c r="G36" s="205"/>
      <c r="H36" s="205"/>
      <c r="I36" s="205"/>
      <c r="J36" s="205"/>
      <c r="K36" s="205"/>
      <c r="L36" s="205"/>
      <c r="M36" s="205"/>
      <c r="N36" s="201"/>
      <c r="O36" s="201"/>
      <c r="P36" s="201"/>
      <c r="Q36" s="201"/>
      <c r="R36" s="201"/>
      <c r="S36" s="201"/>
    </row>
    <row r="37" spans="1:21" x14ac:dyDescent="0.25">
      <c r="A37" s="198"/>
      <c r="B37" s="198"/>
      <c r="C37" s="198"/>
      <c r="D37" s="200"/>
      <c r="E37" s="109"/>
      <c r="F37" s="205"/>
      <c r="G37" s="205"/>
      <c r="H37" s="205"/>
      <c r="I37" s="205"/>
      <c r="J37" s="205"/>
      <c r="K37" s="205"/>
      <c r="L37" s="205"/>
      <c r="M37" s="205"/>
      <c r="N37" s="201"/>
      <c r="O37" s="201"/>
      <c r="P37" s="201"/>
      <c r="Q37" s="201"/>
      <c r="R37" s="201"/>
      <c r="S37" s="201"/>
    </row>
    <row r="38" spans="1:21" x14ac:dyDescent="0.25">
      <c r="A38" s="198"/>
      <c r="B38" s="198"/>
      <c r="C38" s="198"/>
      <c r="D38" s="200"/>
      <c r="E38" s="109"/>
      <c r="F38" s="205"/>
      <c r="G38" s="205"/>
      <c r="H38" s="205"/>
      <c r="I38" s="205"/>
      <c r="J38" s="205"/>
      <c r="K38" s="205"/>
      <c r="L38" s="205"/>
      <c r="M38" s="205"/>
      <c r="N38" s="201"/>
      <c r="O38" s="201"/>
      <c r="P38" s="201"/>
      <c r="Q38" s="201"/>
      <c r="R38" s="201"/>
      <c r="S38" s="201"/>
    </row>
    <row r="39" spans="1:21" x14ac:dyDescent="0.25">
      <c r="A39" s="198"/>
      <c r="B39" s="198"/>
      <c r="C39" s="198"/>
      <c r="D39" s="200"/>
      <c r="E39" s="109"/>
      <c r="F39" s="205"/>
      <c r="G39" s="205"/>
      <c r="H39" s="205"/>
      <c r="I39" s="205"/>
      <c r="J39" s="205"/>
      <c r="K39" s="205"/>
      <c r="L39" s="205"/>
      <c r="M39" s="205"/>
      <c r="N39" s="201"/>
      <c r="O39" s="201"/>
      <c r="P39" s="201"/>
      <c r="Q39" s="201"/>
      <c r="R39" s="201"/>
      <c r="S39" s="201"/>
    </row>
    <row r="40" spans="1:21" x14ac:dyDescent="0.25">
      <c r="A40" s="198"/>
      <c r="B40" s="198"/>
      <c r="C40" s="198"/>
      <c r="D40" s="200"/>
      <c r="E40" s="109"/>
      <c r="F40" s="205"/>
      <c r="G40" s="205"/>
      <c r="H40" s="205"/>
      <c r="I40" s="205"/>
      <c r="J40" s="205"/>
      <c r="K40" s="205"/>
      <c r="L40" s="205"/>
      <c r="M40" s="205"/>
      <c r="N40" s="201"/>
      <c r="O40" s="201"/>
      <c r="P40" s="201"/>
      <c r="Q40" s="201"/>
      <c r="R40" s="201"/>
      <c r="S40" s="201"/>
    </row>
    <row r="41" spans="1:21" x14ac:dyDescent="0.25">
      <c r="A41" s="198"/>
      <c r="B41" s="198"/>
      <c r="C41" s="198"/>
      <c r="D41" s="200"/>
      <c r="E41" s="109"/>
      <c r="F41" s="205"/>
      <c r="G41" s="205"/>
      <c r="H41" s="205"/>
      <c r="I41" s="205"/>
      <c r="J41" s="205"/>
      <c r="K41" s="205"/>
      <c r="L41" s="205"/>
      <c r="M41" s="205"/>
      <c r="N41" s="201"/>
      <c r="O41" s="201"/>
      <c r="P41" s="201"/>
      <c r="Q41" s="201"/>
      <c r="R41" s="201"/>
      <c r="S41" s="201"/>
    </row>
    <row r="42" spans="1:21" x14ac:dyDescent="0.25">
      <c r="A42" s="198"/>
      <c r="B42" s="198"/>
      <c r="C42" s="198"/>
      <c r="D42" s="200"/>
      <c r="E42" s="109"/>
      <c r="F42" s="205"/>
      <c r="G42" s="205"/>
      <c r="H42" s="205"/>
      <c r="I42" s="205"/>
      <c r="J42" s="205"/>
      <c r="K42" s="205"/>
      <c r="L42" s="205"/>
      <c r="M42" s="205"/>
      <c r="N42" s="201"/>
      <c r="O42" s="201"/>
      <c r="P42" s="201"/>
      <c r="Q42" s="201"/>
      <c r="R42" s="201"/>
      <c r="S42" s="201"/>
    </row>
    <row r="43" spans="1:21" x14ac:dyDescent="0.25">
      <c r="A43" s="198"/>
      <c r="B43" s="198"/>
      <c r="C43" s="198"/>
      <c r="D43" s="200"/>
      <c r="E43" s="109"/>
      <c r="F43" s="205"/>
      <c r="G43" s="205"/>
      <c r="H43" s="205"/>
      <c r="I43" s="205"/>
      <c r="J43" s="205"/>
      <c r="K43" s="205"/>
      <c r="L43" s="205"/>
      <c r="M43" s="205"/>
      <c r="N43" s="201"/>
      <c r="O43" s="201"/>
      <c r="P43" s="201"/>
      <c r="Q43" s="201"/>
      <c r="R43" s="201"/>
      <c r="S43" s="201"/>
    </row>
    <row r="44" spans="1:21" x14ac:dyDescent="0.25">
      <c r="A44" s="198"/>
      <c r="B44" s="198"/>
      <c r="C44" s="198"/>
      <c r="D44" s="200"/>
      <c r="E44" s="109"/>
      <c r="F44" s="205"/>
      <c r="G44" s="205"/>
      <c r="H44" s="205"/>
      <c r="I44" s="205"/>
      <c r="J44" s="205"/>
      <c r="K44" s="205"/>
      <c r="L44" s="205"/>
      <c r="M44" s="205"/>
      <c r="N44" s="201"/>
      <c r="O44" s="201"/>
      <c r="P44" s="201"/>
      <c r="Q44" s="201"/>
      <c r="R44" s="201"/>
      <c r="S44" s="201"/>
    </row>
    <row r="45" spans="1:21" x14ac:dyDescent="0.25">
      <c r="A45" s="198"/>
      <c r="B45" s="198"/>
      <c r="C45" s="198"/>
      <c r="D45" s="200"/>
      <c r="E45" s="109"/>
      <c r="F45" s="205"/>
      <c r="G45" s="205"/>
      <c r="H45" s="205"/>
      <c r="I45" s="205"/>
      <c r="J45" s="205"/>
      <c r="K45" s="205"/>
      <c r="L45" s="205"/>
      <c r="M45" s="205"/>
      <c r="N45" s="201"/>
      <c r="O45" s="201"/>
      <c r="P45" s="201"/>
      <c r="Q45" s="201"/>
      <c r="R45" s="201"/>
      <c r="S45" s="201"/>
    </row>
    <row r="46" spans="1:21" x14ac:dyDescent="0.25">
      <c r="A46" s="198"/>
      <c r="B46" s="198"/>
      <c r="C46" s="198"/>
      <c r="D46" s="200"/>
      <c r="E46" s="109"/>
      <c r="F46" s="205"/>
      <c r="G46" s="205"/>
      <c r="H46" s="205"/>
      <c r="I46" s="205"/>
      <c r="J46" s="205"/>
      <c r="K46" s="205"/>
      <c r="L46" s="205"/>
      <c r="M46" s="205"/>
      <c r="N46" s="201"/>
      <c r="O46" s="201"/>
      <c r="P46" s="201"/>
      <c r="Q46" s="201"/>
      <c r="R46" s="201"/>
      <c r="S46" s="201"/>
    </row>
    <row r="47" spans="1:21" x14ac:dyDescent="0.25">
      <c r="A47" s="198"/>
      <c r="B47" s="198"/>
      <c r="C47" s="198"/>
      <c r="D47" s="200"/>
      <c r="E47" s="109"/>
      <c r="F47" s="205"/>
      <c r="G47" s="205"/>
      <c r="H47" s="205"/>
      <c r="I47" s="205"/>
      <c r="J47" s="205"/>
      <c r="K47" s="205"/>
      <c r="L47" s="205"/>
      <c r="M47" s="205"/>
      <c r="N47" s="201"/>
      <c r="O47" s="201"/>
      <c r="P47" s="201"/>
      <c r="Q47" s="201"/>
      <c r="R47" s="201"/>
      <c r="S47" s="201"/>
    </row>
    <row r="48" spans="1:21" x14ac:dyDescent="0.25">
      <c r="A48" s="198"/>
      <c r="B48" s="198"/>
      <c r="C48" s="198"/>
      <c r="D48" s="200"/>
      <c r="E48" s="109"/>
      <c r="F48" s="205"/>
      <c r="G48" s="205"/>
      <c r="H48" s="205"/>
      <c r="I48" s="205"/>
      <c r="J48" s="205"/>
      <c r="K48" s="205"/>
      <c r="L48" s="205"/>
      <c r="M48" s="205"/>
      <c r="N48" s="201"/>
      <c r="O48" s="201"/>
      <c r="P48" s="201"/>
      <c r="Q48" s="201"/>
      <c r="R48" s="201"/>
      <c r="S48" s="201"/>
    </row>
    <row r="49" spans="1:19" x14ac:dyDescent="0.25">
      <c r="A49" s="198"/>
      <c r="B49" s="198"/>
      <c r="C49" s="198"/>
      <c r="D49" s="200"/>
      <c r="E49" s="109"/>
      <c r="F49" s="205"/>
      <c r="G49" s="205"/>
      <c r="H49" s="205"/>
      <c r="I49" s="205"/>
      <c r="J49" s="205"/>
      <c r="K49" s="205"/>
      <c r="L49" s="205"/>
      <c r="M49" s="205"/>
      <c r="N49" s="201"/>
      <c r="O49" s="201"/>
      <c r="P49" s="201"/>
      <c r="Q49" s="201"/>
      <c r="R49" s="201"/>
      <c r="S49" s="201"/>
    </row>
    <row r="50" spans="1:19" x14ac:dyDescent="0.25">
      <c r="A50" s="198"/>
      <c r="B50" s="198"/>
      <c r="C50" s="198"/>
      <c r="D50" s="200"/>
      <c r="E50" s="109"/>
      <c r="F50" s="205"/>
      <c r="G50" s="205"/>
      <c r="H50" s="205"/>
      <c r="I50" s="205"/>
      <c r="J50" s="205"/>
      <c r="K50" s="205"/>
      <c r="L50" s="205"/>
      <c r="M50" s="205"/>
      <c r="N50" s="201"/>
      <c r="O50" s="201"/>
      <c r="P50" s="201"/>
      <c r="Q50" s="201"/>
      <c r="R50" s="201"/>
      <c r="S50" s="201"/>
    </row>
    <row r="51" spans="1:19" x14ac:dyDescent="0.25">
      <c r="A51" s="198"/>
      <c r="B51" s="198"/>
      <c r="C51" s="198"/>
      <c r="D51" s="200"/>
      <c r="E51" s="109"/>
      <c r="F51" s="205"/>
      <c r="G51" s="205"/>
      <c r="H51" s="205"/>
      <c r="I51" s="205"/>
      <c r="J51" s="205"/>
      <c r="K51" s="205"/>
      <c r="L51" s="205"/>
      <c r="M51" s="205"/>
      <c r="N51" s="201"/>
      <c r="O51" s="201"/>
      <c r="P51" s="201"/>
      <c r="Q51" s="201"/>
      <c r="R51" s="201"/>
      <c r="S51" s="201"/>
    </row>
    <row r="52" spans="1:19" x14ac:dyDescent="0.25">
      <c r="A52" s="198"/>
      <c r="B52" s="198"/>
      <c r="C52" s="198"/>
      <c r="D52" s="200"/>
      <c r="E52" s="109"/>
      <c r="F52" s="205"/>
      <c r="G52" s="205"/>
      <c r="H52" s="205"/>
      <c r="I52" s="205"/>
      <c r="J52" s="205"/>
      <c r="K52" s="205"/>
      <c r="L52" s="205"/>
      <c r="M52" s="205"/>
      <c r="N52" s="201"/>
      <c r="O52" s="201"/>
      <c r="P52" s="201"/>
      <c r="Q52" s="201"/>
      <c r="R52" s="201"/>
      <c r="S52" s="201"/>
    </row>
    <row r="53" spans="1:19" x14ac:dyDescent="0.25">
      <c r="A53" s="198"/>
      <c r="B53" s="198"/>
      <c r="C53" s="198"/>
      <c r="D53" s="200"/>
      <c r="E53" s="109"/>
      <c r="F53" s="205"/>
      <c r="G53" s="205"/>
      <c r="H53" s="205"/>
      <c r="I53" s="205"/>
      <c r="J53" s="205"/>
      <c r="K53" s="205"/>
      <c r="L53" s="205"/>
      <c r="M53" s="205"/>
      <c r="N53" s="201"/>
      <c r="O53" s="201"/>
      <c r="P53" s="201"/>
      <c r="Q53" s="201"/>
      <c r="R53" s="201"/>
      <c r="S53" s="201"/>
    </row>
    <row r="54" spans="1:19" x14ac:dyDescent="0.25">
      <c r="A54" s="198"/>
      <c r="B54" s="198"/>
      <c r="C54" s="198"/>
      <c r="D54" s="200"/>
      <c r="E54" s="109"/>
      <c r="F54" s="205"/>
      <c r="G54" s="205"/>
      <c r="H54" s="205"/>
      <c r="I54" s="205"/>
      <c r="J54" s="205"/>
      <c r="K54" s="205"/>
      <c r="L54" s="205"/>
      <c r="M54" s="205"/>
      <c r="N54" s="201"/>
      <c r="O54" s="201"/>
      <c r="P54" s="201"/>
      <c r="Q54" s="201"/>
      <c r="R54" s="201"/>
      <c r="S54" s="201"/>
    </row>
    <row r="55" spans="1:19" x14ac:dyDescent="0.25">
      <c r="A55" s="198"/>
      <c r="B55" s="198"/>
      <c r="C55" s="198"/>
      <c r="D55" s="200"/>
      <c r="E55" s="109"/>
      <c r="F55" s="205"/>
      <c r="G55" s="205"/>
      <c r="H55" s="205"/>
      <c r="I55" s="205"/>
      <c r="J55" s="205"/>
      <c r="K55" s="205"/>
      <c r="L55" s="205"/>
      <c r="M55" s="205"/>
      <c r="N55" s="201"/>
      <c r="O55" s="201"/>
      <c r="P55" s="201"/>
      <c r="Q55" s="201"/>
      <c r="R55" s="201"/>
      <c r="S55" s="201"/>
    </row>
    <row r="56" spans="1:19" x14ac:dyDescent="0.25">
      <c r="A56" s="198"/>
      <c r="B56" s="198"/>
      <c r="C56" s="198"/>
      <c r="D56" s="200"/>
      <c r="E56" s="109"/>
      <c r="F56" s="205"/>
      <c r="G56" s="205"/>
      <c r="H56" s="205"/>
      <c r="I56" s="205"/>
      <c r="J56" s="205"/>
      <c r="K56" s="205"/>
      <c r="L56" s="205"/>
      <c r="M56" s="205"/>
      <c r="N56" s="201"/>
      <c r="O56" s="201"/>
      <c r="P56" s="201"/>
      <c r="Q56" s="201"/>
      <c r="R56" s="201"/>
      <c r="S56" s="201"/>
    </row>
    <row r="57" spans="1:19" x14ac:dyDescent="0.25">
      <c r="A57" s="198"/>
      <c r="B57" s="198"/>
      <c r="C57" s="198"/>
      <c r="D57" s="200"/>
      <c r="E57" s="109"/>
      <c r="F57" s="205"/>
      <c r="G57" s="205"/>
      <c r="H57" s="205"/>
      <c r="I57" s="205"/>
      <c r="J57" s="205"/>
      <c r="K57" s="205"/>
      <c r="L57" s="205"/>
      <c r="M57" s="205"/>
      <c r="N57" s="201"/>
      <c r="O57" s="201"/>
      <c r="P57" s="201"/>
      <c r="Q57" s="201"/>
      <c r="R57" s="201"/>
      <c r="S57" s="201"/>
    </row>
    <row r="58" spans="1:19" x14ac:dyDescent="0.25">
      <c r="A58" s="198"/>
      <c r="B58" s="198"/>
      <c r="C58" s="198"/>
      <c r="D58" s="200"/>
      <c r="E58" s="109"/>
      <c r="F58" s="205"/>
      <c r="G58" s="205"/>
      <c r="H58" s="205"/>
      <c r="I58" s="205"/>
      <c r="J58" s="205"/>
      <c r="K58" s="205"/>
      <c r="L58" s="205"/>
      <c r="M58" s="205"/>
      <c r="N58" s="201"/>
      <c r="O58" s="201"/>
      <c r="P58" s="201"/>
      <c r="Q58" s="201"/>
      <c r="R58" s="201"/>
      <c r="S58" s="201"/>
    </row>
    <row r="59" spans="1:19" x14ac:dyDescent="0.25">
      <c r="A59" s="198"/>
      <c r="B59" s="198"/>
      <c r="C59" s="198"/>
      <c r="D59" s="200"/>
      <c r="E59" s="109"/>
      <c r="F59" s="205"/>
      <c r="G59" s="205"/>
      <c r="H59" s="205"/>
      <c r="I59" s="205"/>
      <c r="J59" s="205"/>
      <c r="K59" s="205"/>
      <c r="L59" s="205"/>
      <c r="M59" s="205"/>
      <c r="N59" s="201"/>
      <c r="O59" s="201"/>
      <c r="P59" s="201"/>
      <c r="Q59" s="201"/>
      <c r="R59" s="201"/>
      <c r="S59" s="201"/>
    </row>
    <row r="60" spans="1:19" x14ac:dyDescent="0.25">
      <c r="A60" s="198"/>
      <c r="B60" s="198"/>
      <c r="C60" s="198"/>
      <c r="D60" s="200"/>
      <c r="E60" s="109"/>
      <c r="F60" s="205"/>
      <c r="G60" s="205"/>
      <c r="H60" s="205"/>
      <c r="I60" s="205"/>
      <c r="J60" s="205"/>
      <c r="K60" s="205"/>
      <c r="L60" s="205"/>
      <c r="M60" s="205"/>
      <c r="N60" s="201"/>
      <c r="O60" s="201"/>
      <c r="P60" s="201"/>
      <c r="Q60" s="201"/>
      <c r="R60" s="201"/>
      <c r="S60" s="201"/>
    </row>
    <row r="61" spans="1:19" x14ac:dyDescent="0.25">
      <c r="A61" s="198"/>
      <c r="B61" s="198"/>
      <c r="C61" s="198"/>
      <c r="D61" s="200"/>
      <c r="E61" s="109"/>
      <c r="F61" s="205"/>
      <c r="G61" s="205"/>
      <c r="H61" s="205"/>
      <c r="I61" s="205"/>
      <c r="J61" s="205"/>
      <c r="K61" s="205"/>
      <c r="L61" s="205"/>
      <c r="M61" s="205"/>
      <c r="N61" s="201"/>
      <c r="O61" s="201"/>
      <c r="P61" s="201"/>
      <c r="Q61" s="201"/>
      <c r="R61" s="201"/>
      <c r="S61" s="201"/>
    </row>
    <row r="62" spans="1:19" x14ac:dyDescent="0.25">
      <c r="A62" s="198"/>
      <c r="B62" s="198"/>
      <c r="C62" s="198"/>
      <c r="D62" s="200"/>
      <c r="E62" s="109"/>
      <c r="F62" s="205"/>
      <c r="G62" s="205"/>
      <c r="H62" s="205"/>
      <c r="I62" s="205"/>
      <c r="J62" s="205"/>
      <c r="K62" s="205"/>
      <c r="L62" s="205"/>
      <c r="M62" s="205"/>
      <c r="N62" s="201"/>
      <c r="O62" s="201"/>
      <c r="P62" s="201"/>
      <c r="Q62" s="201"/>
      <c r="R62" s="201"/>
      <c r="S62" s="201"/>
    </row>
    <row r="63" spans="1:19" x14ac:dyDescent="0.25">
      <c r="A63" s="198"/>
      <c r="B63" s="198"/>
      <c r="C63" s="198"/>
      <c r="D63" s="200"/>
      <c r="E63" s="109"/>
      <c r="F63" s="205"/>
      <c r="G63" s="205"/>
      <c r="H63" s="205"/>
      <c r="I63" s="205"/>
      <c r="J63" s="205"/>
      <c r="K63" s="205"/>
      <c r="L63" s="205"/>
      <c r="M63" s="205"/>
      <c r="N63" s="201"/>
      <c r="O63" s="201"/>
      <c r="P63" s="201"/>
      <c r="Q63" s="201"/>
      <c r="R63" s="201"/>
      <c r="S63" s="201"/>
    </row>
    <row r="64" spans="1:19" x14ac:dyDescent="0.25">
      <c r="A64" s="198"/>
      <c r="B64" s="198"/>
      <c r="C64" s="198"/>
      <c r="D64" s="200"/>
      <c r="E64" s="109"/>
      <c r="F64" s="205"/>
      <c r="G64" s="205"/>
      <c r="H64" s="205"/>
      <c r="I64" s="205"/>
      <c r="J64" s="205"/>
      <c r="K64" s="205"/>
      <c r="L64" s="205"/>
      <c r="M64" s="205"/>
      <c r="N64" s="201"/>
      <c r="O64" s="201"/>
      <c r="P64" s="201"/>
      <c r="Q64" s="201"/>
      <c r="R64" s="201"/>
      <c r="S64" s="201"/>
    </row>
    <row r="65" spans="1:19" x14ac:dyDescent="0.25">
      <c r="A65" s="198"/>
      <c r="B65" s="198"/>
      <c r="C65" s="198"/>
      <c r="D65" s="200"/>
      <c r="E65" s="109"/>
      <c r="F65" s="205"/>
      <c r="G65" s="205"/>
      <c r="H65" s="205"/>
      <c r="I65" s="205"/>
      <c r="J65" s="205"/>
      <c r="K65" s="205"/>
      <c r="L65" s="205"/>
      <c r="M65" s="205"/>
      <c r="N65" s="201"/>
      <c r="O65" s="201"/>
      <c r="P65" s="201"/>
      <c r="Q65" s="201"/>
      <c r="R65" s="201"/>
      <c r="S65" s="201"/>
    </row>
    <row r="66" spans="1:19" x14ac:dyDescent="0.25">
      <c r="A66" s="198"/>
      <c r="B66" s="198"/>
      <c r="C66" s="198"/>
      <c r="D66" s="200"/>
      <c r="E66" s="109"/>
      <c r="F66" s="205"/>
      <c r="G66" s="205"/>
      <c r="H66" s="205"/>
      <c r="I66" s="205"/>
      <c r="J66" s="205"/>
      <c r="K66" s="205"/>
      <c r="L66" s="205"/>
      <c r="M66" s="205"/>
      <c r="N66" s="201"/>
      <c r="O66" s="201"/>
      <c r="P66" s="201"/>
      <c r="Q66" s="201"/>
      <c r="R66" s="201"/>
      <c r="S66" s="201"/>
    </row>
    <row r="67" spans="1:19" x14ac:dyDescent="0.25">
      <c r="A67" s="198"/>
      <c r="B67" s="198"/>
      <c r="C67" s="198"/>
      <c r="D67" s="200"/>
      <c r="E67" s="109"/>
      <c r="F67" s="205"/>
      <c r="G67" s="205"/>
      <c r="H67" s="205"/>
      <c r="I67" s="205"/>
      <c r="J67" s="205"/>
      <c r="K67" s="205"/>
      <c r="L67" s="205"/>
      <c r="M67" s="205"/>
      <c r="N67" s="201"/>
      <c r="O67" s="201"/>
      <c r="P67" s="201"/>
      <c r="Q67" s="201"/>
      <c r="R67" s="201"/>
      <c r="S67" s="201"/>
    </row>
    <row r="68" spans="1:19" x14ac:dyDescent="0.25">
      <c r="A68" s="198"/>
      <c r="B68" s="198"/>
      <c r="C68" s="198"/>
      <c r="D68" s="200"/>
      <c r="E68" s="109"/>
      <c r="F68" s="205"/>
      <c r="G68" s="205"/>
      <c r="H68" s="205"/>
      <c r="I68" s="205"/>
      <c r="J68" s="205"/>
      <c r="K68" s="205"/>
      <c r="L68" s="205"/>
      <c r="M68" s="205"/>
      <c r="N68" s="201"/>
      <c r="O68" s="201"/>
      <c r="P68" s="201"/>
      <c r="Q68" s="201"/>
      <c r="R68" s="201"/>
      <c r="S68" s="201"/>
    </row>
    <row r="69" spans="1:19" x14ac:dyDescent="0.25">
      <c r="A69" s="198"/>
      <c r="B69" s="198"/>
      <c r="C69" s="198"/>
      <c r="D69" s="200"/>
      <c r="E69" s="109"/>
      <c r="F69" s="205"/>
      <c r="G69" s="205"/>
      <c r="H69" s="205"/>
      <c r="I69" s="205"/>
      <c r="J69" s="205"/>
      <c r="K69" s="205"/>
      <c r="L69" s="205"/>
      <c r="M69" s="205"/>
      <c r="N69" s="201"/>
      <c r="O69" s="201"/>
      <c r="P69" s="201"/>
      <c r="Q69" s="201"/>
      <c r="R69" s="201"/>
      <c r="S69" s="201"/>
    </row>
    <row r="70" spans="1:19" x14ac:dyDescent="0.25">
      <c r="A70" s="198"/>
      <c r="B70" s="198"/>
      <c r="C70" s="198"/>
      <c r="D70" s="200"/>
      <c r="E70" s="109"/>
      <c r="F70" s="205"/>
      <c r="G70" s="205"/>
      <c r="H70" s="205"/>
      <c r="I70" s="205"/>
      <c r="J70" s="205"/>
      <c r="K70" s="205"/>
      <c r="L70" s="205"/>
      <c r="M70" s="205"/>
      <c r="N70" s="201"/>
      <c r="O70" s="201"/>
      <c r="P70" s="201"/>
      <c r="Q70" s="201"/>
      <c r="R70" s="201"/>
      <c r="S70" s="201"/>
    </row>
    <row r="71" spans="1:19" x14ac:dyDescent="0.25">
      <c r="A71" s="198"/>
      <c r="B71" s="198"/>
      <c r="C71" s="198"/>
      <c r="D71" s="200"/>
      <c r="E71" s="109"/>
      <c r="F71" s="205"/>
      <c r="G71" s="205"/>
      <c r="H71" s="205"/>
      <c r="I71" s="205"/>
      <c r="J71" s="205"/>
      <c r="K71" s="205"/>
      <c r="L71" s="205"/>
      <c r="M71" s="205"/>
      <c r="N71" s="201"/>
    </row>
    <row r="72" spans="1:19" x14ac:dyDescent="0.25">
      <c r="A72" s="198"/>
      <c r="B72" s="198"/>
      <c r="C72" s="198"/>
      <c r="D72" s="200"/>
      <c r="E72" s="109"/>
      <c r="F72" s="205"/>
      <c r="G72" s="205"/>
      <c r="H72" s="205"/>
      <c r="I72" s="205"/>
      <c r="J72" s="205"/>
      <c r="K72" s="205"/>
      <c r="L72" s="205"/>
      <c r="M72" s="205"/>
      <c r="N72" s="201"/>
    </row>
    <row r="73" spans="1:19" x14ac:dyDescent="0.25">
      <c r="A73" s="198"/>
      <c r="B73" s="198"/>
      <c r="C73" s="198"/>
      <c r="D73" s="200"/>
      <c r="E73" s="109"/>
      <c r="F73" s="205"/>
      <c r="G73" s="205"/>
      <c r="H73" s="205"/>
      <c r="I73" s="205"/>
      <c r="J73" s="205"/>
      <c r="K73" s="205"/>
      <c r="L73" s="205"/>
      <c r="M73" s="205"/>
      <c r="N73" s="201"/>
    </row>
    <row r="74" spans="1:19" x14ac:dyDescent="0.25">
      <c r="A74" s="198"/>
      <c r="B74" s="198"/>
      <c r="C74" s="198"/>
      <c r="D74" s="200"/>
      <c r="E74" s="109"/>
      <c r="F74" s="205"/>
      <c r="G74" s="205"/>
      <c r="H74" s="205"/>
      <c r="I74" s="205"/>
      <c r="J74" s="205"/>
      <c r="K74" s="205"/>
      <c r="L74" s="205"/>
      <c r="M74" s="205"/>
      <c r="N74" s="201"/>
    </row>
    <row r="75" spans="1:19" x14ac:dyDescent="0.25">
      <c r="A75" s="198"/>
      <c r="B75" s="198"/>
      <c r="C75" s="198"/>
      <c r="D75" s="200"/>
      <c r="E75" s="109"/>
      <c r="F75" s="205"/>
      <c r="G75" s="205"/>
      <c r="H75" s="205"/>
      <c r="I75" s="205"/>
      <c r="J75" s="205"/>
      <c r="K75" s="205"/>
      <c r="L75" s="205"/>
      <c r="M75" s="205"/>
      <c r="N75" s="201"/>
    </row>
    <row r="76" spans="1:19" x14ac:dyDescent="0.25">
      <c r="A76" s="198"/>
      <c r="B76" s="198"/>
      <c r="C76" s="198"/>
      <c r="D76" s="200"/>
      <c r="E76" s="109"/>
      <c r="F76" s="205"/>
      <c r="G76" s="205"/>
      <c r="H76" s="205"/>
      <c r="I76" s="205"/>
      <c r="J76" s="205"/>
      <c r="K76" s="205"/>
      <c r="L76" s="205"/>
      <c r="M76" s="205"/>
      <c r="N76" s="201"/>
    </row>
    <row r="77" spans="1:19" x14ac:dyDescent="0.25">
      <c r="A77" s="198"/>
      <c r="B77" s="198"/>
      <c r="C77" s="198"/>
      <c r="D77" s="200"/>
      <c r="E77" s="109"/>
      <c r="F77" s="205"/>
      <c r="G77" s="205"/>
      <c r="H77" s="205"/>
      <c r="I77" s="205"/>
      <c r="J77" s="205"/>
      <c r="K77" s="205"/>
      <c r="L77" s="205"/>
      <c r="M77" s="205"/>
      <c r="N77" s="201"/>
    </row>
    <row r="78" spans="1:19" x14ac:dyDescent="0.25">
      <c r="A78" s="198"/>
      <c r="B78" s="198"/>
      <c r="C78" s="198"/>
      <c r="D78" s="200"/>
      <c r="E78" s="109"/>
      <c r="F78" s="205"/>
      <c r="G78" s="205"/>
      <c r="H78" s="205"/>
      <c r="I78" s="205"/>
      <c r="J78" s="205"/>
      <c r="K78" s="205"/>
      <c r="L78" s="205"/>
      <c r="M78" s="205"/>
      <c r="N78" s="201"/>
    </row>
    <row r="79" spans="1:19" x14ac:dyDescent="0.25">
      <c r="A79" s="198"/>
      <c r="B79" s="198"/>
      <c r="C79" s="198"/>
      <c r="D79" s="200"/>
      <c r="E79" s="109"/>
      <c r="F79" s="205"/>
      <c r="G79" s="205"/>
      <c r="H79" s="205"/>
      <c r="I79" s="205"/>
      <c r="J79" s="205"/>
      <c r="K79" s="205"/>
      <c r="L79" s="205"/>
      <c r="M79" s="205"/>
      <c r="N79" s="201"/>
    </row>
    <row r="80" spans="1:19" x14ac:dyDescent="0.25">
      <c r="A80" s="198"/>
      <c r="B80" s="198"/>
      <c r="C80" s="198"/>
      <c r="D80" s="200"/>
      <c r="E80" s="109"/>
      <c r="F80" s="205"/>
      <c r="G80" s="205"/>
      <c r="H80" s="205"/>
      <c r="I80" s="205"/>
      <c r="J80" s="205"/>
      <c r="K80" s="205"/>
      <c r="L80" s="205"/>
      <c r="M80" s="205"/>
      <c r="N80" s="201"/>
    </row>
    <row r="81" spans="1:14" x14ac:dyDescent="0.25">
      <c r="A81" s="198"/>
      <c r="B81" s="198"/>
      <c r="C81" s="198"/>
      <c r="D81" s="200"/>
      <c r="E81" s="109"/>
      <c r="F81" s="205"/>
      <c r="G81" s="205"/>
      <c r="H81" s="205"/>
      <c r="I81" s="205"/>
      <c r="J81" s="205"/>
      <c r="K81" s="205"/>
      <c r="L81" s="205"/>
      <c r="M81" s="205"/>
      <c r="N81" s="201"/>
    </row>
    <row r="82" spans="1:14" x14ac:dyDescent="0.25">
      <c r="A82" s="198"/>
      <c r="B82" s="198"/>
      <c r="C82" s="198"/>
      <c r="D82" s="200"/>
      <c r="E82" s="109"/>
      <c r="F82" s="205"/>
      <c r="G82" s="205"/>
      <c r="H82" s="205"/>
      <c r="I82" s="205"/>
      <c r="J82" s="205"/>
      <c r="K82" s="205"/>
      <c r="L82" s="205"/>
      <c r="M82" s="205"/>
      <c r="N82" s="201"/>
    </row>
    <row r="83" spans="1:14" x14ac:dyDescent="0.25">
      <c r="F83" s="205"/>
      <c r="G83" s="205"/>
      <c r="H83" s="205"/>
      <c r="I83" s="205"/>
      <c r="J83" s="205"/>
      <c r="K83" s="205"/>
      <c r="L83" s="205"/>
      <c r="M83" s="205"/>
      <c r="N83" s="201"/>
    </row>
  </sheetData>
  <autoFilter ref="A22:E82"/>
  <mergeCells count="13">
    <mergeCell ref="O9:S9"/>
    <mergeCell ref="O10:P10"/>
    <mergeCell ref="R10:S10"/>
    <mergeCell ref="A15:E15"/>
    <mergeCell ref="H15:L15"/>
    <mergeCell ref="A21:E21"/>
    <mergeCell ref="H21:L21"/>
    <mergeCell ref="A2:E2"/>
    <mergeCell ref="H2:L2"/>
    <mergeCell ref="A3:E3"/>
    <mergeCell ref="A8:L8"/>
    <mergeCell ref="A9:E9"/>
    <mergeCell ref="H9:L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6" customWidth="1"/>
    <col min="2" max="2" width="18.42578125" style="66"/>
    <col min="3" max="3" width="25.28515625" style="73" customWidth="1"/>
    <col min="4" max="4" width="34.7109375" style="66" customWidth="1"/>
    <col min="5" max="5" width="50.42578125" style="66" customWidth="1"/>
    <col min="6" max="16384" width="18.42578125" style="66"/>
  </cols>
  <sheetData>
    <row r="1" spans="1:5" x14ac:dyDescent="0.25">
      <c r="A1" s="63">
        <v>43922</v>
      </c>
      <c r="B1" s="64"/>
      <c r="C1" s="65"/>
      <c r="D1" s="64"/>
    </row>
    <row r="2" spans="1:5" s="85" customFormat="1" ht="12.75" x14ac:dyDescent="0.2">
      <c r="A2" s="89" t="s">
        <v>22</v>
      </c>
      <c r="B2" s="90" t="s">
        <v>25</v>
      </c>
      <c r="C2" s="91" t="s">
        <v>21</v>
      </c>
      <c r="D2" s="90" t="s">
        <v>21</v>
      </c>
      <c r="E2" s="85" t="s">
        <v>98</v>
      </c>
    </row>
    <row r="3" spans="1:5" s="85" customFormat="1" ht="12.75" x14ac:dyDescent="0.2">
      <c r="A3" s="107" t="s">
        <v>120</v>
      </c>
      <c r="B3" s="105" t="s">
        <v>99</v>
      </c>
      <c r="C3" s="106" t="s">
        <v>100</v>
      </c>
      <c r="D3" s="105" t="str">
        <f>A51</f>
        <v>Отказ в установлении</v>
      </c>
    </row>
    <row r="4" spans="1:5" s="85" customFormat="1" ht="12.75" x14ac:dyDescent="0.2">
      <c r="A4" s="92" t="s">
        <v>106</v>
      </c>
      <c r="B4" s="93">
        <v>43949</v>
      </c>
      <c r="C4" s="91" t="s">
        <v>121</v>
      </c>
      <c r="D4" s="90" t="str">
        <f>A50</f>
        <v>Установление/Увеличение лимита</v>
      </c>
    </row>
    <row r="5" spans="1:5" s="85" customFormat="1" ht="12.75" x14ac:dyDescent="0.2">
      <c r="A5" s="92" t="s">
        <v>118</v>
      </c>
      <c r="B5" s="90" t="s">
        <v>99</v>
      </c>
      <c r="C5" s="91" t="s">
        <v>122</v>
      </c>
      <c r="D5" s="90" t="str">
        <f>A49</f>
        <v>Закрытие / Приостановление</v>
      </c>
    </row>
    <row r="6" spans="1:5" s="85" customFormat="1" ht="12.75" x14ac:dyDescent="0.2">
      <c r="A6" s="92" t="s">
        <v>119</v>
      </c>
      <c r="B6" s="90" t="s">
        <v>99</v>
      </c>
      <c r="C6" s="91" t="s">
        <v>122</v>
      </c>
      <c r="D6" s="90" t="str">
        <f>A49</f>
        <v>Закрытие / Приостановление</v>
      </c>
    </row>
    <row r="7" spans="1:5" s="85" customFormat="1" ht="12.75" x14ac:dyDescent="0.2">
      <c r="A7" s="104" t="s">
        <v>102</v>
      </c>
      <c r="B7" s="105" t="s">
        <v>99</v>
      </c>
      <c r="C7" s="106"/>
      <c r="D7" s="105" t="str">
        <f>A52</f>
        <v>Аналитическая справка</v>
      </c>
    </row>
    <row r="8" spans="1:5" s="85" customFormat="1" ht="12.75" x14ac:dyDescent="0.2">
      <c r="A8" s="104" t="s">
        <v>105</v>
      </c>
      <c r="B8" s="105" t="s">
        <v>99</v>
      </c>
      <c r="C8" s="106"/>
      <c r="D8" s="105" t="str">
        <f>A52</f>
        <v>Аналитическая справка</v>
      </c>
    </row>
    <row r="9" spans="1:5" s="85" customFormat="1" ht="12.75" x14ac:dyDescent="0.2">
      <c r="A9" s="104" t="s">
        <v>123</v>
      </c>
      <c r="B9" s="105" t="s">
        <v>99</v>
      </c>
      <c r="C9" s="106"/>
      <c r="D9" s="105" t="str">
        <f>A52</f>
        <v>Аналитическая справка</v>
      </c>
    </row>
    <row r="10" spans="1:5" s="85" customFormat="1" ht="12.75" x14ac:dyDescent="0.2">
      <c r="A10" s="107" t="s">
        <v>101</v>
      </c>
      <c r="B10" s="105" t="s">
        <v>99</v>
      </c>
      <c r="C10" s="106"/>
      <c r="D10" s="105" t="str">
        <f>A52</f>
        <v>Аналитическая справка</v>
      </c>
    </row>
    <row r="11" spans="1:5" s="85" customFormat="1" ht="12.75" x14ac:dyDescent="0.2">
      <c r="A11" s="107" t="s">
        <v>124</v>
      </c>
      <c r="B11" s="105" t="s">
        <v>99</v>
      </c>
      <c r="C11" s="106"/>
      <c r="D11" s="105" t="str">
        <f>A52</f>
        <v>Аналитическая справка</v>
      </c>
    </row>
    <row r="12" spans="1:5" s="85" customFormat="1" ht="12.75" x14ac:dyDescent="0.2">
      <c r="A12" s="104" t="s">
        <v>125</v>
      </c>
      <c r="B12" s="105" t="s">
        <v>99</v>
      </c>
      <c r="C12" s="106"/>
      <c r="D12" s="105" t="str">
        <f>A52</f>
        <v>Аналитическая справка</v>
      </c>
    </row>
    <row r="13" spans="1:5" s="85" customFormat="1" ht="12.75" x14ac:dyDescent="0.2">
      <c r="A13" s="104" t="s">
        <v>106</v>
      </c>
      <c r="B13" s="105" t="s">
        <v>99</v>
      </c>
      <c r="C13" s="106"/>
      <c r="D13" s="105" t="str">
        <f>A52</f>
        <v>Аналитическая справка</v>
      </c>
    </row>
    <row r="14" spans="1:5" s="85" customFormat="1" ht="12.75" x14ac:dyDescent="0.2">
      <c r="A14" s="104" t="s">
        <v>126</v>
      </c>
      <c r="B14" s="105" t="s">
        <v>99</v>
      </c>
      <c r="C14" s="106"/>
      <c r="D14" s="105" t="str">
        <f>A52</f>
        <v>Аналитическая справка</v>
      </c>
    </row>
    <row r="15" spans="1:5" s="85" customFormat="1" ht="12.75" x14ac:dyDescent="0.2">
      <c r="A15" s="104" t="s">
        <v>127</v>
      </c>
      <c r="B15" s="105" t="s">
        <v>99</v>
      </c>
      <c r="C15" s="106"/>
      <c r="D15" s="105" t="str">
        <f>A52</f>
        <v>Аналитическая справка</v>
      </c>
    </row>
    <row r="16" spans="1:5" s="85" customFormat="1" ht="12.75" hidden="1" x14ac:dyDescent="0.2">
      <c r="A16" s="86"/>
      <c r="B16" s="83"/>
      <c r="C16" s="84"/>
      <c r="D16" s="83"/>
    </row>
    <row r="17" spans="1:5" s="85" customFormat="1" ht="12.75" hidden="1" x14ac:dyDescent="0.2">
      <c r="A17" s="86"/>
      <c r="B17" s="83"/>
      <c r="C17" s="84"/>
      <c r="D17" s="83"/>
    </row>
    <row r="18" spans="1:5" s="85" customFormat="1" ht="12.75" hidden="1" x14ac:dyDescent="0.2">
      <c r="A18" s="86"/>
      <c r="B18" s="83"/>
      <c r="C18" s="84"/>
      <c r="D18" s="86"/>
    </row>
    <row r="19" spans="1:5" s="85" customFormat="1" ht="12.75" hidden="1" x14ac:dyDescent="0.2">
      <c r="A19" s="86"/>
      <c r="B19" s="83"/>
      <c r="C19" s="84"/>
      <c r="D19" s="86"/>
    </row>
    <row r="20" spans="1:5" s="85" customFormat="1" ht="12.75" hidden="1" x14ac:dyDescent="0.2">
      <c r="A20" s="86"/>
      <c r="B20" s="83"/>
      <c r="C20" s="84"/>
      <c r="D20" s="86"/>
    </row>
    <row r="21" spans="1:5" s="85" customFormat="1" ht="12.75" hidden="1" x14ac:dyDescent="0.2">
      <c r="A21" s="86"/>
      <c r="B21" s="83"/>
      <c r="C21" s="84"/>
      <c r="D21" s="86"/>
    </row>
    <row r="22" spans="1:5" s="85" customFormat="1" ht="12.75" hidden="1" x14ac:dyDescent="0.2">
      <c r="A22" s="86"/>
      <c r="B22" s="83"/>
      <c r="C22" s="84"/>
      <c r="D22" s="86"/>
    </row>
    <row r="23" spans="1:5" s="85" customFormat="1" ht="12.75" hidden="1" x14ac:dyDescent="0.2">
      <c r="A23" s="86"/>
      <c r="B23" s="83"/>
      <c r="C23" s="84"/>
      <c r="D23" s="86"/>
    </row>
    <row r="24" spans="1:5" s="85" customFormat="1" ht="12.75" x14ac:dyDescent="0.2">
      <c r="A24" s="86"/>
      <c r="B24" s="83"/>
      <c r="C24" s="84"/>
      <c r="D24" s="86"/>
    </row>
    <row r="25" spans="1:5" x14ac:dyDescent="0.25">
      <c r="A25" s="70"/>
      <c r="B25" s="71"/>
      <c r="C25" s="72"/>
      <c r="D25" s="70"/>
    </row>
    <row r="26" spans="1:5" x14ac:dyDescent="0.25">
      <c r="A26" s="89" t="s">
        <v>35</v>
      </c>
      <c r="B26" s="100" t="s">
        <v>25</v>
      </c>
      <c r="C26" s="101" t="s">
        <v>21</v>
      </c>
      <c r="D26" s="100" t="s">
        <v>21</v>
      </c>
    </row>
    <row r="27" spans="1:5" x14ac:dyDescent="0.25">
      <c r="A27" s="89"/>
      <c r="B27" s="100"/>
      <c r="C27" s="101"/>
      <c r="D27" s="100"/>
    </row>
    <row r="28" spans="1:5" hidden="1" x14ac:dyDescent="0.25">
      <c r="A28" s="67"/>
      <c r="B28" s="68"/>
      <c r="C28" s="69"/>
      <c r="D28" s="68"/>
    </row>
    <row r="29" spans="1:5" ht="30" hidden="1" x14ac:dyDescent="0.25">
      <c r="A29" s="67"/>
      <c r="B29" s="68"/>
      <c r="C29" s="69"/>
      <c r="D29" s="68"/>
      <c r="E29" s="73" t="s">
        <v>42</v>
      </c>
    </row>
    <row r="30" spans="1:5" hidden="1" x14ac:dyDescent="0.25">
      <c r="A30" s="67"/>
      <c r="B30" s="68"/>
      <c r="C30" s="69"/>
      <c r="D30" s="68"/>
    </row>
    <row r="31" spans="1:5" hidden="1" x14ac:dyDescent="0.25">
      <c r="A31" s="67"/>
      <c r="B31" s="68"/>
      <c r="C31" s="69"/>
      <c r="D31" s="68"/>
    </row>
    <row r="32" spans="1:5" hidden="1" x14ac:dyDescent="0.25">
      <c r="A32" s="67"/>
      <c r="B32" s="68"/>
      <c r="C32" s="69"/>
      <c r="D32" s="68"/>
    </row>
    <row r="33" spans="1:5" hidden="1" x14ac:dyDescent="0.25">
      <c r="A33" s="68"/>
      <c r="B33" s="74"/>
      <c r="C33" s="69"/>
      <c r="D33" s="68"/>
    </row>
    <row r="34" spans="1:5" hidden="1" x14ac:dyDescent="0.25">
      <c r="A34" s="68"/>
      <c r="B34" s="74"/>
      <c r="C34" s="69"/>
      <c r="D34" s="68"/>
    </row>
    <row r="35" spans="1:5" hidden="1" x14ac:dyDescent="0.25">
      <c r="A35" s="68"/>
      <c r="B35" s="74"/>
      <c r="C35" s="69"/>
      <c r="D35" s="68"/>
    </row>
    <row r="36" spans="1:5" hidden="1" x14ac:dyDescent="0.25">
      <c r="A36" s="68"/>
      <c r="B36" s="74"/>
      <c r="C36" s="69"/>
      <c r="D36" s="68"/>
    </row>
    <row r="37" spans="1:5" hidden="1" x14ac:dyDescent="0.25">
      <c r="A37" s="68"/>
      <c r="B37" s="74"/>
      <c r="C37" s="69"/>
      <c r="D37" s="68"/>
    </row>
    <row r="38" spans="1:5" hidden="1" x14ac:dyDescent="0.25">
      <c r="A38" s="68"/>
      <c r="B38" s="74"/>
      <c r="C38" s="69"/>
      <c r="D38" s="68"/>
    </row>
    <row r="39" spans="1:5" hidden="1" x14ac:dyDescent="0.25">
      <c r="A39" s="68"/>
      <c r="B39" s="74"/>
      <c r="C39" s="69"/>
      <c r="D39" s="68"/>
    </row>
    <row r="40" spans="1:5" hidden="1" x14ac:dyDescent="0.25">
      <c r="A40" s="68"/>
      <c r="B40" s="74"/>
      <c r="C40" s="69"/>
      <c r="D40" s="68"/>
    </row>
    <row r="41" spans="1:5" hidden="1" x14ac:dyDescent="0.25">
      <c r="A41" s="75"/>
      <c r="B41" s="76"/>
      <c r="C41" s="77"/>
      <c r="D41" s="75"/>
    </row>
    <row r="42" spans="1:5" hidden="1" x14ac:dyDescent="0.25">
      <c r="A42" s="75"/>
      <c r="B42" s="76"/>
      <c r="C42" s="77"/>
      <c r="D42" s="75"/>
    </row>
    <row r="43" spans="1:5" hidden="1" x14ac:dyDescent="0.25"/>
    <row r="46" spans="1:5" s="94" customFormat="1" x14ac:dyDescent="0.25">
      <c r="A46" s="10"/>
      <c r="B46" s="10" t="s">
        <v>22</v>
      </c>
      <c r="C46" s="10" t="s">
        <v>23</v>
      </c>
      <c r="D46" s="10" t="s">
        <v>29</v>
      </c>
      <c r="E46" s="10" t="s">
        <v>36</v>
      </c>
    </row>
    <row r="47" spans="1:5" s="94" customFormat="1" hidden="1" x14ac:dyDescent="0.25">
      <c r="A47" s="95" t="s">
        <v>26</v>
      </c>
      <c r="B47" s="95">
        <f>SUM(B48:B53)</f>
        <v>13</v>
      </c>
      <c r="C47" s="95">
        <f>SUM(C48:C51)</f>
        <v>0</v>
      </c>
      <c r="D47" s="95">
        <f>SUM(D48:D51)</f>
        <v>4</v>
      </c>
      <c r="E47" s="96"/>
    </row>
    <row r="48" spans="1:5" s="99" customFormat="1" x14ac:dyDescent="0.25">
      <c r="A48" s="97" t="s">
        <v>24</v>
      </c>
      <c r="B48" s="97"/>
      <c r="C48" s="97"/>
      <c r="D48" s="97">
        <f>B48+C48</f>
        <v>0</v>
      </c>
      <c r="E48" s="98" t="s">
        <v>132</v>
      </c>
    </row>
    <row r="49" spans="1:5" s="73" customFormat="1" ht="30" x14ac:dyDescent="0.25">
      <c r="A49" s="97" t="s">
        <v>27</v>
      </c>
      <c r="B49" s="97">
        <v>2</v>
      </c>
      <c r="C49" s="78"/>
      <c r="D49" s="97">
        <f>B49+C49</f>
        <v>2</v>
      </c>
      <c r="E49" s="102" t="s">
        <v>130</v>
      </c>
    </row>
    <row r="50" spans="1:5" s="73" customFormat="1" ht="30" x14ac:dyDescent="0.25">
      <c r="A50" s="97" t="s">
        <v>28</v>
      </c>
      <c r="B50" s="97">
        <v>1</v>
      </c>
      <c r="C50" s="78"/>
      <c r="D50" s="97">
        <f t="shared" ref="D50:D53" si="0">B50+C50</f>
        <v>1</v>
      </c>
      <c r="E50" s="103" t="s">
        <v>128</v>
      </c>
    </row>
    <row r="51" spans="1:5" s="99" customFormat="1" ht="30" x14ac:dyDescent="0.25">
      <c r="A51" s="97" t="s">
        <v>33</v>
      </c>
      <c r="B51" s="97">
        <v>1</v>
      </c>
      <c r="C51" s="97"/>
      <c r="D51" s="97">
        <f t="shared" si="0"/>
        <v>1</v>
      </c>
      <c r="E51" s="97" t="s">
        <v>129</v>
      </c>
    </row>
    <row r="52" spans="1:5" s="99" customFormat="1" ht="30" x14ac:dyDescent="0.25">
      <c r="A52" s="97" t="s">
        <v>34</v>
      </c>
      <c r="B52" s="97">
        <v>9</v>
      </c>
      <c r="C52" s="97"/>
      <c r="D52" s="97">
        <f t="shared" si="0"/>
        <v>9</v>
      </c>
      <c r="E52" s="97" t="s">
        <v>131</v>
      </c>
    </row>
    <row r="53" spans="1:5" s="73" customFormat="1" x14ac:dyDescent="0.25">
      <c r="A53" s="97" t="s">
        <v>32</v>
      </c>
      <c r="B53" s="78"/>
      <c r="C53" s="78"/>
      <c r="D53" s="97">
        <f t="shared" si="0"/>
        <v>0</v>
      </c>
      <c r="E53" s="78"/>
    </row>
    <row r="56" spans="1:5" x14ac:dyDescent="0.25">
      <c r="A56" s="66">
        <f>B50+C50</f>
        <v>1</v>
      </c>
    </row>
    <row r="58" spans="1:5" x14ac:dyDescent="0.25">
      <c r="A58" s="66">
        <f>B48+B50+C50+B51+C384+B49</f>
        <v>4</v>
      </c>
    </row>
    <row r="66" spans="1:1" x14ac:dyDescent="0.25">
      <c r="A66" s="66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2024-04-18T10:06:23Z</dcterms:modified>
</cp:coreProperties>
</file>
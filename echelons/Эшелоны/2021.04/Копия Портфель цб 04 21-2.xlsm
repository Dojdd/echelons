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866" activeTab="5"/>
  </bookViews>
  <sheets>
    <sheet name="1" sheetId="16" r:id="rId1"/>
    <sheet name="портефль до погашения" sheetId="19" r:id="rId2"/>
    <sheet name="РейтPD FRED Graph" sheetId="20" r:id="rId3"/>
    <sheet name="Инвест политика" sheetId="25" r:id="rId4"/>
    <sheet name="Справочник отрасли" sheetId="24" r:id="rId5"/>
    <sheet name="Эшелоны результат" sheetId="28" r:id="rId6"/>
    <sheet name="Синдикаты" sheetId="29" r:id="rId7"/>
    <sheet name="для стресс-теста" sheetId="30" r:id="rId8"/>
    <sheet name="Для КУАП" sheetId="18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DumProb">OFFSET([1]BetaSolver!$R$4,0,0,COUNTA([1]BetaSolver!$R$5:$R$1000),1)</definedName>
    <definedName name="_xlnm._FilterDatabase" localSheetId="8" hidden="1">'Для КУАП'!$A$2:$E$24</definedName>
    <definedName name="_xlnm._FilterDatabase" localSheetId="7" hidden="1">'для стресс-теста'!$A$22:$E$82</definedName>
    <definedName name="_xlnm._FilterDatabase" localSheetId="3" hidden="1">'Инвест политика'!$A$25:$V$125</definedName>
    <definedName name="_xlnm._FilterDatabase" localSheetId="1" hidden="1">'портефль до погашения'!$A$7:$O$68</definedName>
    <definedName name="_xlnm._FilterDatabase" localSheetId="2" hidden="1">'РейтPD FRED Graph'!#REF!</definedName>
    <definedName name="_xlnm._FilterDatabase" localSheetId="4" hidden="1">'Справочник отрасли'!$A$1:$D$56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2">#REF!</definedName>
    <definedName name="acdr_average">#REF!</definedName>
    <definedName name="acdr_avg_head" localSheetId="2">#REF!</definedName>
    <definedName name="acdr_avg_head">#REF!</definedName>
    <definedName name="acdr_cohort_annual_default" localSheetId="2">#REF!</definedName>
    <definedName name="acdr_cohort_annual_default">#REF!</definedName>
    <definedName name="acdr_cohort_cum_default" localSheetId="2">#REF!</definedName>
    <definedName name="acdr_cohort_cum_default">#REF!</definedName>
    <definedName name="acdr_cohort_name" localSheetId="2">#REF!</definedName>
    <definedName name="acdr_cohort_name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2">#REF!</definedName>
    <definedName name="asdfasdfas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7">'для стресс-теста'!ButtonGoto</definedName>
    <definedName name="ButtonGoto" localSheetId="2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>#REF!</definedName>
    <definedName name="Code_rang1">#REF!</definedName>
    <definedName name="Code_rang1_1">#REF!</definedName>
    <definedName name="Code_rang1_2">#REF!</definedName>
    <definedName name="Code_rang1_3">#REF!</definedName>
    <definedName name="Code_rang1_4">#REF!</definedName>
    <definedName name="Code_rang1_5">#REF!</definedName>
    <definedName name="Code_rang1_6">#REF!</definedName>
    <definedName name="Code_rang1_7">#REF!</definedName>
    <definedName name="Code_rang1_8">#REF!</definedName>
    <definedName name="Code_rang2">#REF!</definedName>
    <definedName name="Code_rang2_2">#REF!</definedName>
    <definedName name="Code_rang2_3">#REF!</definedName>
    <definedName name="Code_rang2_4">#REF!</definedName>
    <definedName name="Code_rang2_5">#REF!</definedName>
    <definedName name="Code_rang2_6">#REF!</definedName>
    <definedName name="Code_rang2_7">#REF!</definedName>
    <definedName name="Code_rang2_8">#REF!</definedName>
    <definedName name="Code_rang3">#REF!</definedName>
    <definedName name="Code_rang3_3">#REF!</definedName>
    <definedName name="Code_rang3_4">#REF!</definedName>
    <definedName name="Code_rang3_5">#REF!</definedName>
    <definedName name="Code_rang3_6">#REF!</definedName>
    <definedName name="Code_rang3_7">#REF!</definedName>
    <definedName name="Code_rang3_8">#REF!</definedName>
    <definedName name="Code_rang4">#REF!</definedName>
    <definedName name="Code_rang4_4">#REF!</definedName>
    <definedName name="Code_rang4_5">#REF!</definedName>
    <definedName name="Code_rang4_6">#REF!</definedName>
    <definedName name="Code_rang4_7">#REF!</definedName>
    <definedName name="Code_rang4_8">#REF!</definedName>
    <definedName name="Code_rang5">#REF!</definedName>
    <definedName name="Code_rang5_5">#REF!</definedName>
    <definedName name="Code_rang5_6">#REF!</definedName>
    <definedName name="Code_rang5_7">#REF!</definedName>
    <definedName name="Code_rang5_8">#REF!</definedName>
    <definedName name="Code_rang6">#REF!</definedName>
    <definedName name="Code_rang6_6">#REF!</definedName>
    <definedName name="Code_rang6_7">#REF!</definedName>
    <definedName name="Code_rang6_8">#REF!</definedName>
    <definedName name="Code_rang7">#REF!</definedName>
    <definedName name="Code_rang7_7">#REF!</definedName>
    <definedName name="Code_rang7_8">#REF!</definedName>
    <definedName name="Code_rang8">#REF!</definedName>
    <definedName name="Code_rang8_8">#REF!</definedName>
    <definedName name="CreditMetrixPropabilities" localSheetId="7">'для стресс-теста'!CreditMetrixPropabilities</definedName>
    <definedName name="CreditMetrixPropabilities" localSheetId="2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7">OFFSET(CurrenciesStart,0,1,COUNTA(CurrencyRecords),2)</definedName>
    <definedName name="Currency_Lookback" localSheetId="2">OFFSET(CurrenciesStart,0,1,COUNTA(CurrencyRecords),2)</definedName>
    <definedName name="Currency_Lookback">OFFSET(CurrenciesStart,0,1,COUNTA(CurrencyRecords),2)</definedName>
    <definedName name="CurrencyChoices" localSheetId="7">OFFSET(CurrenciesStart,0,0,COUNTA(CurrencyRecords),1)</definedName>
    <definedName name="CurrencyChoices" localSheetId="2">OFFSET(CurrenciesStart,0,0,COUNTA(CurrencyRecords),1)</definedName>
    <definedName name="CurrencyChoices">OFFSET(CurrenciesStart,0,0,COUNTA(CurrencyRecords),1)</definedName>
    <definedName name="CurrencyLookup" localSheetId="7">OFFSET(CurrenciesStart,0,0,COUNTA(CurrencyRecords),2)</definedName>
    <definedName name="CurrencyLookup" localSheetId="2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>'[3]Letter Numerators'!#REF!</definedName>
    <definedName name="Day_cur_12">#REF!</definedName>
    <definedName name="Day_next_12">#REF!</definedName>
    <definedName name="Day_next_3">#REF!</definedName>
    <definedName name="Day_next_6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>#REF!</definedName>
    <definedName name="ewrer3r3">'[4]V-46'!#REF!</definedName>
    <definedName name="ExpLossRate">'[1]Model Inputs'!$D$18</definedName>
    <definedName name="ExpLossRates">'[1]Source Tables'!$J$32:$N$52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>'[3]Letter Cumulative Default Rates'!#REF!</definedName>
    <definedName name="fil">#REF!</definedName>
    <definedName name="g" localSheetId="2">#REF!</definedName>
    <definedName name="g">#REF!</definedName>
    <definedName name="h" localSheetId="2">#REF!</definedName>
    <definedName name="h">#REF!</definedName>
    <definedName name="header">#REF!</definedName>
    <definedName name="High">"High"</definedName>
    <definedName name="i">#REF!</definedName>
    <definedName name="Index" localSheetId="2">#REF!</definedName>
    <definedName name="Index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>#REF!</definedName>
    <definedName name="j" localSheetId="2">#REF!</definedName>
    <definedName name="j">#REF!</definedName>
    <definedName name="k" localSheetId="2">#REF!</definedName>
    <definedName name="k">#REF!</definedName>
    <definedName name="kl" localSheetId="2">'[3]Letter Numerators'!#REF!</definedName>
    <definedName name="kl">'[3]Letter Numerators'!#REF!</definedName>
    <definedName name="kv1_go_rang1">#REF!</definedName>
    <definedName name="kv1_go_rang2">#REF!</definedName>
    <definedName name="kv1_go_rang3">#REF!</definedName>
    <definedName name="kv1_go_rang4">#REF!</definedName>
    <definedName name="kv1_go_rang5">#REF!</definedName>
    <definedName name="kv1_go_rang6">#REF!</definedName>
    <definedName name="kv1_go_rang7">#REF!</definedName>
    <definedName name="kv1_go_rang8">#REF!</definedName>
    <definedName name="kv1_post_rang1">#REF!</definedName>
    <definedName name="kv1_post_rang2">#REF!</definedName>
    <definedName name="kv1_post_rang3">#REF!</definedName>
    <definedName name="kv1_post_rang4">#REF!</definedName>
    <definedName name="kv1_post_rang5">#REF!</definedName>
    <definedName name="kv1_post_rang6">#REF!</definedName>
    <definedName name="kv1_post_rang7">#REF!</definedName>
    <definedName name="kv1_post_rang8">#REF!</definedName>
    <definedName name="kv1_tp_rang1">#REF!</definedName>
    <definedName name="kv1_tp_rang2">#REF!</definedName>
    <definedName name="kv1_tp_rang3">#REF!</definedName>
    <definedName name="kv1_tp_rang4">#REF!</definedName>
    <definedName name="kv1_tp_rang5">#REF!</definedName>
    <definedName name="kv1_tp_rang6">#REF!</definedName>
    <definedName name="kv1_tp_rang7">#REF!</definedName>
    <definedName name="kv1_tp_rang8">#REF!</definedName>
    <definedName name="kv1_vrem_rang1">#REF!</definedName>
    <definedName name="kv1_vrem_rang2">#REF!</definedName>
    <definedName name="kv1_vrem_rang3">#REF!</definedName>
    <definedName name="kv1_vrem_rang4">#REF!</definedName>
    <definedName name="kv1_vrem_rang5">#REF!</definedName>
    <definedName name="kv1_vrem_rang6">#REF!</definedName>
    <definedName name="kv1_vrem_rang7">#REF!</definedName>
    <definedName name="kv1_vrem_rang8">#REF!</definedName>
    <definedName name="kv1_zel_rang1">#REF!</definedName>
    <definedName name="kv1_zel_rang2">#REF!</definedName>
    <definedName name="kv1_zel_rang3">#REF!</definedName>
    <definedName name="kv1_zel_rang4">#REF!</definedName>
    <definedName name="kv1_zel_rang5">#REF!</definedName>
    <definedName name="kv1_zel_rang6">#REF!</definedName>
    <definedName name="kv1_zel_rang7">#REF!</definedName>
    <definedName name="kv1_zel_rang8">#REF!</definedName>
    <definedName name="kv2_go_rang1">#REF!</definedName>
    <definedName name="kv2_go_rang2">#REF!</definedName>
    <definedName name="kv2_go_rang3">#REF!</definedName>
    <definedName name="kv2_go_rang4">#REF!</definedName>
    <definedName name="kv2_go_rang5">#REF!</definedName>
    <definedName name="kv2_go_rang6">#REF!</definedName>
    <definedName name="kv2_go_rang7">#REF!</definedName>
    <definedName name="kv2_go_rang8">#REF!</definedName>
    <definedName name="kv2_post_rang1">#REF!</definedName>
    <definedName name="kv2_post_rang2">#REF!</definedName>
    <definedName name="kv2_post_rang3">#REF!</definedName>
    <definedName name="kv2_post_rang4">#REF!</definedName>
    <definedName name="kv2_post_rang5">#REF!</definedName>
    <definedName name="kv2_post_rang6">#REF!</definedName>
    <definedName name="kv2_post_rang7">#REF!</definedName>
    <definedName name="kv2_post_rang8">#REF!</definedName>
    <definedName name="kv2_tp_rang1">#REF!</definedName>
    <definedName name="kv2_tp_rang2">#REF!</definedName>
    <definedName name="kv2_tp_rang3">#REF!</definedName>
    <definedName name="kv2_tp_rang4">#REF!</definedName>
    <definedName name="kv2_tp_rang5">#REF!</definedName>
    <definedName name="kv2_tp_rang6">#REF!</definedName>
    <definedName name="kv2_tp_rang7">#REF!</definedName>
    <definedName name="kv2_tp_rang8">#REF!</definedName>
    <definedName name="kv2_vrem_rang1">#REF!</definedName>
    <definedName name="kv2_vrem_rang2">#REF!</definedName>
    <definedName name="kv2_vrem_rang3">#REF!</definedName>
    <definedName name="kv2_vrem_rang4">#REF!</definedName>
    <definedName name="kv2_vrem_rang5">#REF!</definedName>
    <definedName name="kv2_vrem_rang6">#REF!</definedName>
    <definedName name="kv2_vrem_rang7">#REF!</definedName>
    <definedName name="kv2_vrem_rang8">#REF!</definedName>
    <definedName name="kv2_zel_rang1">#REF!</definedName>
    <definedName name="kv2_zel_rang2">#REF!</definedName>
    <definedName name="kv2_zel_rang3">#REF!</definedName>
    <definedName name="kv2_zel_rang4">#REF!</definedName>
    <definedName name="kv2_zel_rang5">#REF!</definedName>
    <definedName name="kv2_zel_rang6">#REF!</definedName>
    <definedName name="kv2_zel_rang7">#REF!</definedName>
    <definedName name="kv2_zel_rang8">#REF!</definedName>
    <definedName name="kv3_go_rang1">#REF!</definedName>
    <definedName name="kv3_go_rang2">#REF!</definedName>
    <definedName name="kv3_go_rang3">#REF!</definedName>
    <definedName name="kv3_go_rang4">#REF!</definedName>
    <definedName name="kv3_go_rang5">#REF!</definedName>
    <definedName name="kv3_go_rang6">#REF!</definedName>
    <definedName name="kv3_go_rang7">#REF!</definedName>
    <definedName name="kv3_go_rang8">#REF!</definedName>
    <definedName name="kv3_post_rang1">#REF!</definedName>
    <definedName name="kv3_post_rang2">#REF!</definedName>
    <definedName name="kv3_post_rang3">#REF!</definedName>
    <definedName name="kv3_post_rang4">#REF!</definedName>
    <definedName name="kv3_post_rang5">#REF!</definedName>
    <definedName name="kv3_post_rang6">#REF!</definedName>
    <definedName name="kv3_post_rang7">#REF!</definedName>
    <definedName name="kv3_post_rang8">#REF!</definedName>
    <definedName name="kv3_tp_rang1">#REF!</definedName>
    <definedName name="kv3_tp_rang2">#REF!</definedName>
    <definedName name="kv3_tp_rang3">#REF!</definedName>
    <definedName name="kv3_tp_rang4">#REF!</definedName>
    <definedName name="kv3_tp_rang5">#REF!</definedName>
    <definedName name="kv3_tp_rang6">#REF!</definedName>
    <definedName name="kv3_tp_rang7">#REF!</definedName>
    <definedName name="kv3_tp_rang8">#REF!</definedName>
    <definedName name="kv3_vrem_rang1">#REF!</definedName>
    <definedName name="kv3_vrem_rang2">#REF!</definedName>
    <definedName name="kv3_vrem_rang3">#REF!</definedName>
    <definedName name="kv3_vrem_rang4">#REF!</definedName>
    <definedName name="kv3_vrem_rang5">#REF!</definedName>
    <definedName name="kv3_vrem_rang6">#REF!</definedName>
    <definedName name="kv3_vrem_rang7">#REF!</definedName>
    <definedName name="kv3_vrem_rang8">#REF!</definedName>
    <definedName name="kv3_zel_rang1">#REF!</definedName>
    <definedName name="kv3_zel_rang2">#REF!</definedName>
    <definedName name="kv3_zel_rang3">#REF!</definedName>
    <definedName name="kv3_zel_rang4">#REF!</definedName>
    <definedName name="kv3_zel_rang5">#REF!</definedName>
    <definedName name="kv3_zel_rang6">#REF!</definedName>
    <definedName name="kv3_zel_rang7">#REF!</definedName>
    <definedName name="kv3_zel_rang8">#REF!</definedName>
    <definedName name="kv4_go_rang1">#REF!</definedName>
    <definedName name="kv4_go_rang2">#REF!</definedName>
    <definedName name="kv4_go_rang3">#REF!</definedName>
    <definedName name="kv4_go_rang4">#REF!</definedName>
    <definedName name="kv4_go_rang5">#REF!</definedName>
    <definedName name="kv4_go_rang6">#REF!</definedName>
    <definedName name="kv4_go_rang7">#REF!</definedName>
    <definedName name="kv4_go_rang8">#REF!</definedName>
    <definedName name="kv4_post_rang1">#REF!</definedName>
    <definedName name="kv4_post_rang2">#REF!</definedName>
    <definedName name="kv4_post_rang3">#REF!</definedName>
    <definedName name="kv4_post_rang4">#REF!</definedName>
    <definedName name="kv4_post_rang5">#REF!</definedName>
    <definedName name="kv4_post_rang6">#REF!</definedName>
    <definedName name="kv4_post_rang7">#REF!</definedName>
    <definedName name="kv4_post_rang8">#REF!</definedName>
    <definedName name="kv4_tp_rang1">#REF!</definedName>
    <definedName name="kv4_tp_rang2">#REF!</definedName>
    <definedName name="kv4_tp_rang3">#REF!</definedName>
    <definedName name="kv4_tp_rang4">#REF!</definedName>
    <definedName name="kv4_tp_rang5">#REF!</definedName>
    <definedName name="kv4_tp_rang6">#REF!</definedName>
    <definedName name="kv4_tp_rang7">#REF!</definedName>
    <definedName name="kv4_tp_rang8">#REF!</definedName>
    <definedName name="kv4_vrem_rang1">#REF!</definedName>
    <definedName name="kv4_vrem_rang2">#REF!</definedName>
    <definedName name="kv4_vrem_rang3">#REF!</definedName>
    <definedName name="kv4_vrem_rang4">#REF!</definedName>
    <definedName name="kv4_vrem_rang5">#REF!</definedName>
    <definedName name="kv4_vrem_rang6">#REF!</definedName>
    <definedName name="kv4_vrem_rang7">#REF!</definedName>
    <definedName name="kv4_vrem_rang8">#REF!</definedName>
    <definedName name="kv4_zel_rang1">#REF!</definedName>
    <definedName name="kv4_zel_rang2">#REF!</definedName>
    <definedName name="kv4_zel_rang3">#REF!</definedName>
    <definedName name="kv4_zel_rang4">#REF!</definedName>
    <definedName name="kv4_zel_rang5">#REF!</definedName>
    <definedName name="kv4_zel_rang6">#REF!</definedName>
    <definedName name="kv4_zel_rang7">#REF!</definedName>
    <definedName name="kv4_zel_rang8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>#REF!</definedName>
    <definedName name="line_rang1_1">#REF!</definedName>
    <definedName name="line_rang1_2">#REF!</definedName>
    <definedName name="line_rang1_3">#REF!</definedName>
    <definedName name="line_rang1_4">#REF!</definedName>
    <definedName name="line_rang1_5">#REF!</definedName>
    <definedName name="line_rang1_6">#REF!</definedName>
    <definedName name="line_rang1_7">#REF!</definedName>
    <definedName name="line_rang1_8">#REF!</definedName>
    <definedName name="line_rang2">#REF!</definedName>
    <definedName name="line_rang2_2">#REF!</definedName>
    <definedName name="line_rang2_3">#REF!</definedName>
    <definedName name="line_rang2_4">#REF!</definedName>
    <definedName name="line_rang2_5">#REF!</definedName>
    <definedName name="line_rang2_6">#REF!</definedName>
    <definedName name="line_rang2_7">#REF!</definedName>
    <definedName name="line_rang2_8">#REF!</definedName>
    <definedName name="line_rang3">#REF!</definedName>
    <definedName name="line_rang3_3">#REF!</definedName>
    <definedName name="line_rang3_4">#REF!</definedName>
    <definedName name="line_rang3_5">#REF!</definedName>
    <definedName name="line_rang3_6">#REF!</definedName>
    <definedName name="line_rang3_7">#REF!</definedName>
    <definedName name="line_rang3_8">#REF!</definedName>
    <definedName name="line_rang4">#REF!</definedName>
    <definedName name="line_rang4_4">#REF!</definedName>
    <definedName name="line_rang4_5">#REF!</definedName>
    <definedName name="line_rang4_6">#REF!</definedName>
    <definedName name="line_rang4_7">#REF!</definedName>
    <definedName name="line_rang4_8">#REF!</definedName>
    <definedName name="line_rang5">#REF!</definedName>
    <definedName name="line_rang5_5">#REF!</definedName>
    <definedName name="line_rang5_6">#REF!</definedName>
    <definedName name="line_rang5_7">#REF!</definedName>
    <definedName name="line_rang5_8">#REF!</definedName>
    <definedName name="line_rang6">#REF!</definedName>
    <definedName name="line_rang6_6">#REF!</definedName>
    <definedName name="line_rang6_7">#REF!</definedName>
    <definedName name="line_rang6_8">#REF!</definedName>
    <definedName name="line_rang7">#REF!</definedName>
    <definedName name="line_rang7_7">#REF!</definedName>
    <definedName name="line_rang7_8">#REF!</definedName>
    <definedName name="line_rang8">#REF!</definedName>
    <definedName name="line_rang8_8">#REF!</definedName>
    <definedName name="Linking_1" localSheetId="2">#REF!</definedName>
    <definedName name="Linking_1">#REF!</definedName>
    <definedName name="Linking_10" localSheetId="2">#REF!</definedName>
    <definedName name="Linking_10">#REF!</definedName>
    <definedName name="Linking_2" localSheetId="2">#REF!</definedName>
    <definedName name="Linking_2">#REF!</definedName>
    <definedName name="Linking_20" localSheetId="2">#REF!</definedName>
    <definedName name="Linking_20">#REF!</definedName>
    <definedName name="Linking_3" localSheetId="2">#REF!</definedName>
    <definedName name="Linking_3">#REF!</definedName>
    <definedName name="Linking_35" localSheetId="2">#REF!</definedName>
    <definedName name="Linking_35">#REF!</definedName>
    <definedName name="Linking_4" localSheetId="2">#REF!</definedName>
    <definedName name="Linking_4">#REF!</definedName>
    <definedName name="Linking_40" localSheetId="2">'[4]V-46'!#REF!</definedName>
    <definedName name="Linking_40">'[4]V-46'!#REF!</definedName>
    <definedName name="Linking_5" localSheetId="2">#REF!</definedName>
    <definedName name="Linking_5">#REF!</definedName>
    <definedName name="Linking_6" localSheetId="2">#REF!</definedName>
    <definedName name="Linking_6">#REF!</definedName>
    <definedName name="Linking_7" localSheetId="2">#REF!</definedName>
    <definedName name="Linking_7">#REF!</definedName>
    <definedName name="Linking_8" localSheetId="2">#REF!</definedName>
    <definedName name="Linking_8">#REF!</definedName>
    <definedName name="Linking_9" localSheetId="2">#REF!</definedName>
    <definedName name="Linking_9">#REF!</definedName>
    <definedName name="Linking_ExampleTable1_Copy" localSheetId="2">#REF!</definedName>
    <definedName name="Linking_ExampleTable1_Copy">#REF!</definedName>
    <definedName name="Linking_ExampleTable1_CopyRect" localSheetId="2">#REF!</definedName>
    <definedName name="Linking_ExampleTable1_CopyRect">#REF!</definedName>
    <definedName name="Linking_ExampleTable10_Copy" localSheetId="2">#REF!</definedName>
    <definedName name="Linking_ExampleTable10_Copy">#REF!</definedName>
    <definedName name="Linking_ExampleTable10_CopyRect" localSheetId="2">#REF!</definedName>
    <definedName name="Linking_ExampleTable10_CopyRect">#REF!</definedName>
    <definedName name="Linking_ExampleTable11_Copy" localSheetId="2">#REF!</definedName>
    <definedName name="Linking_ExampleTable11_Copy">#REF!</definedName>
    <definedName name="Linking_ExampleTable11_CopyRect" localSheetId="2">#REF!</definedName>
    <definedName name="Linking_ExampleTable11_CopyRect">#REF!</definedName>
    <definedName name="Linking_ExampleTable12_Copy" localSheetId="2">#REF!</definedName>
    <definedName name="Linking_ExampleTable12_Copy">#REF!</definedName>
    <definedName name="Linking_ExampleTable12_CopyRect" localSheetId="2">#REF!</definedName>
    <definedName name="Linking_ExampleTable12_CopyRect">#REF!</definedName>
    <definedName name="Linking_ExampleTable13_Copy" localSheetId="2">#REF!</definedName>
    <definedName name="Linking_ExampleTable13_Copy">#REF!</definedName>
    <definedName name="Linking_ExampleTable13_CopyRect" localSheetId="2">#REF!</definedName>
    <definedName name="Linking_ExampleTable13_CopyRect">#REF!</definedName>
    <definedName name="Linking_ExampleTable14_Copy" localSheetId="2">#REF!</definedName>
    <definedName name="Linking_ExampleTable14_Copy">#REF!</definedName>
    <definedName name="Linking_ExampleTable14_CopyRect" localSheetId="2">#REF!</definedName>
    <definedName name="Linking_ExampleTable14_CopyRect">#REF!</definedName>
    <definedName name="Linking_ExampleTable15_Copy" localSheetId="2">#REF!</definedName>
    <definedName name="Linking_ExampleTable15_Copy">#REF!</definedName>
    <definedName name="Linking_ExampleTable15_CopyRect" localSheetId="2">#REF!</definedName>
    <definedName name="Linking_ExampleTable15_CopyRect">#REF!</definedName>
    <definedName name="Linking_ExampleTable16_Copy" localSheetId="2">#REF!</definedName>
    <definedName name="Linking_ExampleTable16_Copy">#REF!</definedName>
    <definedName name="Linking_ExampleTable16_CopyRect" localSheetId="2">#REF!</definedName>
    <definedName name="Linking_ExampleTable16_CopyRect">#REF!</definedName>
    <definedName name="Linking_ExampleTable17_Copy" localSheetId="2">#REF!</definedName>
    <definedName name="Linking_ExampleTable17_Copy">#REF!</definedName>
    <definedName name="Linking_ExampleTable17_CopyRect" localSheetId="2">#REF!</definedName>
    <definedName name="Linking_ExampleTable17_CopyRect">#REF!</definedName>
    <definedName name="Linking_ExampleTable18_Copy" localSheetId="2">#REF!</definedName>
    <definedName name="Linking_ExampleTable18_Copy">#REF!</definedName>
    <definedName name="Linking_ExampleTable18_CopyRect" localSheetId="2">#REF!</definedName>
    <definedName name="Linking_ExampleTable18_CopyRect">#REF!</definedName>
    <definedName name="Linking_ExampleTable19_Copy" localSheetId="2">#REF!</definedName>
    <definedName name="Linking_ExampleTable19_Copy">#REF!</definedName>
    <definedName name="Linking_ExampleTable19_CopyRect" localSheetId="2">#REF!</definedName>
    <definedName name="Linking_ExampleTable19_CopyRect">#REF!</definedName>
    <definedName name="Linking_ExampleTable2_Copy" localSheetId="2">#REF!</definedName>
    <definedName name="Linking_ExampleTable2_Copy">#REF!</definedName>
    <definedName name="Linking_ExampleTable2_CopyRect" localSheetId="2">#REF!</definedName>
    <definedName name="Linking_ExampleTable2_CopyRect">#REF!</definedName>
    <definedName name="Linking_ExampleTable20_Copy" localSheetId="2">#REF!</definedName>
    <definedName name="Linking_ExampleTable20_Copy">#REF!</definedName>
    <definedName name="Linking_ExampleTable20_CopyRect" localSheetId="2">#REF!</definedName>
    <definedName name="Linking_ExampleTable20_CopyRect">#REF!</definedName>
    <definedName name="Linking_ExampleTable21_Copy" localSheetId="2">#REF!</definedName>
    <definedName name="Linking_ExampleTable21_Copy">#REF!</definedName>
    <definedName name="Linking_ExampleTable21_CopyRect" localSheetId="2">#REF!</definedName>
    <definedName name="Linking_ExampleTable21_CopyRect">#REF!</definedName>
    <definedName name="Linking_ExampleTable22_Copy" localSheetId="2">#REF!</definedName>
    <definedName name="Linking_ExampleTable22_Copy">#REF!</definedName>
    <definedName name="Linking_ExampleTable22_CopyRect" localSheetId="2">#REF!</definedName>
    <definedName name="Linking_ExampleTable22_CopyRect">#REF!</definedName>
    <definedName name="Linking_ExampleTable23_Copy" localSheetId="2">#REF!</definedName>
    <definedName name="Linking_ExampleTable23_Copy">#REF!</definedName>
    <definedName name="Linking_ExampleTable23_CopyRect" localSheetId="2">#REF!</definedName>
    <definedName name="Linking_ExampleTable23_CopyRect">#REF!</definedName>
    <definedName name="Linking_ExampleTable24_Copy" localSheetId="2">#REF!</definedName>
    <definedName name="Linking_ExampleTable24_Copy">#REF!</definedName>
    <definedName name="Linking_ExampleTable24_CopyRect" localSheetId="2">#REF!</definedName>
    <definedName name="Linking_ExampleTable24_CopyRect">#REF!</definedName>
    <definedName name="Linking_ExampleTable25_Copy" localSheetId="2">#REF!</definedName>
    <definedName name="Linking_ExampleTable25_Copy">#REF!</definedName>
    <definedName name="Linking_ExampleTable25_CopyRect" localSheetId="2">#REF!</definedName>
    <definedName name="Linking_ExampleTable25_CopyRect">#REF!</definedName>
    <definedName name="Linking_ExampleTable26_Copy" localSheetId="2">#REF!</definedName>
    <definedName name="Linking_ExampleTable26_Copy">#REF!</definedName>
    <definedName name="Linking_ExampleTable26_CopyRect" localSheetId="2">#REF!</definedName>
    <definedName name="Linking_ExampleTable26_CopyRect">#REF!</definedName>
    <definedName name="Linking_ExampleTable27_Copy" localSheetId="2">#REF!</definedName>
    <definedName name="Linking_ExampleTable27_Copy">#REF!</definedName>
    <definedName name="Linking_ExampleTable27_CopyRect" localSheetId="2">#REF!</definedName>
    <definedName name="Linking_ExampleTable27_CopyRect">#REF!</definedName>
    <definedName name="Linking_ExampleTable28_Copy" localSheetId="2">#REF!</definedName>
    <definedName name="Linking_ExampleTable28_Copy">#REF!</definedName>
    <definedName name="Linking_ExampleTable28_CopyRect" localSheetId="2">#REF!</definedName>
    <definedName name="Linking_ExampleTable28_CopyRect">#REF!</definedName>
    <definedName name="Linking_ExampleTable29_Copy" localSheetId="2">#REF!</definedName>
    <definedName name="Linking_ExampleTable29_Copy">#REF!</definedName>
    <definedName name="Linking_ExampleTable29_CopyRect" localSheetId="2">#REF!</definedName>
    <definedName name="Linking_ExampleTable29_CopyRect">#REF!</definedName>
    <definedName name="Linking_ExampleTable3_Copy" localSheetId="2">#REF!</definedName>
    <definedName name="Linking_ExampleTable3_Copy">#REF!</definedName>
    <definedName name="Linking_ExampleTable3_Copy54" localSheetId="2">#REF!</definedName>
    <definedName name="Linking_ExampleTable3_Copy54">#REF!</definedName>
    <definedName name="Linking_ExampleTable3_CopyRect" localSheetId="2">#REF!</definedName>
    <definedName name="Linking_ExampleTable3_CopyRect">#REF!</definedName>
    <definedName name="Linking_ExampleTable30_Copy" localSheetId="2">#REF!</definedName>
    <definedName name="Linking_ExampleTable30_Copy">#REF!</definedName>
    <definedName name="Linking_ExampleTable30_CopyRect" localSheetId="2">#REF!</definedName>
    <definedName name="Linking_ExampleTable30_CopyRect">#REF!</definedName>
    <definedName name="Linking_ExampleTable31_Copy" localSheetId="2">#REF!</definedName>
    <definedName name="Linking_ExampleTable31_Copy">#REF!</definedName>
    <definedName name="Linking_ExampleTable31_CopyRect" localSheetId="2">#REF!</definedName>
    <definedName name="Linking_ExampleTable31_CopyRect">#REF!</definedName>
    <definedName name="Linking_ExampleTable32_Copy" localSheetId="2">#REF!</definedName>
    <definedName name="Linking_ExampleTable32_Copy">#REF!</definedName>
    <definedName name="Linking_ExampleTable32_CopyRect" localSheetId="2">#REF!</definedName>
    <definedName name="Linking_ExampleTable32_CopyRect">#REF!</definedName>
    <definedName name="Linking_ExampleTable33_Copy" localSheetId="2">#REF!</definedName>
    <definedName name="Linking_ExampleTable33_Copy">#REF!</definedName>
    <definedName name="Linking_ExampleTable33_CopyRect" localSheetId="2">#REF!</definedName>
    <definedName name="Linking_ExampleTable33_CopyRect">#REF!</definedName>
    <definedName name="Linking_ExampleTable34_Copy" localSheetId="2">#REF!</definedName>
    <definedName name="Linking_ExampleTable34_Copy">#REF!</definedName>
    <definedName name="Linking_ExampleTable34_CopyRect" localSheetId="2">#REF!</definedName>
    <definedName name="Linking_ExampleTable34_CopyRect">#REF!</definedName>
    <definedName name="Linking_ExampleTable35_Copy" localSheetId="2">#REF!</definedName>
    <definedName name="Linking_ExampleTable35_Copy">#REF!</definedName>
    <definedName name="Linking_ExampleTable35_CopyRect" localSheetId="2">#REF!</definedName>
    <definedName name="Linking_ExampleTable35_CopyRect">#REF!</definedName>
    <definedName name="Linking_ExampleTable36_Copy" localSheetId="2">#REF!</definedName>
    <definedName name="Linking_ExampleTable36_Copy">#REF!</definedName>
    <definedName name="Linking_ExampleTable36_CopyRect" localSheetId="2">#REF!</definedName>
    <definedName name="Linking_ExampleTable36_CopyRect">#REF!</definedName>
    <definedName name="Linking_ExampleTable4_Copy" localSheetId="2">#REF!</definedName>
    <definedName name="Linking_ExampleTable4_Copy">#REF!</definedName>
    <definedName name="Linking_ExampleTable4_CopyRect" localSheetId="2">#REF!</definedName>
    <definedName name="Linking_ExampleTable4_CopyRect">#REF!</definedName>
    <definedName name="Linking_ExampleTable5_Copy" localSheetId="2">#REF!</definedName>
    <definedName name="Linking_ExampleTable5_Copy">#REF!</definedName>
    <definedName name="Linking_ExampleTable5_CopyRect" localSheetId="2">#REF!</definedName>
    <definedName name="Linking_ExampleTable5_CopyRect">#REF!</definedName>
    <definedName name="Linking_ExampleTable6_Copy" localSheetId="2">#REF!</definedName>
    <definedName name="Linking_ExampleTable6_Copy">#REF!</definedName>
    <definedName name="Linking_ExampleTable6_CopyRect" localSheetId="2">#REF!</definedName>
    <definedName name="Linking_ExampleTable6_CopyRect">#REF!</definedName>
    <definedName name="Linking_ExampleTable7_Copy" localSheetId="2">#REF!</definedName>
    <definedName name="Linking_ExampleTable7_Copy">#REF!</definedName>
    <definedName name="Linking_ExampleTable7_CopyRect" localSheetId="2">#REF!</definedName>
    <definedName name="Linking_ExampleTable7_CopyRect">#REF!</definedName>
    <definedName name="Linking_ExampleTable8_Copy" localSheetId="2">#REF!</definedName>
    <definedName name="Linking_ExampleTable8_Copy">#REF!</definedName>
    <definedName name="Linking_ExampleTable8_CopyRect" localSheetId="2">#REF!</definedName>
    <definedName name="Linking_ExampleTable8_CopyRect">#REF!</definedName>
    <definedName name="Linking_ExampleTable9_Copy" localSheetId="2">#REF!</definedName>
    <definedName name="Linking_ExampleTable9_Copy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2">#REF!</definedName>
    <definedName name="m">#REF!</definedName>
    <definedName name="m_CohortDate" localSheetId="2">#REF!</definedName>
    <definedName name="m_CohortDate">#REF!</definedName>
    <definedName name="m_ColRef" localSheetId="2">#REF!</definedName>
    <definedName name="m_ColRef">#REF!</definedName>
    <definedName name="m_ColRef1" localSheetId="2">#REF!</definedName>
    <definedName name="m_ColRef1">#REF!</definedName>
    <definedName name="m_CriteriaField" localSheetId="2">#REF!</definedName>
    <definedName name="m_CriteriaField">#REF!</definedName>
    <definedName name="M_DataStartPoint1" localSheetId="2">#REF!</definedName>
    <definedName name="M_DataStartPoint1">#REF!</definedName>
    <definedName name="M_DataStartPoint2" localSheetId="2">#REF!</definedName>
    <definedName name="M_DataStartPoint2">#REF!</definedName>
    <definedName name="m_Destination1" localSheetId="2">'[3]Letter Denominators'!#REF!</definedName>
    <definedName name="m_Destination1">'[3]Letter Denominators'!#REF!</definedName>
    <definedName name="m_Destination2" localSheetId="2">'[3]Letter Numerators'!#REF!</definedName>
    <definedName name="m_Destination2">'[3]Letter Numerators'!#REF!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2">#REF!</definedName>
    <definedName name="m_Destination5">#REF!</definedName>
    <definedName name="m_ExtractofIntervals" localSheetId="2">#REF!</definedName>
    <definedName name="m_ExtractofIntervals">#REF!</definedName>
    <definedName name="m_Fill1" localSheetId="2">#REF!</definedName>
    <definedName name="m_Fill1">#REF!</definedName>
    <definedName name="m_Fill2" localSheetId="2">#REF!</definedName>
    <definedName name="m_Fill2">#REF!</definedName>
    <definedName name="m_Fill3" localSheetId="2">#REF!</definedName>
    <definedName name="m_Fill3">#REF!</definedName>
    <definedName name="m_Fill4" localSheetId="2">#REF!</definedName>
    <definedName name="m_Fill4">#REF!</definedName>
    <definedName name="m_Fill5" localSheetId="2">#REF!</definedName>
    <definedName name="m_Fill5">#REF!</definedName>
    <definedName name="m_FirstDate">[3]wParm!$C$24</definedName>
    <definedName name="m_FromRange" localSheetId="2">#REF!</definedName>
    <definedName name="m_FromRange">#REF!</definedName>
    <definedName name="m_FromRange1" localSheetId="2">#REF!</definedName>
    <definedName name="m_FromRange1">#REF!</definedName>
    <definedName name="m_IntervalRecords" localSheetId="2">#REF!</definedName>
    <definedName name="m_IntervalRecords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2">#REF!</definedName>
    <definedName name="M_QueryData_1">#REF!</definedName>
    <definedName name="M_QueryData_2" localSheetId="2">#REF!</definedName>
    <definedName name="M_QueryData_2">#REF!</definedName>
    <definedName name="m_RatingScale" localSheetId="2">#REF!</definedName>
    <definedName name="m_RatingScale">#REF!</definedName>
    <definedName name="m_RowRef" localSheetId="2">#REF!</definedName>
    <definedName name="m_RowRef">#REF!</definedName>
    <definedName name="m_RowRef1" localSheetId="2">#REF!</definedName>
    <definedName name="m_RowRef1">#REF!</definedName>
    <definedName name="m_SortedSquareDes" localSheetId="2">#REF!</definedName>
    <definedName name="m_SortedSquareDes">#REF!</definedName>
    <definedName name="m_SortedSquareDes1" localSheetId="2">#REF!</definedName>
    <definedName name="m_SortedSquareDes1">#REF!</definedName>
    <definedName name="m_Source1" localSheetId="2">#REF!</definedName>
    <definedName name="m_Source1">#REF!</definedName>
    <definedName name="m_Source10" localSheetId="2">'[3]Alpha Num Marginal Def Rate'!#REF!</definedName>
    <definedName name="m_Source10">'[3]Alpha Num Marginal Def Rate'!#REF!</definedName>
    <definedName name="m_Source11" localSheetId="2">'[3]Alpha Num Cumulative  DR'!#REF!</definedName>
    <definedName name="m_Source11">'[3]Alpha Num Cumulative  DR'!#REF!</definedName>
    <definedName name="m_Source12" localSheetId="2">#REF!</definedName>
    <definedName name="m_Source12">#REF!</definedName>
    <definedName name="m_Source2" localSheetId="2">'[3]Letter Numerators'!#REF!</definedName>
    <definedName name="m_Source2">'[3]Letter Numerators'!#REF!</definedName>
    <definedName name="m_Source3" localSheetId="2">'[3]Letter Denominators'!#REF!</definedName>
    <definedName name="m_Source3">'[3]Letter Denominators'!#REF!</definedName>
    <definedName name="m_Source4" localSheetId="2">'[3]Letter Marginal Default Rates'!#REF!</definedName>
    <definedName name="m_Source4">'[3]Letter Marginal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2">#REF!</definedName>
    <definedName name="m_Source6">#REF!</definedName>
    <definedName name="m_Source7" localSheetId="2">#REF!</definedName>
    <definedName name="m_Source7">#REF!</definedName>
    <definedName name="m_Source8" localSheetId="2">'[5]Alpha Numeric Numerators'!#REF!</definedName>
    <definedName name="m_Source8">'[5]Alpha Numeric Numerators'!#REF!</definedName>
    <definedName name="m_Source9" localSheetId="2">'[3]Alpha Numeric Denominators'!#REF!</definedName>
    <definedName name="m_Source9">'[3]Alpha Numeric Denominators'!#REF!</definedName>
    <definedName name="m_SquaredRange" localSheetId="2">#REF!</definedName>
    <definedName name="m_SquaredRange">#REF!</definedName>
    <definedName name="m_SquaredRange1" localSheetId="2">#REF!</definedName>
    <definedName name="m_SquaredRange1">#REF!</definedName>
    <definedName name="m_SquareRef" localSheetId="2">#REF!</definedName>
    <definedName name="m_SquareRef">#REF!</definedName>
    <definedName name="m_SummAlpha_1" localSheetId="2">'[3]Alpha Numeric WACD Rates'!#REF!</definedName>
    <definedName name="m_SummAlpha_1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2">'[3]Letter WACD Rates'!#REF!</definedName>
    <definedName name="m_SummLett_1">'[3]Letter WACD Rates'!#REF!</definedName>
    <definedName name="m_SummLett_2" localSheetId="2">'[3]Letter WACD Rates'!#REF!</definedName>
    <definedName name="m_SummLett_2">'[3]Letter WACD Rates'!#REF!</definedName>
    <definedName name="m_ToRange" localSheetId="2">#REF!</definedName>
    <definedName name="m_ToRange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2">#REF!</definedName>
    <definedName name="mDefaultRate">#REF!</definedName>
    <definedName name="mDemoninator" localSheetId="2">#REF!</definedName>
    <definedName name="mDemoninator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2">#REF!</definedName>
    <definedName name="n">#REF!</definedName>
    <definedName name="name">#REF!</definedName>
    <definedName name="Name_rang1">#REF!</definedName>
    <definedName name="Name_rang1_1">#REF!</definedName>
    <definedName name="Name_rang1_2">#REF!</definedName>
    <definedName name="Name_rang1_3">#REF!</definedName>
    <definedName name="Name_rang1_4">#REF!</definedName>
    <definedName name="Name_rang1_5">#REF!</definedName>
    <definedName name="Name_rang1_6">#REF!</definedName>
    <definedName name="Name_rang1_7">#REF!</definedName>
    <definedName name="Name_rang1_8">#REF!</definedName>
    <definedName name="Name_rang2">#REF!</definedName>
    <definedName name="Name_rang2_2">#REF!</definedName>
    <definedName name="Name_rang2_3">#REF!</definedName>
    <definedName name="Name_rang2_4">#REF!</definedName>
    <definedName name="Name_rang2_5">#REF!</definedName>
    <definedName name="Name_rang2_6">#REF!</definedName>
    <definedName name="Name_rang2_7">#REF!</definedName>
    <definedName name="Name_rang2_8">#REF!</definedName>
    <definedName name="Name_rang3">#REF!</definedName>
    <definedName name="Name_rang3_3">#REF!</definedName>
    <definedName name="Name_rang3_4">#REF!</definedName>
    <definedName name="Name_rang3_5">#REF!</definedName>
    <definedName name="Name_rang3_6">#REF!</definedName>
    <definedName name="Name_rang3_7">#REF!</definedName>
    <definedName name="Name_rang3_8">#REF!</definedName>
    <definedName name="Name_rang4">#REF!</definedName>
    <definedName name="Name_rang4_4">#REF!</definedName>
    <definedName name="Name_rang4_5">#REF!</definedName>
    <definedName name="Name_rang4_6">#REF!</definedName>
    <definedName name="Name_rang4_7">#REF!</definedName>
    <definedName name="Name_rang4_8">#REF!</definedName>
    <definedName name="Name_rang5">#REF!</definedName>
    <definedName name="Name_rang5_5">#REF!</definedName>
    <definedName name="Name_rang5_6">#REF!</definedName>
    <definedName name="Name_rang5_7">#REF!</definedName>
    <definedName name="Name_rang5_8">#REF!</definedName>
    <definedName name="Name_rang6">#REF!</definedName>
    <definedName name="Name_rang6_6">#REF!</definedName>
    <definedName name="Name_rang6_7">#REF!</definedName>
    <definedName name="Name_rang6_8">#REF!</definedName>
    <definedName name="Name_rang7">#REF!</definedName>
    <definedName name="Name_rang7_7">#REF!</definedName>
    <definedName name="Name_rang7_8">#REF!</definedName>
    <definedName name="Name_rang8">#REF!</definedName>
    <definedName name="Name_rang8_8">#REF!</definedName>
    <definedName name="No">[1]Buffer!$B$5</definedName>
    <definedName name="num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>#REF!</definedName>
    <definedName name="Oper_name_rang2">#REF!</definedName>
    <definedName name="Oper_name_rang3">#REF!</definedName>
    <definedName name="Oper_name_rang4">#REF!</definedName>
    <definedName name="Oper_name_rang5">#REF!</definedName>
    <definedName name="Oper_name_rang6">#REF!</definedName>
    <definedName name="Oper_name_rang7">#REF!</definedName>
    <definedName name="Oper_name_rang8">#REF!</definedName>
    <definedName name="OrigELs">'[1]StabilityBands-4Yr'!$A$5:$B$26</definedName>
    <definedName name="ou" localSheetId="7">'для стресс-теста'!ou</definedName>
    <definedName name="ou" localSheetId="2">'РейтPD FRED Graph'!ou</definedName>
    <definedName name="ou">[0]!ou</definedName>
    <definedName name="OverrideFactor">[1]Lookups!$M$91</definedName>
    <definedName name="OverrideValue">[1]Buffer!$T$2:$T$4</definedName>
    <definedName name="owner_1">#REF!</definedName>
    <definedName name="owner_2">#REF!</definedName>
    <definedName name="owner_3">#REF!</definedName>
    <definedName name="owner_4">#REF!</definedName>
    <definedName name="owner_5">#REF!</definedName>
    <definedName name="owner_6">#REF!</definedName>
    <definedName name="owner_7">#REF!</definedName>
    <definedName name="owner_8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>#REF!</definedName>
    <definedName name="prod_name_2">#REF!</definedName>
    <definedName name="prod_name_3">#REF!</definedName>
    <definedName name="prod_name_4">#REF!</definedName>
    <definedName name="prod_name_5">#REF!</definedName>
    <definedName name="prod_name_6">#REF!</definedName>
    <definedName name="prod_name_7">#REF!</definedName>
    <definedName name="prod_name_8">#REF!</definedName>
    <definedName name="q" localSheetId="2">#REF!</definedName>
    <definedName name="q">#REF!</definedName>
    <definedName name="quart1">#REF!</definedName>
    <definedName name="quart2">#REF!</definedName>
    <definedName name="quart3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7">VLOOKUP(CFR_,RatgCaps,4,0)</definedName>
    <definedName name="RatgCap" localSheetId="2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>'[9]бдр 1 кв'!#REF!</definedName>
    <definedName name="Rep_Date_2">#REF!</definedName>
    <definedName name="Rep_Hdr_2">#REF!</definedName>
    <definedName name="rep_month">#REF!</definedName>
    <definedName name="rep_year">#REF!</definedName>
    <definedName name="repsubj">#REF!</definedName>
    <definedName name="rest">#REF!</definedName>
    <definedName name="Rest_Delta_rang1_1">#REF!</definedName>
    <definedName name="Rest_Delta_rang1_2">#REF!</definedName>
    <definedName name="Rest_Delta_rang1_3">#REF!</definedName>
    <definedName name="Rest_Delta_rang1_4">#REF!</definedName>
    <definedName name="Rest_Delta_rang1_5">#REF!</definedName>
    <definedName name="Rest_Delta_rang1_6">#REF!</definedName>
    <definedName name="Rest_Delta_rang1_7">#REF!</definedName>
    <definedName name="Rest_Delta_rang1_8">#REF!</definedName>
    <definedName name="Rest_Delta_rang2_2">#REF!</definedName>
    <definedName name="Rest_Delta_rang2_3">#REF!</definedName>
    <definedName name="Rest_Delta_rang2_4">#REF!</definedName>
    <definedName name="Rest_Delta_rang2_5">#REF!</definedName>
    <definedName name="Rest_Delta_rang2_6">#REF!</definedName>
    <definedName name="Rest_Delta_rang2_7">#REF!</definedName>
    <definedName name="Rest_Delta_rang2_8">#REF!</definedName>
    <definedName name="Rest_Delta_rang3_3">#REF!</definedName>
    <definedName name="Rest_Delta_rang3_4">#REF!</definedName>
    <definedName name="Rest_Delta_rang3_5">#REF!</definedName>
    <definedName name="Rest_Delta_rang3_6">#REF!</definedName>
    <definedName name="Rest_Delta_rang3_7">#REF!</definedName>
    <definedName name="Rest_Delta_rang3_8">#REF!</definedName>
    <definedName name="Rest_Delta_rang4_4">#REF!</definedName>
    <definedName name="Rest_Delta_rang4_5">#REF!</definedName>
    <definedName name="Rest_Delta_rang4_6">#REF!</definedName>
    <definedName name="Rest_Delta_rang4_7">#REF!</definedName>
    <definedName name="Rest_Delta_rang4_8">#REF!</definedName>
    <definedName name="Rest_Delta_rang5_5">#REF!</definedName>
    <definedName name="Rest_Delta_rang5_6">#REF!</definedName>
    <definedName name="Rest_Delta_rang5_7">#REF!</definedName>
    <definedName name="Rest_Delta_rang5_8">#REF!</definedName>
    <definedName name="Rest_Delta_rang6_6">#REF!</definedName>
    <definedName name="Rest_Delta_rang6_7">#REF!</definedName>
    <definedName name="Rest_Delta_rang6_8">#REF!</definedName>
    <definedName name="Rest_Delta_rang7_7">#REF!</definedName>
    <definedName name="Rest_Delta_rang7_8">#REF!</definedName>
    <definedName name="Rest_Delta_rang8_8">#REF!</definedName>
    <definedName name="Rest_Fact_rang1_1">#REF!</definedName>
    <definedName name="Rest_Fact_rang1_2">#REF!</definedName>
    <definedName name="Rest_Fact_rang1_3">#REF!</definedName>
    <definedName name="Rest_Fact_rang1_4">#REF!</definedName>
    <definedName name="Rest_Fact_rang1_5">#REF!</definedName>
    <definedName name="Rest_Fact_rang1_6">#REF!</definedName>
    <definedName name="Rest_Fact_rang1_7">#REF!</definedName>
    <definedName name="Rest_Fact_rang1_8">#REF!</definedName>
    <definedName name="Rest_Fact_rang2_2">#REF!</definedName>
    <definedName name="Rest_Fact_rang2_3">#REF!</definedName>
    <definedName name="Rest_Fact_rang2_4">#REF!</definedName>
    <definedName name="Rest_Fact_rang2_5">#REF!</definedName>
    <definedName name="Rest_Fact_rang2_6">#REF!</definedName>
    <definedName name="Rest_Fact_rang2_7">#REF!</definedName>
    <definedName name="Rest_Fact_rang2_8">#REF!</definedName>
    <definedName name="Rest_Fact_rang3_3">#REF!</definedName>
    <definedName name="Rest_Fact_rang3_4">#REF!</definedName>
    <definedName name="Rest_Fact_rang3_5">#REF!</definedName>
    <definedName name="Rest_Fact_rang3_6">#REF!</definedName>
    <definedName name="Rest_Fact_rang3_7">#REF!</definedName>
    <definedName name="Rest_Fact_rang3_8">#REF!</definedName>
    <definedName name="Rest_Fact_rang4_4">#REF!</definedName>
    <definedName name="Rest_Fact_rang4_5">#REF!</definedName>
    <definedName name="Rest_Fact_rang4_6">#REF!</definedName>
    <definedName name="Rest_Fact_rang4_7">#REF!</definedName>
    <definedName name="Rest_Fact_rang4_8">#REF!</definedName>
    <definedName name="Rest_Fact_rang5_5">#REF!</definedName>
    <definedName name="Rest_Fact_rang5_6">#REF!</definedName>
    <definedName name="Rest_Fact_rang5_7">#REF!</definedName>
    <definedName name="Rest_Fact_rang5_8">#REF!</definedName>
    <definedName name="Rest_Fact_rang6_6">#REF!</definedName>
    <definedName name="Rest_Fact_rang6_7">#REF!</definedName>
    <definedName name="Rest_Fact_rang6_8">#REF!</definedName>
    <definedName name="Rest_Fact_rang7_7">#REF!</definedName>
    <definedName name="Rest_Fact_rang7_8">#REF!</definedName>
    <definedName name="Rest_Fact_rang8_8">#REF!</definedName>
    <definedName name="Rest_Plan_rang1_1">#REF!</definedName>
    <definedName name="Rest_Plan_rang1_2">#REF!</definedName>
    <definedName name="Rest_Plan_rang1_3">#REF!</definedName>
    <definedName name="Rest_Plan_rang1_4">#REF!</definedName>
    <definedName name="Rest_Plan_rang1_5">#REF!</definedName>
    <definedName name="Rest_Plan_rang1_6">#REF!</definedName>
    <definedName name="Rest_Plan_rang1_7">#REF!</definedName>
    <definedName name="Rest_Plan_rang1_8">#REF!</definedName>
    <definedName name="Rest_Plan_rang2_2">#REF!</definedName>
    <definedName name="Rest_Plan_rang2_3">#REF!</definedName>
    <definedName name="Rest_Plan_rang2_4">#REF!</definedName>
    <definedName name="Rest_Plan_rang2_5">#REF!</definedName>
    <definedName name="Rest_Plan_rang2_6">#REF!</definedName>
    <definedName name="Rest_Plan_rang2_7">#REF!</definedName>
    <definedName name="Rest_Plan_rang2_8">#REF!</definedName>
    <definedName name="Rest_Plan_rang3_3">#REF!</definedName>
    <definedName name="Rest_Plan_rang3_4">#REF!</definedName>
    <definedName name="Rest_Plan_rang3_5">#REF!</definedName>
    <definedName name="Rest_Plan_rang3_6">#REF!</definedName>
    <definedName name="Rest_Plan_rang3_7">#REF!</definedName>
    <definedName name="Rest_Plan_rang3_8">#REF!</definedName>
    <definedName name="Rest_Plan_rang4_4">#REF!</definedName>
    <definedName name="Rest_Plan_rang4_5">#REF!</definedName>
    <definedName name="Rest_Plan_rang4_6">#REF!</definedName>
    <definedName name="Rest_Plan_rang4_7">#REF!</definedName>
    <definedName name="Rest_Plan_rang4_8">#REF!</definedName>
    <definedName name="Rest_Plan_rang5_5">#REF!</definedName>
    <definedName name="Rest_Plan_rang5_6">#REF!</definedName>
    <definedName name="Rest_Plan_rang5_7">#REF!</definedName>
    <definedName name="Rest_Plan_rang5_8">#REF!</definedName>
    <definedName name="Rest_Plan_rang6_6">#REF!</definedName>
    <definedName name="Rest_Plan_rang6_7">#REF!</definedName>
    <definedName name="Rest_Plan_rang6_8">#REF!</definedName>
    <definedName name="Rest_Plan_rang7_7">#REF!</definedName>
    <definedName name="Rest_Plan_rang7_8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>#REF!</definedName>
    <definedName name="Rur_bap_1_rang2">#REF!</definedName>
    <definedName name="Rur_bap_1_rang3">#REF!</definedName>
    <definedName name="Rur_bap_1_rang4">#REF!</definedName>
    <definedName name="Rur_bap_1_rang5">#REF!</definedName>
    <definedName name="Rur_bap_1_rang6">#REF!</definedName>
    <definedName name="Rur_bap_1_rang7">#REF!</definedName>
    <definedName name="Rur_bap_1_rang8">#REF!</definedName>
    <definedName name="Rur_bap_2_rang1">#REF!</definedName>
    <definedName name="Rur_bap_2_rang2">#REF!</definedName>
    <definedName name="Rur_bap_2_rang3">#REF!</definedName>
    <definedName name="Rur_bap_2_rang4">#REF!</definedName>
    <definedName name="Rur_bap_2_rang5">#REF!</definedName>
    <definedName name="Rur_bap_2_rang6">#REF!</definedName>
    <definedName name="Rur_bap_2_rang7">#REF!</definedName>
    <definedName name="Rur_bap_2_rang8">#REF!</definedName>
    <definedName name="Rur_bap_3_rang1">#REF!</definedName>
    <definedName name="Rur_bap_3_rang2">#REF!</definedName>
    <definedName name="Rur_bap_3_rang3">#REF!</definedName>
    <definedName name="Rur_bap_3_rang4">#REF!</definedName>
    <definedName name="Rur_bap_3_rang5">#REF!</definedName>
    <definedName name="Rur_bap_3_rang6">#REF!</definedName>
    <definedName name="Rur_bap_3_rang7">#REF!</definedName>
    <definedName name="Rur_bap_3_rang8">#REF!</definedName>
    <definedName name="Rur_bap_4_rang1">#REF!</definedName>
    <definedName name="Rur_bap_4_rang2">#REF!</definedName>
    <definedName name="Rur_bap_4_rang3">#REF!</definedName>
    <definedName name="Rur_bap_4_rang4">#REF!</definedName>
    <definedName name="Rur_bap_4_rang5">#REF!</definedName>
    <definedName name="Rur_bap_4_rang6">#REF!</definedName>
    <definedName name="Rur_bap_4_rang7">#REF!</definedName>
    <definedName name="Rur_bap_4_rang8">#REF!</definedName>
    <definedName name="Rur_cur_12_rang1">#REF!</definedName>
    <definedName name="Rur_cur_12_rang2">#REF!</definedName>
    <definedName name="Rur_cur_12_rang3">#REF!</definedName>
    <definedName name="Rur_cur_12_rang4">#REF!</definedName>
    <definedName name="Rur_cur_12_rang5">#REF!</definedName>
    <definedName name="Rur_cur_12_rang6">#REF!</definedName>
    <definedName name="Rur_cur_12_rang7">#REF!</definedName>
    <definedName name="Rur_cur_12_rang8">#REF!</definedName>
    <definedName name="Rur_next_12_rang1">#REF!</definedName>
    <definedName name="Rur_next_12_rang2">#REF!</definedName>
    <definedName name="Rur_next_12_rang3">#REF!</definedName>
    <definedName name="Rur_next_12_rang4">#REF!</definedName>
    <definedName name="Rur_next_12_rang5">#REF!</definedName>
    <definedName name="Rur_next_12_rang6">#REF!</definedName>
    <definedName name="Rur_next_12_rang7">#REF!</definedName>
    <definedName name="Rur_next_12_rang8">#REF!</definedName>
    <definedName name="Rur_next_3_rang1">#REF!</definedName>
    <definedName name="Rur_next_3_rang2">#REF!</definedName>
    <definedName name="Rur_next_3_rang3">#REF!</definedName>
    <definedName name="Rur_next_3_rang4">#REF!</definedName>
    <definedName name="Rur_next_3_rang5">#REF!</definedName>
    <definedName name="Rur_next_3_rang6">#REF!</definedName>
    <definedName name="Rur_next_3_rang7">#REF!</definedName>
    <definedName name="Rur_next_3_rang8">#REF!</definedName>
    <definedName name="Rur_next_6_rang1">#REF!</definedName>
    <definedName name="Rur_next_6_rang2">#REF!</definedName>
    <definedName name="Rur_next_6_rang3">#REF!</definedName>
    <definedName name="Rur_next_6_rang4">#REF!</definedName>
    <definedName name="Rur_next_6_rang5">#REF!</definedName>
    <definedName name="Rur_next_6_rang6">#REF!</definedName>
    <definedName name="Rur_next_6_rang7">#REF!</definedName>
    <definedName name="Rur_next_6_rang8">#REF!</definedName>
    <definedName name="Rur_next_9_rang1">#REF!</definedName>
    <definedName name="Rur_next_9_rang2">#REF!</definedName>
    <definedName name="Rur_next_9_rang3">#REF!</definedName>
    <definedName name="Rur_next_9_rang4">#REF!</definedName>
    <definedName name="Rur_next_9_rang5">#REF!</definedName>
    <definedName name="Rur_next_9_rang6">#REF!</definedName>
    <definedName name="Rur_next_9_rang7">#REF!</definedName>
    <definedName name="Rur_next_9_rang8">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>#REF!</definedName>
    <definedName name="Smetoobr_name_rang2">#REF!</definedName>
    <definedName name="Smetoobr_name_rang3">#REF!</definedName>
    <definedName name="Smetoobr_name_rang4">#REF!</definedName>
    <definedName name="Smetoobr_name_rang5">#REF!</definedName>
    <definedName name="Smetoobr_name_rang6">#REF!</definedName>
    <definedName name="Smetoobr_name_rang7">#REF!</definedName>
    <definedName name="Smetoobr_name_rang8">#REF!</definedName>
    <definedName name="solver_adj" localSheetId="2" hidden="1">'РейтPD FRED Graph'!#REF!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2" hidden="1">2</definedName>
    <definedName name="solver_drv">2</definedName>
    <definedName name="solver_eng" localSheetId="2" hidden="1">1</definedName>
    <definedName name="solver_est" localSheetId="2" hidden="1">1</definedName>
    <definedName name="solver_est">1</definedName>
    <definedName name="solver_itr" localSheetId="2" hidden="1">2147483647</definedName>
    <definedName name="solver_itr">10000</definedName>
    <definedName name="solver_lhs1" localSheetId="2" hidden="1">'РейтPD FRED Graph'!#REF!</definedName>
    <definedName name="solver_lhs2" localSheetId="2" hidden="1">'РейтPD FRED Graph'!#REF!</definedName>
    <definedName name="solver_lhs3" localSheetId="2" hidden="1">'РейтPD FRED Graph'!#REF!</definedName>
    <definedName name="solver_lhs4" localSheetId="2" hidden="1">'РейтPD FRED Graph'!#REF!</definedName>
    <definedName name="solver_lhs5" localSheetId="2" hidden="1">'РейтPD FRED Graph'!#REF!</definedName>
    <definedName name="solver_lhs6" localSheetId="2" hidden="1">'РейтPD FRED Graph'!#REF!</definedName>
    <definedName name="solver_lhs7" localSheetId="2" hidden="1">'РейтPD FRED Graph'!#REF!</definedName>
    <definedName name="solver_lhs8" localSheetId="2" hidden="1">'РейтPD FRED Graph'!#REF!</definedName>
    <definedName name="solver_lhs9" localSheetId="2" hidden="1">'РейтPD FRED Graph'!#REF!</definedName>
    <definedName name="solver_lin">2</definedName>
    <definedName name="solver_mip" localSheetId="2" hidden="1">2147483647</definedName>
    <definedName name="solver_mni" localSheetId="2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neg" localSheetId="2" hidden="1">1</definedName>
    <definedName name="solver_neg">2</definedName>
    <definedName name="solver_nod" localSheetId="2" hidden="1">2147483647</definedName>
    <definedName name="solver_num" localSheetId="2" hidden="1">9</definedName>
    <definedName name="solver_num">2</definedName>
    <definedName name="solver_nwt" localSheetId="2" hidden="1">1</definedName>
    <definedName name="solver_nwt">2</definedName>
    <definedName name="solver_opt" localSheetId="2" hidden="1">'РейтPD FRED Graph'!#REF!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2" hidden="1">2</definedName>
    <definedName name="solver_rel1" localSheetId="2" hidden="1">1</definedName>
    <definedName name="solver_rel1">3</definedName>
    <definedName name="solver_rel2" localSheetId="2" hidden="1">3</definedName>
    <definedName name="solver_rel2">3</definedName>
    <definedName name="solver_rel3" localSheetId="2" hidden="1">1</definedName>
    <definedName name="solver_rel3">2</definedName>
    <definedName name="solver_rel4" localSheetId="2" hidden="1">3</definedName>
    <definedName name="solver_rel5" localSheetId="2" hidden="1">1</definedName>
    <definedName name="solver_rel6" localSheetId="2" hidden="1">1</definedName>
    <definedName name="solver_rel7" localSheetId="2" hidden="1">3</definedName>
    <definedName name="solver_rel8" localSheetId="2" hidden="1">1</definedName>
    <definedName name="solver_rel9" localSheetId="2" hidden="1">1</definedName>
    <definedName name="solver_rhs1" localSheetId="2" hidden="1">0.1</definedName>
    <definedName name="solver_rhs1">0</definedName>
    <definedName name="solver_rhs2" localSheetId="2" hidden="1">0.06</definedName>
    <definedName name="solver_rhs2">0</definedName>
    <definedName name="solver_rhs3" localSheetId="2" hidden="1">0.06</definedName>
    <definedName name="solver_rhs4" localSheetId="2" hidden="1">0.03</definedName>
    <definedName name="solver_rhs5" localSheetId="2" hidden="1">0.04</definedName>
    <definedName name="solver_rhs6" localSheetId="2" hidden="1">0.03</definedName>
    <definedName name="solver_rhs7" localSheetId="2" hidden="1">0.0075</definedName>
    <definedName name="solver_rhs8" localSheetId="2" hidden="1">0.01</definedName>
    <definedName name="solver_rhs9" localSheetId="2" hidden="1">0.1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cl">1</definedName>
    <definedName name="solver_sho" localSheetId="2" hidden="1">2</definedName>
    <definedName name="solver_sho">2</definedName>
    <definedName name="solver_ssz" localSheetId="2" hidden="1">100</definedName>
    <definedName name="solver_tim" localSheetId="2" hidden="1">2147483647</definedName>
    <definedName name="solver_tim">120</definedName>
    <definedName name="solver_tol" localSheetId="2" hidden="1">0.01</definedName>
    <definedName name="solver_tol">0.001</definedName>
    <definedName name="solver_typ" localSheetId="2" hidden="1">1</definedName>
    <definedName name="solver_typ">2</definedName>
    <definedName name="solver_val" localSheetId="2" hidden="1">0</definedName>
    <definedName name="solver_val">0</definedName>
    <definedName name="solver_ver" localSheetId="2" hidden="1">3</definedName>
    <definedName name="StabilityBands">'[1]StabilityBands-4Yr'!$AC$2:$AE$62</definedName>
    <definedName name="Start1" localSheetId="2">#REF!</definedName>
    <definedName name="Start1">#REF!</definedName>
    <definedName name="Start3">'[11]Global Corporate Default Rates'!#REF!</definedName>
    <definedName name="Start4" localSheetId="2">#REF!</definedName>
    <definedName name="Start4">#REF!</definedName>
    <definedName name="Subj_Name">'[9]бдр 1 кв'!#REF!</definedName>
    <definedName name="Subj_Name_2">#REF!</definedName>
    <definedName name="sum_rub_1_1">#REF!</definedName>
    <definedName name="sum_rub_1_2">#REF!</definedName>
    <definedName name="sum_rub_1_3">#REF!</definedName>
    <definedName name="sum_rub_1_4">#REF!</definedName>
    <definedName name="sum_rub_1_5">#REF!</definedName>
    <definedName name="sum_rub_1_6">#REF!</definedName>
    <definedName name="sum_rub_1_7">#REF!</definedName>
    <definedName name="sum_rub_1_8">#REF!</definedName>
    <definedName name="sum_rub_2_1">#REF!</definedName>
    <definedName name="sum_rub_2_2">#REF!</definedName>
    <definedName name="sum_rub_2_3">#REF!</definedName>
    <definedName name="sum_rub_2_4">#REF!</definedName>
    <definedName name="sum_rub_2_5">#REF!</definedName>
    <definedName name="sum_rub_3_1">#REF!</definedName>
    <definedName name="sum_rub_3_2">#REF!</definedName>
    <definedName name="sum_rub_3_3">#REF!</definedName>
    <definedName name="sum_rub_3_4">#REF!</definedName>
    <definedName name="sum_rub_3_5">#REF!</definedName>
    <definedName name="sum_rub_4_1">#REF!</definedName>
    <definedName name="sum_rub_4_2">#REF!</definedName>
    <definedName name="sum_rub_4_3">#REF!</definedName>
    <definedName name="sum_rub_4_4">#REF!</definedName>
    <definedName name="sum_rub_4_5">#REF!</definedName>
    <definedName name="sum_val_1_1">#REF!</definedName>
    <definedName name="sum_val_1_2">#REF!</definedName>
    <definedName name="sum_val_1_3">#REF!</definedName>
    <definedName name="sum_val_1_4">#REF!</definedName>
    <definedName name="sum_val_1_5">#REF!</definedName>
    <definedName name="sum_val_1_6">#REF!</definedName>
    <definedName name="sum_val_1_7">#REF!</definedName>
    <definedName name="sum_val_1_8">#REF!</definedName>
    <definedName name="sum_val_2_1">#REF!</definedName>
    <definedName name="sum_val_2_2">#REF!</definedName>
    <definedName name="sum_val_2_3">#REF!</definedName>
    <definedName name="sum_val_2_4">#REF!</definedName>
    <definedName name="sum_val_2_5">#REF!</definedName>
    <definedName name="sum_val_3_1">#REF!</definedName>
    <definedName name="sum_val_3_2">#REF!</definedName>
    <definedName name="sum_val_3_3">#REF!</definedName>
    <definedName name="sum_val_3_4">#REF!</definedName>
    <definedName name="sum_val_3_5">#REF!</definedName>
    <definedName name="sum_val_4_1">#REF!</definedName>
    <definedName name="sum_val_4_2">#REF!</definedName>
    <definedName name="sum_val_4_3">#REF!</definedName>
    <definedName name="sum_val_4_4">#REF!</definedName>
    <definedName name="sum_val_4_5">#REF!</definedName>
    <definedName name="Svod">'[9]бдр 1 кв'!#REF!</definedName>
    <definedName name="Svod_2">#REF!</definedName>
    <definedName name="synt_1">#REF!</definedName>
    <definedName name="synt_2">#REF!</definedName>
    <definedName name="synt_3">#REF!</definedName>
    <definedName name="synt_4">#REF!</definedName>
    <definedName name="synt_5">#REF!</definedName>
    <definedName name="synt_6">#REF!</definedName>
    <definedName name="synt_7">#REF!</definedName>
    <definedName name="synt_8">#REF!</definedName>
    <definedName name="synt_name_1">#REF!</definedName>
    <definedName name="synt_name_2">#REF!</definedName>
    <definedName name="synt_name_3">#REF!</definedName>
    <definedName name="synt_name_4">#REF!</definedName>
    <definedName name="synt_name_5">#REF!</definedName>
    <definedName name="synt_name_6">#REF!</definedName>
    <definedName name="synt_name_7">#REF!</definedName>
    <definedName name="synt_name_8">#REF!</definedName>
    <definedName name="t" localSheetId="2">#REF!</definedName>
    <definedName name="t">#REF!</definedName>
    <definedName name="Table_Hdr_2">#REF!</definedName>
    <definedName name="table_header">#REF!</definedName>
    <definedName name="table_line_1">#REF!</definedName>
    <definedName name="table_line_2">#REF!</definedName>
    <definedName name="table_line_3">#REF!</definedName>
    <definedName name="table_line_4">#REF!</definedName>
    <definedName name="table_line_5">#REF!</definedName>
    <definedName name="table_line_6">#REF!</definedName>
    <definedName name="table_line_7">#REF!</definedName>
    <definedName name="table_line_8">#REF!</definedName>
    <definedName name="table_row">#REF!</definedName>
    <definedName name="TableName">"Dummy"</definedName>
    <definedName name="TM1REBUILDOPTION">1</definedName>
    <definedName name="Total">#REF!</definedName>
    <definedName name="total_fil">#REF!</definedName>
    <definedName name="Total_Name_rang1">#REF!</definedName>
    <definedName name="Total_Name_rang2">#REF!</definedName>
    <definedName name="Total_R">#REF!</definedName>
    <definedName name="Total_rang1">#REF!</definedName>
    <definedName name="Total_rang2">#REF!</definedName>
    <definedName name="total_rest">#REF!</definedName>
    <definedName name="Total_Rest_Delta">#REF!</definedName>
    <definedName name="Total_Rest_Delta_R">#REF!</definedName>
    <definedName name="Total_Rest_Delta_rang1">#REF!</definedName>
    <definedName name="Total_Rest_Delta_rang2">#REF!</definedName>
    <definedName name="Total_Rest_Fact">#REF!</definedName>
    <definedName name="Total_Rest_Fact_R">#REF!</definedName>
    <definedName name="Total_Rest_Fact_rang1">#REF!</definedName>
    <definedName name="Total_Rest_Fact_rang2">#REF!</definedName>
    <definedName name="Total_Rest_Plan">#REF!</definedName>
    <definedName name="Total_Rest_Plan_R">#REF!</definedName>
    <definedName name="Total_Rest_Plan_rang1">#REF!</definedName>
    <definedName name="Total_Rest_Plan_rang2">#REF!</definedName>
    <definedName name="total_row">#REF!</definedName>
    <definedName name="total_text">#REF!</definedName>
    <definedName name="Tri_RR_">[1]Buffer!$J$2:$J$5</definedName>
    <definedName name="TriSection">'[1]StabilityBands-4Yr'!$F$2:$K$45</definedName>
    <definedName name="type">#REF!</definedName>
    <definedName name="u">'[3]Letter Numerators'!#REF!</definedName>
    <definedName name="UpDp2Rtg_Lookup_">'[1]Source Tables'!$G$6:$H$26</definedName>
    <definedName name="v">'[3]Letter Denominators'!#REF!</definedName>
    <definedName name="Val">'[9]бдр 1 кв'!#REF!</definedName>
    <definedName name="Val_2">#REF!</definedName>
    <definedName name="Val_bap_1_rang1">#REF!</definedName>
    <definedName name="Val_bap_1_rang2">#REF!</definedName>
    <definedName name="Val_bap_1_rang3">#REF!</definedName>
    <definedName name="Val_bap_1_rang4">#REF!</definedName>
    <definedName name="Val_bap_1_rang5">#REF!</definedName>
    <definedName name="Val_bap_1_rang6">#REF!</definedName>
    <definedName name="Val_bap_1_rang7">#REF!</definedName>
    <definedName name="Val_bap_1_rang8">#REF!</definedName>
    <definedName name="Val_bap_2_rang1">#REF!</definedName>
    <definedName name="Val_bap_2_rang2">#REF!</definedName>
    <definedName name="Val_bap_2_rang3">#REF!</definedName>
    <definedName name="Val_bap_2_rang4">#REF!</definedName>
    <definedName name="Val_bap_2_rang5">#REF!</definedName>
    <definedName name="Val_bap_2_rang6">#REF!</definedName>
    <definedName name="Val_bap_2_rang7">#REF!</definedName>
    <definedName name="Val_bap_2_rang8">#REF!</definedName>
    <definedName name="Val_bap_3_rang1">#REF!</definedName>
    <definedName name="Val_bap_3_rang2">#REF!</definedName>
    <definedName name="Val_bap_3_rang3">#REF!</definedName>
    <definedName name="Val_bap_3_rang4">#REF!</definedName>
    <definedName name="Val_bap_3_rang5">#REF!</definedName>
    <definedName name="Val_bap_3_rang6">#REF!</definedName>
    <definedName name="Val_bap_3_rang7">#REF!</definedName>
    <definedName name="Val_bap_3_rang8">#REF!</definedName>
    <definedName name="Val_bap_4_rang1">#REF!</definedName>
    <definedName name="Val_bap_4_rang2">#REF!</definedName>
    <definedName name="Val_bap_4_rang3">#REF!</definedName>
    <definedName name="Val_bap_4_rang4">#REF!</definedName>
    <definedName name="Val_bap_4_rang5">#REF!</definedName>
    <definedName name="Val_bap_4_rang6">#REF!</definedName>
    <definedName name="Val_bap_4_rang7">#REF!</definedName>
    <definedName name="Val_bap_4_rang8">#REF!</definedName>
    <definedName name="Val_cur_12_rang1">#REF!</definedName>
    <definedName name="Val_cur_12_rang2">#REF!</definedName>
    <definedName name="Val_cur_12_rang3">#REF!</definedName>
    <definedName name="Val_cur_12_rang4">#REF!</definedName>
    <definedName name="Val_cur_12_rang5">#REF!</definedName>
    <definedName name="Val_cur_12_rang6">#REF!</definedName>
    <definedName name="Val_cur_12_rang7">#REF!</definedName>
    <definedName name="Val_cur_12_rang8">#REF!</definedName>
    <definedName name="Val_next_12_rang1">#REF!</definedName>
    <definedName name="Val_next_12_rang2">#REF!</definedName>
    <definedName name="Val_next_12_rang3">#REF!</definedName>
    <definedName name="Val_next_12_rang4">#REF!</definedName>
    <definedName name="Val_next_12_rang5">#REF!</definedName>
    <definedName name="Val_next_12_rang6">#REF!</definedName>
    <definedName name="Val_next_12_rang7">#REF!</definedName>
    <definedName name="Val_next_12_rang8">#REF!</definedName>
    <definedName name="Val_next_3_rang1">#REF!</definedName>
    <definedName name="Val_next_3_rang2">#REF!</definedName>
    <definedName name="Val_next_3_rang3">#REF!</definedName>
    <definedName name="Val_next_3_rang4">#REF!</definedName>
    <definedName name="Val_next_3_rang5">#REF!</definedName>
    <definedName name="Val_next_3_rang6">#REF!</definedName>
    <definedName name="Val_next_3_rang7">#REF!</definedName>
    <definedName name="Val_next_3_rang8">#REF!</definedName>
    <definedName name="Val_next_6_rang1">#REF!</definedName>
    <definedName name="Val_next_6_rang2">#REF!</definedName>
    <definedName name="Val_next_6_rang3">#REF!</definedName>
    <definedName name="Val_next_6_rang4">#REF!</definedName>
    <definedName name="Val_next_6_rang5">#REF!</definedName>
    <definedName name="Val_next_6_rang6">#REF!</definedName>
    <definedName name="Val_next_6_rang7">#REF!</definedName>
    <definedName name="Val_next_6_rang8">#REF!</definedName>
    <definedName name="Val_next_9_rang1">#REF!</definedName>
    <definedName name="Val_next_9_rang2">#REF!</definedName>
    <definedName name="Val_next_9_rang3">#REF!</definedName>
    <definedName name="Val_next_9_rang4">#REF!</definedName>
    <definedName name="Val_next_9_rang5">#REF!</definedName>
    <definedName name="Val_next_9_rang6">#REF!</definedName>
    <definedName name="Val_next_9_rang7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>#REF!</definedName>
    <definedName name="и">'[19]списки значений'!$J$2:$J$20</definedName>
    <definedName name="итог">#REF!</definedName>
    <definedName name="итог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8" i="16" l="1"/>
  <c r="G80" i="16"/>
  <c r="G81" i="16"/>
  <c r="G82" i="16"/>
  <c r="G77" i="16"/>
  <c r="C126" i="16"/>
  <c r="C77" i="16" l="1"/>
  <c r="C80" i="16"/>
  <c r="B127" i="16" l="1"/>
  <c r="H12" i="16" l="1"/>
  <c r="H3" i="28"/>
  <c r="D125" i="16" l="1"/>
  <c r="D126" i="16"/>
  <c r="M26" i="25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T4" i="20"/>
  <c r="S4" i="20"/>
  <c r="E32" i="20" l="1"/>
  <c r="E31" i="20"/>
  <c r="E99" i="20" l="1"/>
  <c r="E115" i="20"/>
  <c r="D115" i="20"/>
  <c r="E54" i="20"/>
  <c r="E102" i="20"/>
  <c r="D83" i="20"/>
  <c r="E107" i="20"/>
  <c r="E59" i="20"/>
  <c r="D110" i="20"/>
  <c r="E105" i="20"/>
  <c r="D92" i="20"/>
  <c r="E51" i="20"/>
  <c r="E58" i="20"/>
  <c r="E74" i="20"/>
  <c r="E90" i="20"/>
  <c r="E106" i="20"/>
  <c r="D55" i="20"/>
  <c r="D71" i="20"/>
  <c r="D87" i="20"/>
  <c r="D103" i="20"/>
  <c r="X4" i="20"/>
  <c r="X6" i="20" s="1"/>
  <c r="U4" i="20" s="1"/>
  <c r="V4" i="20" s="1"/>
  <c r="H34" i="20"/>
  <c r="I34" i="20" s="1"/>
  <c r="H35" i="20"/>
  <c r="I35" i="20" s="1"/>
  <c r="H32" i="20"/>
  <c r="I32" i="20" s="1"/>
  <c r="H31" i="20"/>
  <c r="I31" i="20" s="1"/>
  <c r="E72" i="20"/>
  <c r="E76" i="20"/>
  <c r="E80" i="20"/>
  <c r="E84" i="20"/>
  <c r="E88" i="20"/>
  <c r="E92" i="20"/>
  <c r="E96" i="20"/>
  <c r="E100" i="20"/>
  <c r="E104" i="20"/>
  <c r="E108" i="20"/>
  <c r="E112" i="20"/>
  <c r="D49" i="20"/>
  <c r="D53" i="20"/>
  <c r="D57" i="20"/>
  <c r="D61" i="20"/>
  <c r="D65" i="20"/>
  <c r="D69" i="20"/>
  <c r="D73" i="20"/>
  <c r="D77" i="20"/>
  <c r="D81" i="20"/>
  <c r="D85" i="20"/>
  <c r="D89" i="20"/>
  <c r="D93" i="20"/>
  <c r="D97" i="20"/>
  <c r="D101" i="20"/>
  <c r="D105" i="20"/>
  <c r="D109" i="20"/>
  <c r="D113" i="20"/>
  <c r="H33" i="20"/>
  <c r="I33" i="20" s="1"/>
  <c r="D100" i="20"/>
  <c r="D104" i="20"/>
  <c r="D108" i="20"/>
  <c r="D112" i="20"/>
  <c r="E103" i="20"/>
  <c r="E87" i="20"/>
  <c r="E71" i="20"/>
  <c r="E55" i="20"/>
  <c r="D70" i="20"/>
  <c r="D68" i="20"/>
  <c r="D106" i="20"/>
  <c r="D86" i="20"/>
  <c r="D52" i="20"/>
  <c r="E101" i="20"/>
  <c r="E85" i="20"/>
  <c r="E69" i="20"/>
  <c r="E53" i="20"/>
  <c r="D88" i="20"/>
  <c r="D72" i="20"/>
  <c r="E70" i="20"/>
  <c r="D51" i="20"/>
  <c r="D99" i="20"/>
  <c r="E91" i="20"/>
  <c r="D74" i="20"/>
  <c r="D94" i="20"/>
  <c r="E89" i="20"/>
  <c r="D76" i="20"/>
  <c r="E52" i="20"/>
  <c r="E62" i="20"/>
  <c r="E110" i="20"/>
  <c r="D75" i="20"/>
  <c r="E48" i="20"/>
  <c r="E83" i="20"/>
  <c r="E67" i="20"/>
  <c r="D90" i="20"/>
  <c r="D62" i="20"/>
  <c r="D60" i="20"/>
  <c r="D102" i="20"/>
  <c r="D78" i="20"/>
  <c r="E113" i="20"/>
  <c r="E97" i="20"/>
  <c r="E81" i="20"/>
  <c r="E65" i="20"/>
  <c r="E49" i="20"/>
  <c r="D84" i="20"/>
  <c r="D64" i="20"/>
  <c r="E60" i="20"/>
  <c r="E86" i="20"/>
  <c r="D67" i="20"/>
  <c r="D48" i="20"/>
  <c r="E75" i="20"/>
  <c r="E50" i="20"/>
  <c r="D54" i="20"/>
  <c r="E73" i="20"/>
  <c r="E57" i="20"/>
  <c r="E64" i="20"/>
  <c r="E68" i="20"/>
  <c r="E78" i="20"/>
  <c r="E94" i="20"/>
  <c r="D59" i="20"/>
  <c r="D91" i="20"/>
  <c r="D107" i="20"/>
  <c r="E56" i="20"/>
  <c r="D50" i="20"/>
  <c r="E66" i="20"/>
  <c r="E82" i="20"/>
  <c r="E98" i="20"/>
  <c r="E114" i="20"/>
  <c r="D63" i="20"/>
  <c r="D79" i="20"/>
  <c r="D95" i="20"/>
  <c r="D111" i="20"/>
  <c r="E111" i="20"/>
  <c r="E95" i="20"/>
  <c r="E79" i="20"/>
  <c r="E63" i="20"/>
  <c r="D82" i="20"/>
  <c r="D58" i="20"/>
  <c r="D114" i="20"/>
  <c r="D98" i="20"/>
  <c r="D66" i="20"/>
  <c r="E109" i="20"/>
  <c r="E93" i="20"/>
  <c r="E77" i="20"/>
  <c r="E61" i="20"/>
  <c r="D96" i="20"/>
  <c r="D80" i="20"/>
  <c r="D56" i="20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26" i="25"/>
  <c r="J5" i="24"/>
  <c r="D22" i="30" l="1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S22" i="30" l="1"/>
  <c r="P22" i="30"/>
  <c r="Q8" i="25"/>
  <c r="J4" i="25" l="1"/>
  <c r="F125" i="25" l="1"/>
  <c r="J8" i="19"/>
  <c r="Q8" i="19" s="1"/>
  <c r="H5" i="29" l="1"/>
  <c r="B43" i="29" l="1"/>
  <c r="B44" i="29"/>
  <c r="B45" i="29"/>
  <c r="B42" i="29"/>
  <c r="B39" i="29"/>
  <c r="B46" i="29" l="1"/>
  <c r="B47" i="29" s="1"/>
  <c r="C57" i="16"/>
  <c r="C58" i="16"/>
  <c r="C59" i="16"/>
  <c r="C60" i="16"/>
  <c r="C61" i="16"/>
  <c r="C62" i="16"/>
  <c r="C63" i="16"/>
  <c r="C64" i="16"/>
  <c r="C65" i="16"/>
  <c r="C66" i="16"/>
  <c r="C56" i="16"/>
  <c r="C43" i="29" l="1"/>
  <c r="C42" i="29"/>
  <c r="C44" i="29"/>
  <c r="C45" i="29"/>
  <c r="C67" i="16"/>
  <c r="D63" i="16" s="1"/>
  <c r="D61" i="16" l="1"/>
  <c r="D66" i="16"/>
  <c r="D65" i="16"/>
  <c r="D59" i="16"/>
  <c r="D58" i="16"/>
  <c r="D64" i="16"/>
  <c r="D60" i="16"/>
  <c r="D57" i="16"/>
  <c r="D62" i="16"/>
  <c r="D56" i="16"/>
  <c r="D67" i="16" l="1"/>
  <c r="C5" i="29" l="1"/>
  <c r="D5" i="29"/>
  <c r="E5" i="29"/>
  <c r="F5" i="29"/>
  <c r="G5" i="29"/>
  <c r="B5" i="29"/>
  <c r="F9" i="25" l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H41" i="28"/>
  <c r="H10" i="28"/>
  <c r="H148" i="28"/>
  <c r="H57" i="28"/>
  <c r="H145" i="28"/>
  <c r="H29" i="28"/>
  <c r="H111" i="28"/>
  <c r="H86" i="28"/>
  <c r="H59" i="28"/>
  <c r="H77" i="28"/>
  <c r="H129" i="28"/>
  <c r="H154" i="28"/>
  <c r="H37" i="28"/>
  <c r="H91" i="28"/>
  <c r="H12" i="28"/>
  <c r="H127" i="28"/>
  <c r="H88" i="28"/>
  <c r="H97" i="28"/>
  <c r="H137" i="28"/>
  <c r="H48" i="28"/>
  <c r="H106" i="28"/>
  <c r="H105" i="28"/>
  <c r="H27" i="28"/>
  <c r="H16" i="28"/>
  <c r="H113" i="28"/>
  <c r="H44" i="28"/>
  <c r="H119" i="28"/>
  <c r="H139" i="28"/>
  <c r="H64" i="28"/>
  <c r="H133" i="28"/>
  <c r="H72" i="28"/>
  <c r="H28" i="28"/>
  <c r="H81" i="28"/>
  <c r="H136" i="28"/>
  <c r="H25" i="28"/>
  <c r="H128" i="28"/>
  <c r="H161" i="28"/>
  <c r="H116" i="28"/>
  <c r="H6" i="28"/>
  <c r="H117" i="28"/>
  <c r="H123" i="28"/>
  <c r="H142" i="28"/>
  <c r="H62" i="28"/>
  <c r="H32" i="28"/>
  <c r="H43" i="28"/>
  <c r="H65" i="28"/>
  <c r="H135" i="28"/>
  <c r="H49" i="28"/>
  <c r="H82" i="28"/>
  <c r="H55" i="28"/>
  <c r="H75" i="28"/>
  <c r="H156" i="28"/>
  <c r="H134" i="28"/>
  <c r="H118" i="28"/>
  <c r="H103" i="28"/>
  <c r="H94" i="28"/>
  <c r="H19" i="28"/>
  <c r="H87" i="28"/>
  <c r="H11" i="28"/>
  <c r="H109" i="28"/>
  <c r="H26" i="28"/>
  <c r="H79" i="28"/>
  <c r="H73" i="28"/>
  <c r="H51" i="28"/>
  <c r="H89" i="28"/>
  <c r="H47" i="28"/>
  <c r="H24" i="28"/>
  <c r="H131" i="28"/>
  <c r="H67" i="28"/>
  <c r="H36" i="28"/>
  <c r="H4" i="28"/>
  <c r="H14" i="28"/>
  <c r="H160" i="28"/>
  <c r="H34" i="28"/>
  <c r="H143" i="28"/>
  <c r="H68" i="28"/>
  <c r="H112" i="28"/>
  <c r="H159" i="28"/>
  <c r="H152" i="28"/>
  <c r="H155" i="28"/>
  <c r="H56" i="28"/>
  <c r="H23" i="28"/>
  <c r="H108" i="28"/>
  <c r="H39" i="28"/>
  <c r="H90" i="28"/>
  <c r="H130" i="28"/>
  <c r="H52" i="28"/>
  <c r="H5" i="28"/>
  <c r="H60" i="28"/>
  <c r="H42" i="28"/>
  <c r="H83" i="28"/>
  <c r="H110" i="28"/>
  <c r="H102" i="28"/>
  <c r="H74" i="28"/>
  <c r="H122" i="28"/>
  <c r="H58" i="28"/>
  <c r="H151" i="28"/>
  <c r="H146" i="28"/>
  <c r="H96" i="28"/>
  <c r="H66" i="28"/>
  <c r="H115" i="28"/>
  <c r="H138" i="28"/>
  <c r="H101" i="28"/>
  <c r="H54" i="28"/>
  <c r="H70" i="28"/>
  <c r="H147" i="28"/>
  <c r="H140" i="28"/>
  <c r="H31" i="28"/>
  <c r="H125" i="28"/>
  <c r="H76" i="28"/>
  <c r="H93" i="28"/>
  <c r="H9" i="28"/>
  <c r="H141" i="28"/>
  <c r="H50" i="28"/>
  <c r="H18" i="28"/>
  <c r="H15" i="28"/>
  <c r="H61" i="28"/>
  <c r="H107" i="28"/>
  <c r="H132" i="28"/>
  <c r="H100" i="28"/>
  <c r="H8" i="28"/>
  <c r="H114" i="28"/>
  <c r="H20" i="28"/>
  <c r="H38" i="28"/>
  <c r="H153" i="28"/>
  <c r="H13" i="28"/>
  <c r="H124" i="28"/>
  <c r="H40" i="28"/>
  <c r="H99" i="28"/>
  <c r="H33" i="28"/>
  <c r="H21" i="28"/>
  <c r="H35" i="28"/>
  <c r="H53" i="28"/>
  <c r="H158" i="28"/>
  <c r="H30" i="28"/>
  <c r="H149" i="28"/>
  <c r="H63" i="28"/>
  <c r="H92" i="28"/>
  <c r="H150" i="28"/>
  <c r="H144" i="28"/>
  <c r="H120" i="28"/>
  <c r="H71" i="28"/>
  <c r="H126" i="28"/>
  <c r="H104" i="28"/>
  <c r="H157" i="28"/>
  <c r="H98" i="28"/>
  <c r="H22" i="28"/>
  <c r="H17" i="28"/>
  <c r="H78" i="28"/>
  <c r="H95" i="28"/>
  <c r="H7" i="28"/>
  <c r="H121" i="28"/>
  <c r="H84" i="28"/>
  <c r="H46" i="28"/>
  <c r="H45" i="28"/>
  <c r="B1" i="28"/>
  <c r="G85" i="28" l="1"/>
  <c r="G80" i="28"/>
  <c r="F123" i="25"/>
  <c r="F124" i="25"/>
  <c r="H80" i="28"/>
  <c r="H85" i="28"/>
  <c r="G69" i="28" l="1"/>
  <c r="H69" i="28"/>
  <c r="G3" i="28" l="1"/>
  <c r="J125" i="25" l="1"/>
  <c r="J31" i="25"/>
  <c r="J47" i="25"/>
  <c r="J63" i="25"/>
  <c r="J79" i="25"/>
  <c r="J95" i="25"/>
  <c r="J115" i="25"/>
  <c r="J58" i="25"/>
  <c r="J110" i="25"/>
  <c r="J36" i="25"/>
  <c r="J52" i="25"/>
  <c r="J84" i="25"/>
  <c r="J104" i="25"/>
  <c r="J124" i="25"/>
  <c r="J66" i="25"/>
  <c r="J114" i="25"/>
  <c r="J41" i="25"/>
  <c r="J57" i="25"/>
  <c r="J73" i="25"/>
  <c r="J105" i="25"/>
  <c r="J121" i="25"/>
  <c r="J62" i="25"/>
  <c r="J106" i="25"/>
  <c r="J39" i="25"/>
  <c r="J55" i="25"/>
  <c r="J71" i="25"/>
  <c r="J87" i="25"/>
  <c r="J123" i="25"/>
  <c r="J82" i="25"/>
  <c r="J28" i="25"/>
  <c r="J44" i="25"/>
  <c r="J76" i="25"/>
  <c r="J116" i="25"/>
  <c r="J90" i="25"/>
  <c r="J49" i="25"/>
  <c r="J81" i="25"/>
  <c r="J113" i="25"/>
  <c r="J42" i="25"/>
  <c r="J59" i="25"/>
  <c r="J111" i="25"/>
  <c r="J98" i="25"/>
  <c r="J48" i="25"/>
  <c r="J64" i="25"/>
  <c r="J100" i="25"/>
  <c r="J54" i="25"/>
  <c r="J37" i="25"/>
  <c r="J53" i="25"/>
  <c r="J85" i="25"/>
  <c r="J117" i="25"/>
  <c r="J94" i="25"/>
  <c r="J35" i="25"/>
  <c r="J51" i="25"/>
  <c r="J67" i="25"/>
  <c r="J99" i="25"/>
  <c r="J119" i="25"/>
  <c r="J70" i="25"/>
  <c r="J118" i="25"/>
  <c r="J40" i="25"/>
  <c r="J56" i="25"/>
  <c r="J72" i="25"/>
  <c r="J88" i="25"/>
  <c r="J112" i="25"/>
  <c r="J34" i="25"/>
  <c r="J78" i="25"/>
  <c r="J29" i="25"/>
  <c r="J45" i="25"/>
  <c r="J61" i="25"/>
  <c r="J77" i="25"/>
  <c r="J93" i="25"/>
  <c r="J109" i="25"/>
  <c r="J30" i="25"/>
  <c r="J74" i="25"/>
  <c r="J122" i="25"/>
  <c r="J107" i="25"/>
  <c r="J60" i="25"/>
  <c r="J96" i="25"/>
  <c r="J46" i="25"/>
  <c r="J33" i="25"/>
  <c r="J65" i="25"/>
  <c r="J97" i="25"/>
  <c r="J86" i="25"/>
  <c r="J27" i="25"/>
  <c r="J43" i="25"/>
  <c r="J75" i="25"/>
  <c r="J91" i="25"/>
  <c r="J38" i="25"/>
  <c r="J32" i="25"/>
  <c r="J80" i="25"/>
  <c r="J120" i="25"/>
  <c r="J102" i="25"/>
  <c r="J101" i="25"/>
  <c r="J50" i="25"/>
  <c r="J108" i="25"/>
  <c r="J103" i="25"/>
  <c r="J92" i="25"/>
  <c r="J26" i="25"/>
  <c r="F119" i="25"/>
  <c r="F120" i="25"/>
  <c r="F121" i="25"/>
  <c r="F122" i="25"/>
  <c r="C81" i="16" l="1"/>
  <c r="M10" i="25" l="1"/>
  <c r="M9" i="25"/>
  <c r="M11" i="25"/>
  <c r="M8" i="25"/>
  <c r="M12" i="25" l="1"/>
  <c r="N8" i="25" s="1"/>
  <c r="J5" i="25"/>
  <c r="J6" i="25"/>
  <c r="J7" i="25"/>
  <c r="J8" i="25"/>
  <c r="J9" i="25"/>
  <c r="J10" i="25"/>
  <c r="J11" i="25"/>
  <c r="J12" i="25"/>
  <c r="J13" i="25"/>
  <c r="J14" i="25"/>
  <c r="F10" i="25"/>
  <c r="M13" i="25" l="1"/>
  <c r="J15" i="25"/>
  <c r="F11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5" i="25"/>
  <c r="Q10" i="25" l="1"/>
  <c r="Q11" i="25" l="1"/>
  <c r="Q12" i="25" s="1"/>
  <c r="M7" i="25"/>
  <c r="F8" i="25"/>
  <c r="A1" i="25"/>
  <c r="B1" i="25"/>
  <c r="R9" i="25" l="1"/>
  <c r="R8" i="25"/>
  <c r="R10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M49" i="25"/>
  <c r="M50" i="25"/>
  <c r="M51" i="25"/>
  <c r="M52" i="25"/>
  <c r="M53" i="25"/>
  <c r="M54" i="25"/>
  <c r="M55" i="25"/>
  <c r="M56" i="25"/>
  <c r="M57" i="25"/>
  <c r="M58" i="25"/>
  <c r="M59" i="25"/>
  <c r="M60" i="25"/>
  <c r="M61" i="25"/>
  <c r="M62" i="25"/>
  <c r="M63" i="25"/>
  <c r="M64" i="25"/>
  <c r="M65" i="25"/>
  <c r="M66" i="25"/>
  <c r="M67" i="25"/>
  <c r="M68" i="25"/>
  <c r="M69" i="25"/>
  <c r="M70" i="25"/>
  <c r="M71" i="25"/>
  <c r="M72" i="25"/>
  <c r="M73" i="25"/>
  <c r="M74" i="25"/>
  <c r="M75" i="25"/>
  <c r="M76" i="25"/>
  <c r="M77" i="25" l="1"/>
  <c r="N70" i="25" s="1"/>
  <c r="G9" i="25"/>
  <c r="G10" i="25"/>
  <c r="N31" i="25" l="1"/>
  <c r="N47" i="25"/>
  <c r="N63" i="25"/>
  <c r="N60" i="25"/>
  <c r="N28" i="25"/>
  <c r="N44" i="25"/>
  <c r="N29" i="25"/>
  <c r="N53" i="25"/>
  <c r="N35" i="25"/>
  <c r="N51" i="25"/>
  <c r="N67" i="25"/>
  <c r="N68" i="25"/>
  <c r="N32" i="25"/>
  <c r="N48" i="25"/>
  <c r="N33" i="25"/>
  <c r="N61" i="25"/>
  <c r="N26" i="25"/>
  <c r="N39" i="25"/>
  <c r="N55" i="25"/>
  <c r="N71" i="25"/>
  <c r="N76" i="25"/>
  <c r="N36" i="25"/>
  <c r="N56" i="25"/>
  <c r="N37" i="25"/>
  <c r="N30" i="25"/>
  <c r="N27" i="25"/>
  <c r="N43" i="25"/>
  <c r="N59" i="25"/>
  <c r="N75" i="25"/>
  <c r="N73" i="25"/>
  <c r="N40" i="25"/>
  <c r="N64" i="25"/>
  <c r="N49" i="25"/>
  <c r="N42" i="25"/>
  <c r="N46" i="25"/>
  <c r="N72" i="25"/>
  <c r="N45" i="25"/>
  <c r="N65" i="25"/>
  <c r="N58" i="25"/>
  <c r="N62" i="25"/>
  <c r="N52" i="25"/>
  <c r="N69" i="25"/>
  <c r="N41" i="25"/>
  <c r="N57" i="25"/>
  <c r="N34" i="25"/>
  <c r="N50" i="25"/>
  <c r="N66" i="25"/>
  <c r="N38" i="25"/>
  <c r="N54" i="25"/>
  <c r="N74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26" i="25"/>
  <c r="B18" i="25" l="1"/>
  <c r="B16" i="25"/>
  <c r="B17" i="25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9" i="25" l="1"/>
  <c r="G125" i="25" l="1"/>
  <c r="B20" i="25"/>
  <c r="C17" i="25"/>
  <c r="M78" i="25"/>
  <c r="C18" i="25"/>
  <c r="G122" i="25"/>
  <c r="G123" i="25"/>
  <c r="G124" i="25"/>
  <c r="C5" i="25"/>
  <c r="G36" i="25"/>
  <c r="G74" i="25"/>
  <c r="C4" i="25"/>
  <c r="G49" i="25"/>
  <c r="G88" i="25"/>
  <c r="G106" i="25"/>
  <c r="G33" i="25"/>
  <c r="G39" i="25"/>
  <c r="C7" i="25"/>
  <c r="G110" i="25"/>
  <c r="G77" i="25"/>
  <c r="G95" i="25"/>
  <c r="C9" i="25"/>
  <c r="C12" i="25"/>
  <c r="G90" i="25"/>
  <c r="G65" i="25"/>
  <c r="G109" i="25"/>
  <c r="G69" i="25"/>
  <c r="G28" i="25"/>
  <c r="G72" i="25"/>
  <c r="G31" i="25"/>
  <c r="G87" i="25"/>
  <c r="G101" i="25"/>
  <c r="G60" i="25"/>
  <c r="G104" i="25"/>
  <c r="G63" i="25"/>
  <c r="G26" i="25"/>
  <c r="G62" i="25"/>
  <c r="C6" i="25"/>
  <c r="G82" i="25"/>
  <c r="G41" i="25"/>
  <c r="G93" i="25"/>
  <c r="G44" i="25"/>
  <c r="G96" i="25"/>
  <c r="G55" i="25"/>
  <c r="G103" i="25"/>
  <c r="G46" i="25"/>
  <c r="G94" i="25"/>
  <c r="G57" i="25"/>
  <c r="G117" i="25"/>
  <c r="G85" i="25"/>
  <c r="G52" i="25"/>
  <c r="G112" i="25"/>
  <c r="G80" i="25"/>
  <c r="G47" i="25"/>
  <c r="G111" i="25"/>
  <c r="G79" i="25"/>
  <c r="G30" i="25"/>
  <c r="G71" i="25"/>
  <c r="C15" i="25"/>
  <c r="C16" i="25"/>
  <c r="C10" i="25"/>
  <c r="C13" i="25"/>
  <c r="C14" i="25"/>
  <c r="G118" i="25"/>
  <c r="G114" i="25"/>
  <c r="G86" i="25"/>
  <c r="G70" i="25"/>
  <c r="G53" i="25"/>
  <c r="G37" i="25"/>
  <c r="G113" i="25"/>
  <c r="G97" i="25"/>
  <c r="G81" i="25"/>
  <c r="G64" i="25"/>
  <c r="G48" i="25"/>
  <c r="G32" i="25"/>
  <c r="G108" i="25"/>
  <c r="G92" i="25"/>
  <c r="G76" i="25"/>
  <c r="G59" i="25"/>
  <c r="G43" i="25"/>
  <c r="G27" i="25"/>
  <c r="G107" i="25"/>
  <c r="G91" i="25"/>
  <c r="G75" i="25"/>
  <c r="G58" i="25"/>
  <c r="G42" i="25"/>
  <c r="G66" i="25"/>
  <c r="G121" i="25"/>
  <c r="G54" i="25"/>
  <c r="G38" i="25"/>
  <c r="C3" i="25"/>
  <c r="G119" i="25"/>
  <c r="C8" i="25"/>
  <c r="C2" i="25"/>
  <c r="C11" i="25"/>
  <c r="G98" i="25"/>
  <c r="G102" i="25"/>
  <c r="G78" i="25"/>
  <c r="G61" i="25"/>
  <c r="G45" i="25"/>
  <c r="G29" i="25"/>
  <c r="G105" i="25"/>
  <c r="G89" i="25"/>
  <c r="G73" i="25"/>
  <c r="G56" i="25"/>
  <c r="G40" i="25"/>
  <c r="G116" i="25"/>
  <c r="G100" i="25"/>
  <c r="G84" i="25"/>
  <c r="G68" i="25"/>
  <c r="G51" i="25"/>
  <c r="G35" i="25"/>
  <c r="G115" i="25"/>
  <c r="G99" i="25"/>
  <c r="G83" i="25"/>
  <c r="G67" i="25"/>
  <c r="G50" i="25"/>
  <c r="G34" i="25"/>
  <c r="G120" i="25"/>
  <c r="F12" i="25"/>
  <c r="C19" i="25" l="1"/>
  <c r="H51" i="16"/>
  <c r="J66" i="19" l="1"/>
  <c r="J67" i="19"/>
  <c r="D129" i="16" l="1"/>
  <c r="E33" i="16" l="1"/>
  <c r="E50" i="16" l="1"/>
  <c r="G50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9" i="16" l="1"/>
  <c r="C125" i="16" l="1"/>
  <c r="C127" i="16" s="1"/>
  <c r="D127" i="16" s="1"/>
  <c r="T5" i="20" l="1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U13" i="20" l="1"/>
  <c r="V13" i="20" s="1"/>
  <c r="U14" i="20"/>
  <c r="V14" i="20" s="1"/>
  <c r="M37" i="19"/>
  <c r="N37" i="19" s="1"/>
  <c r="U17" i="20"/>
  <c r="V17" i="20" s="1"/>
  <c r="M56" i="19" s="1"/>
  <c r="N56" i="19" s="1"/>
  <c r="U24" i="20"/>
  <c r="V24" i="20" s="1"/>
  <c r="U20" i="20"/>
  <c r="V20" i="20" s="1"/>
  <c r="M30" i="19"/>
  <c r="N30" i="19" s="1"/>
  <c r="M35" i="19"/>
  <c r="N35" i="19" s="1"/>
  <c r="M60" i="19"/>
  <c r="N60" i="19" s="1"/>
  <c r="U7" i="20"/>
  <c r="V7" i="20" s="1"/>
  <c r="U5" i="20"/>
  <c r="V5" i="20" s="1"/>
  <c r="U18" i="20"/>
  <c r="V18" i="20" s="1"/>
  <c r="M31" i="19" s="1"/>
  <c r="N31" i="19" s="1"/>
  <c r="U12" i="20"/>
  <c r="V12" i="20" s="1"/>
  <c r="U15" i="20"/>
  <c r="V15" i="20" s="1"/>
  <c r="M12" i="19" s="1"/>
  <c r="N12" i="19" s="1"/>
  <c r="U21" i="20"/>
  <c r="V21" i="20" s="1"/>
  <c r="U23" i="20"/>
  <c r="V23" i="20" s="1"/>
  <c r="U10" i="20"/>
  <c r="V10" i="20" s="1"/>
  <c r="M62" i="19" s="1"/>
  <c r="N62" i="19" s="1"/>
  <c r="M46" i="19"/>
  <c r="N46" i="19" s="1"/>
  <c r="M49" i="19"/>
  <c r="N49" i="19" s="1"/>
  <c r="M16" i="19"/>
  <c r="N16" i="19" s="1"/>
  <c r="M22" i="19"/>
  <c r="N22" i="19" s="1"/>
  <c r="F129" i="16"/>
  <c r="G129" i="16" s="1"/>
  <c r="H129" i="16" s="1"/>
  <c r="I129" i="16" s="1"/>
  <c r="M51" i="19"/>
  <c r="N51" i="19" s="1"/>
  <c r="M59" i="19"/>
  <c r="N59" i="19" s="1"/>
  <c r="M55" i="19"/>
  <c r="N55" i="19" s="1"/>
  <c r="M40" i="19"/>
  <c r="N40" i="19" s="1"/>
  <c r="M41" i="19"/>
  <c r="N41" i="19" s="1"/>
  <c r="M26" i="19"/>
  <c r="N26" i="19" s="1"/>
  <c r="M61" i="19"/>
  <c r="N61" i="19" s="1"/>
  <c r="M38" i="19"/>
  <c r="N38" i="19" s="1"/>
  <c r="M50" i="19" l="1"/>
  <c r="N50" i="19" s="1"/>
  <c r="F126" i="16"/>
  <c r="G126" i="16" s="1"/>
  <c r="H126" i="16" s="1"/>
  <c r="I126" i="16" s="1"/>
  <c r="M20" i="19"/>
  <c r="N20" i="19" s="1"/>
  <c r="F125" i="16"/>
  <c r="G125" i="16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M10" i="19"/>
  <c r="N10" i="19" s="1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H125" i="16" l="1"/>
  <c r="G127" i="16"/>
  <c r="N6" i="19"/>
  <c r="Q72" i="19"/>
  <c r="J62" i="19"/>
  <c r="J63" i="19"/>
  <c r="J64" i="19"/>
  <c r="J65" i="19"/>
  <c r="I125" i="16" l="1"/>
  <c r="H127" i="16"/>
  <c r="I127" i="16" s="1"/>
  <c r="O62" i="19"/>
  <c r="Q62" i="19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4" i="19" l="1"/>
  <c r="O3" i="19"/>
  <c r="O6" i="19"/>
  <c r="O2" i="19" l="1"/>
  <c r="F3" i="19" l="1"/>
  <c r="P23" i="30" s="1"/>
  <c r="P3" i="19" l="1"/>
  <c r="A66" i="18"/>
  <c r="H6" i="19" l="1"/>
  <c r="I6" i="19"/>
  <c r="F6" i="19"/>
  <c r="A58" i="18" l="1"/>
  <c r="A56" i="18"/>
  <c r="L11" i="16" l="1"/>
  <c r="L12" i="16"/>
  <c r="F4" i="19" l="1"/>
  <c r="S23" i="30" s="1"/>
  <c r="P4" i="19" l="1"/>
  <c r="G34" i="16"/>
  <c r="G10" i="16"/>
  <c r="F2" i="19"/>
  <c r="C68" i="16" s="1"/>
  <c r="J4" i="19"/>
  <c r="J3" i="19"/>
  <c r="E10" i="16" s="1"/>
  <c r="E13" i="16" s="1"/>
  <c r="G13" i="16" l="1"/>
  <c r="L13" i="16" s="1"/>
  <c r="L10" i="16"/>
  <c r="E34" i="16"/>
  <c r="C79" i="16" s="1"/>
  <c r="G79" i="16" s="1"/>
  <c r="J2" i="19"/>
  <c r="C83" i="16" l="1"/>
  <c r="H13" i="16"/>
  <c r="G9" i="16" l="1"/>
  <c r="C47" i="18" l="1"/>
  <c r="B47" i="18"/>
  <c r="D47" i="18" l="1"/>
  <c r="G32" i="16"/>
  <c r="H11" i="16"/>
  <c r="H10" i="16"/>
  <c r="H14" i="16" s="1"/>
  <c r="H34" i="16"/>
  <c r="G83" i="16" l="1"/>
  <c r="C76" i="16" l="1"/>
  <c r="G33" i="16"/>
</calcChain>
</file>

<file path=xl/comments1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<sst xmlns="http://schemas.openxmlformats.org/spreadsheetml/2006/main" count="2125" uniqueCount="664">
  <si>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</si>
  <si>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</si>
  <si>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</si>
  <si>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</si>
  <si>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</si>
  <si>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</si>
  <si>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</si>
  <si>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</si>
  <si>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</si>
  <si>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</si>
  <si>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</si>
  <si>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</si>
  <si>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</si>
  <si>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</si>
  <si>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</si>
  <si>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</si>
  <si>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</si>
  <si>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</si>
  <si>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</si>
  <si>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Стратегический портфель долговых ц/б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</si>
  <si>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</si>
  <si>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</si>
  <si>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</si>
  <si>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</si>
  <si>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</si>
  <si>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</si>
  <si>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</si>
  <si>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</si>
  <si>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</si>
  <si>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</si>
  <si>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</si>
  <si>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</si>
  <si>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</si>
  <si>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</si>
  <si>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</si>
  <si>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</si>
  <si>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</si>
  <si>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</si>
  <si>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</si>
  <si>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</si>
  <si>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</si>
  <si>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</si>
  <si>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</si>
  <si>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</si>
  <si>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</si>
  <si>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</si>
  <si>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</si>
  <si>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</si>
  <si>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</si>
  <si>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</si>
  <si>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</si>
  <si>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</si>
  <si>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</si>
  <si>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</si>
  <si>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</si>
  <si>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</si>
  <si>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</si>
  <si>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</si>
  <si>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</si>
  <si>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</si>
  <si>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</si>
  <si>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</si>
  <si>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</si>
  <si>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</si>
  <si>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</si>
  <si>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</si>
  <si>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</si>
  <si>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</si>
  <si>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</si>
  <si>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</si>
  <si>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</si>
  <si>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</si>
  <si>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</si>
  <si>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</si>
  <si>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</si>
  <si>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</si>
  <si>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</si>
  <si>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</si>
  <si>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</si>
  <si>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</si>
  <si>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</si>
  <si>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</si>
  <si>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</si>
  <si>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</si>
  <si>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</si>
  <si>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</si>
  <si>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</si>
  <si>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</si>
  <si>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</si>
  <si>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</si>
  <si>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</si>
  <si>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</si>
  <si>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</si>
  <si>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</si>
  <si>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</si>
  <si>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</si>
  <si>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</si>
  <si>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</si>
  <si>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</si>
  <si>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</si>
  <si>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</si>
  <si>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</si>
  <si>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</si>
  <si>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</si>
  <si>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</si>
  <si>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</si>
  <si>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</si>
  <si>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</si>
  <si>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</si>
  <si>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</si>
  <si>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</si>
  <si>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</si>
  <si>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</si>
  <si>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</si>
  <si>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</si>
  <si>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</si>
  <si>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</si>
  <si>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</si>
  <si>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</si>
  <si>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</si>
  <si>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</si>
  <si>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</si>
  <si>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</si>
  <si>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</si>
  <si>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</si>
  <si>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</si>
  <si>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</si>
  <si>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</si>
  <si>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</si>
  <si>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</si>
  <si>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</si>
  <si>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</si>
  <si>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</si>
  <si>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</si>
  <si>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</si>
  <si>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</si>
  <si>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</si>
  <si>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</si>
  <si>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</si>
  <si>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</si>
  <si>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</si>
  <si>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</si>
  <si>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</si>
  <si>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</si>
  <si>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</si>
  <si>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</si>
  <si>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</si>
  <si>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</si>
  <si>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</si>
  <si>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</si>
  <si>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</si>
  <si>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</si>
  <si>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</si>
  <si>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</si>
  <si>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</si>
  <si>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</si>
  <si>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</si>
  <si>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</si>
  <si>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</si>
  <si>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</si>
  <si>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</si>
  <si>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</si>
  <si>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</si>
  <si>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</si>
  <si>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</si>
  <si>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ДОМ.РФ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</si>
  <si>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</si>
  <si>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</si>
  <si>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</si>
  <si>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</si>
  <si>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</si>
  <si>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</si>
  <si>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</si>
  <si>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</si>
  <si>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</si>
  <si>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</si>
  <si>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</si>
  <si>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</si>
  <si>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</si>
  <si>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</si>
  <si>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</si>
  <si>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</si>
  <si>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</si>
  <si>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</si>
  <si>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</si>
  <si>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</si>
  <si>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</si>
  <si>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</si>
  <si>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</si>
  <si>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</si>
  <si>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</si>
  <si>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</si>
  <si>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</si>
  <si>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</si>
  <si>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</si>
  <si>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</si>
  <si>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</si>
  <si>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</si>
  <si>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</si>
  <si>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</si>
  <si>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</si>
  <si>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</si>
  <si>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</si>
  <si>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</si>
  <si>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</si>
  <si>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</si>
  <si>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</si>
  <si>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</si>
  <si>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</si>
  <si>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</si>
  <si>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</si>
  <si>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</si>
  <si>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</si>
  <si>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</si>
  <si>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</si>
  <si>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</si>
  <si>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</si>
  <si>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</si>
  <si>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</si>
  <si>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</si>
  <si>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</si>
  <si>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</si>
  <si>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</si>
  <si>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</si>
  <si>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</si>
  <si>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</si>
  <si>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</si>
  <si>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</si>
  <si>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</si>
  <si>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</si>
  <si>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</si>
  <si>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</si>
  <si>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</si>
  <si>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</si>
  <si>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</si>
  <si>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</si>
  <si>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</si>
  <si>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</si>
  <si>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</si>
  <si>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</si>
  <si>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</si>
  <si>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</si>
  <si>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</si>
  <si>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</si>
  <si>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</si>
  <si>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</si>
  <si>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</si>
  <si>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</si>
  <si>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</si>
  <si>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</si>
  <si>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</si>
  <si>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</si>
  <si>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</si>
  <si>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</si>
  <si>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</si>
  <si>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</si>
  <si>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</si>
  <si>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</si>
  <si>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</si>
  <si>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</si>
  <si>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</si>
  <si>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</si>
  <si>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</si>
  <si>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</si>
  <si>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</si>
  <si>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</si>
  <si>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</si>
  <si>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</si>
  <si>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</si>
  <si>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</si>
  <si>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</si>
  <si>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</si>
  <si>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</si>
  <si>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</si>
  <si>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</si>
  <si>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</si>
  <si>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</si>
  <si>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</si>
  <si>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</si>
  <si>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</si>
  <si>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</si>
  <si>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</si>
  <si>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</si>
  <si>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</si>
  <si>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</si>
  <si>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</si>
  <si>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</si>
  <si>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</si>
  <si>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</si>
  <si>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</si>
  <si>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</si>
  <si>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</si>
  <si>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</si>
  <si>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</si>
  <si>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</si>
  <si>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</si>
  <si>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</si>
  <si>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</si>
  <si>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</si>
  <si>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</si>
  <si>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</si>
  <si>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</si>
  <si>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</si>
  <si>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</si>
  <si>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</si>
  <si>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</si>
  <si>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</si>
  <si>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</si>
  <si>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</si>
  <si>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</si>
  <si>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</si>
  <si>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</si>
  <si>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</si>
  <si>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</si>
  <si>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</si>
  <si>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</si>
  <si>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</si>
  <si>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</si>
  <si>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</si>
  <si>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</si>
  <si>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</si>
  <si>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</si>
  <si>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</si>
  <si>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</si>
  <si>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</si>
  <si>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</si>
  <si>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</si>
  <si>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</si>
  <si>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</si>
  <si>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</si>
  <si>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</si>
  <si>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</si>
  <si>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</si>
  <si>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</si>
  <si>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</si>
  <si>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</si>
  <si>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</si>
  <si>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</si>
  <si>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</si>
  <si>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</si>
  <si>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</si>
  <si>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</si>
  <si>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</si>
  <si>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</si>
  <si>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</si>
  <si>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</si>
  <si>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</si>
  <si>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</si>
  <si>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</si>
  <si>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</si>
  <si>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</si>
  <si>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</si>
  <si>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</si>
  <si>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</si>
  <si>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</si>
  <si>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GOTRL  5.950 07/19/21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</si>
  <si>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</si>
  <si>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</si>
  <si>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</si>
  <si>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</si>
  <si>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</si>
  <si>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</si>
  <si>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</si>
  <si>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</si>
  <si>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</si>
  <si>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</si>
  <si>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</si>
  <si>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</si>
  <si>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</si>
  <si>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</si>
  <si>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</si>
  <si>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</si>
  <si>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SGEEL  3.850 08/27/21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</si>
  <si>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</si>
  <si>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</si>
  <si>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</si>
  <si>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</si>
  <si>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</si>
  <si>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</si>
  <si>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</si>
  <si>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</si>
  <si>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</si>
  <si>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</si>
  <si>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ROSB   7.500 07/21/26 PUT</t>
  </si>
  <si>
    <t>IIB    6.750 05/16/23</t>
  </si>
  <si>
    <t>SVKBK 10.350 12/21/21</t>
  </si>
  <si>
    <t>AFKS   6.700 08/26/30 PUT</t>
  </si>
  <si>
    <t>IIB    5.950 03/10/23</t>
  </si>
  <si>
    <t>AFKS   6.100 11/25/30 PUT</t>
  </si>
  <si>
    <t>HEDTR  6.450 12/11/23</t>
  </si>
  <si>
    <t>GOTRL  6.890 12/16/25 PUT</t>
  </si>
  <si>
    <t>GOTRL  7.350 03/18/33 PUT</t>
  </si>
  <si>
    <t>PIKK   5.700 06/23/21 FRN</t>
  </si>
  <si>
    <t>GOTRL  7.980 03/06/25 PUT</t>
  </si>
  <si>
    <t>SOVCH  8.500 07/30/21 PUT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</si>
  <si>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</si>
  <si>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</si>
  <si>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</si>
  <si>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</si>
  <si>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</si>
  <si>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</si>
  <si>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</si>
  <si>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</si>
  <si>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</si>
  <si>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</si>
  <si>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</si>
  <si>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</si>
  <si>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</si>
  <si>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7.400 07/17/24</t>
  </si>
  <si>
    <t>RUGV   7.150 11/12/25</t>
  </si>
  <si>
    <t>RUGV   6.000 10/06/27</t>
  </si>
  <si>
    <t>RUGV   8.150 02/03/27</t>
  </si>
  <si>
    <t>RUGV   7.750 09/16/26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</si>
  <si>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</si>
  <si>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</si>
  <si>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</si>
  <si>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</si>
  <si>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</si>
  <si>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</si>
  <si>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#N/A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</si>
  <si>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</si>
  <si>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</si>
  <si>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</si>
  <si>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Internal error</t>
  </si>
  <si>
    <t>GAZFI  2.950 01/27/29 MTN</t>
  </si>
  <si>
    <t>NULL</t>
  </si>
  <si>
    <t>OTKRT  0.010 04/25/28 PUT DFTd</t>
  </si>
  <si>
    <t>BANE   5.500 01/31/23 PUT</t>
  </si>
  <si>
    <t>GOTRL  4.900 01/18/33 FRN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</si>
  <si>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</si>
  <si>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</si>
  <si>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</si>
  <si>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</si>
  <si>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</si>
  <si>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</si>
  <si>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</si>
  <si>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рост курса долл/евро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</si>
  <si>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</si>
  <si>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</si>
  <si>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</si>
  <si>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</si>
  <si>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</si>
  <si>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</si>
  <si>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</si>
  <si>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</si>
  <si>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</si>
  <si>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</si>
  <si>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</si>
  <si>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</si>
  <si>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</si>
  <si>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</si>
  <si>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</si>
  <si>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</si>
  <si>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</si>
  <si>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</si>
  <si>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</si>
  <si>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</si>
  <si>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</si>
  <si>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</si>
  <si>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RUGV   5.450 03/03/27 FRN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</si>
  <si>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</si>
  <si>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</si>
  <si>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</si>
  <si>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</si>
  <si>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</si>
  <si>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</si>
  <si>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</si>
  <si>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</si>
  <si>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</si>
  <si>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</si>
  <si>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</si>
  <si>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 xml:space="preserve">1 мар 2021
Европлан
SOCAR
   CB ENTERPRISES PTE. LTD
Societe Generale (НорНикель) 
SUEK Ltd </t>
  </si>
  <si>
    <t xml:space="preserve">1 апр 2021
Европлан
SOCAR
   CB ENTERPRISES PTE. LTD
Societe Generale (НорНикель) 
SUEK Ltd </t>
  </si>
  <si>
    <t>корпоративные еврооблигации</t>
  </si>
  <si>
    <t>корпоративные рублевые облигации</t>
  </si>
  <si>
    <t>АБФ-БО</t>
  </si>
  <si>
    <t>ГТЛК-2021-еврооб</t>
  </si>
  <si>
    <t>XS1449458915</t>
  </si>
  <si>
    <t>Совкомфлот-2023-еврооб</t>
  </si>
  <si>
    <t>XS1433454243</t>
  </si>
  <si>
    <t>ABH Financial-2022-еврооб</t>
  </si>
  <si>
    <t>CH0385518086</t>
  </si>
  <si>
    <t>Русал-2023-еврооб</t>
  </si>
  <si>
    <t>XS1759468967</t>
  </si>
  <si>
    <t>Вымпелком-2023-еврооб</t>
  </si>
  <si>
    <t>XS1400710726</t>
  </si>
  <si>
    <t>DME Airport (Домодедово)-2023-еврооб</t>
  </si>
  <si>
    <t>XS1772800204</t>
  </si>
  <si>
    <t>ЧТПЗ-2024-еврооб</t>
  </si>
  <si>
    <t>XS2010044548</t>
  </si>
  <si>
    <t>ГТЛК-2026-еврооб</t>
  </si>
  <si>
    <t>XS2010044381</t>
  </si>
  <si>
    <t>Россельхозбанк-С01Е-01</t>
  </si>
  <si>
    <t>RU000A101616</t>
  </si>
  <si>
    <t>Альфа-Банк-2030-еврооб</t>
  </si>
  <si>
    <t>XS2063279959</t>
  </si>
  <si>
    <t>Газпром-2030-еврооб</t>
  </si>
  <si>
    <t>XS2124187571</t>
  </si>
  <si>
    <t>Северсталь-2022-еврооб</t>
  </si>
  <si>
    <t>XS0841671000</t>
  </si>
  <si>
    <t>ВЭБ-2022-еврооб</t>
  </si>
  <si>
    <t>XS0800817073</t>
  </si>
  <si>
    <t>Газпром нефть-2022-еврооб</t>
  </si>
  <si>
    <t>XS0830192711</t>
  </si>
  <si>
    <t>ABH Financial-2023-еврооб</t>
  </si>
  <si>
    <t>XS2183144810</t>
  </si>
  <si>
    <t>Роснефть-2022-еврооб</t>
  </si>
  <si>
    <t>XS0861981180</t>
  </si>
  <si>
    <t>Норникель-2022-еврооб</t>
  </si>
  <si>
    <t>XS1622146758</t>
  </si>
  <si>
    <t>Северсталь-2021-еврооб</t>
  </si>
  <si>
    <t>XS1567051443</t>
  </si>
  <si>
    <t>Сбербанк-2022-еврооб</t>
  </si>
  <si>
    <t>XS0743596040</t>
  </si>
  <si>
    <t>Беларусь-2023-еврооб</t>
  </si>
  <si>
    <t>XS1634369067</t>
  </si>
  <si>
    <t>Газпром-2025_u-еврооб</t>
  </si>
  <si>
    <t>XS2243631095</t>
  </si>
  <si>
    <t>МКБ-02.2024-еврооб</t>
  </si>
  <si>
    <t>XS1951067039</t>
  </si>
  <si>
    <t>МКБ-01.2025-еврооб</t>
  </si>
  <si>
    <t>XS2099763075</t>
  </si>
  <si>
    <t>ГТЛК БО-07</t>
  </si>
  <si>
    <t>RU000A0JW1P8</t>
  </si>
  <si>
    <t>Ипотечный агент ТФБ-1-об</t>
  </si>
  <si>
    <t>RU000A0JV508</t>
  </si>
  <si>
    <t>Россельхозбанк-08Т1-об</t>
  </si>
  <si>
    <t>RU000A0JWV63</t>
  </si>
  <si>
    <t>ГТЛК-001Р-07-боб</t>
  </si>
  <si>
    <t>RU000A0ZYNY4</t>
  </si>
  <si>
    <t>ГТЛК-001P-08-боб</t>
  </si>
  <si>
    <t>RU000A0ZYR91</t>
  </si>
  <si>
    <t>СистемаАФК-001P-01-боб</t>
  </si>
  <si>
    <t>RU000A0JVUK8</t>
  </si>
  <si>
    <t>ГТЛК-001P-09-боб</t>
  </si>
  <si>
    <t>RU000A0ZZ1J8</t>
  </si>
  <si>
    <t>ПИК-П06-боб</t>
  </si>
  <si>
    <t>RU000A0ZZAW2</t>
  </si>
  <si>
    <t>СистемаАФК-001P-04-боб</t>
  </si>
  <si>
    <t>RU000A0JWYQ5</t>
  </si>
  <si>
    <t>ГТЛК-4-боб</t>
  </si>
  <si>
    <t>RU000A0JVA10</t>
  </si>
  <si>
    <t>Совкомбанк-03-боб</t>
  </si>
  <si>
    <t>RU000A0JWPA7</t>
  </si>
  <si>
    <t>РОСНАНО-6-об</t>
  </si>
  <si>
    <t>RU000A0JVVA7</t>
  </si>
  <si>
    <t>Россельхозбанк-20-об</t>
  </si>
  <si>
    <t>RU000A0JTVJ2</t>
  </si>
  <si>
    <t>МБЭС-001P-01-боб</t>
  </si>
  <si>
    <t>RU000A100VX2</t>
  </si>
  <si>
    <t>РОСНАНО-8-об</t>
  </si>
  <si>
    <t>RU000A1008V9</t>
  </si>
  <si>
    <t>Синх-финанс-001P-01-боб</t>
  </si>
  <si>
    <t>RU000A0JXVE5</t>
  </si>
  <si>
    <t>Сегежа-001P-01R-боб</t>
  </si>
  <si>
    <t>RU000A101D13</t>
  </si>
  <si>
    <t>РЖД-41-об</t>
  </si>
  <si>
    <t>RU000A0JX1S1</t>
  </si>
  <si>
    <t>Роснано-2р4-боб</t>
  </si>
  <si>
    <t>RU000A101KK0</t>
  </si>
  <si>
    <t>Альфа-Банк-2022-еврооб</t>
  </si>
  <si>
    <t>XS1946883342</t>
  </si>
  <si>
    <t>МИБ-01Р4-боб</t>
  </si>
  <si>
    <t>RU000A101MZ4</t>
  </si>
  <si>
    <t>Русал Братск-002Р-01-боб</t>
  </si>
  <si>
    <t>RU000A101S81</t>
  </si>
  <si>
    <t>Совкомбанк Лизинг-п01-боб</t>
  </si>
  <si>
    <t>RU000A0ZZZN8</t>
  </si>
  <si>
    <t>РусГидро-2022-еврооб</t>
  </si>
  <si>
    <t>XS1691350455</t>
  </si>
  <si>
    <t>Металлоинвест-2-об</t>
  </si>
  <si>
    <t>RU000A0JTLJ3</t>
  </si>
  <si>
    <t>Металлоинвест-3-об</t>
  </si>
  <si>
    <t>RU000A0JTLL9</t>
  </si>
  <si>
    <t>Россельхозбанк-12</t>
  </si>
  <si>
    <t>RU000A0JRMB2</t>
  </si>
  <si>
    <t>ФСК ЕЭС-13</t>
  </si>
  <si>
    <t>RU000A0JRL96</t>
  </si>
  <si>
    <t>ОФЗ-29007</t>
  </si>
  <si>
    <t>RU000A0JV4M0</t>
  </si>
  <si>
    <t>МКБ-2024-еврооб</t>
  </si>
  <si>
    <t>XS1964558339</t>
  </si>
  <si>
    <t>МКБ-2025-еврооб</t>
  </si>
  <si>
    <t>Лукойл-2030-еврооб</t>
  </si>
  <si>
    <t>XS2159874002</t>
  </si>
  <si>
    <t>ГТЛК-2027-еврооб</t>
  </si>
  <si>
    <t>XS2131995958</t>
  </si>
  <si>
    <t>ГТЛК-2028-еврооб</t>
  </si>
  <si>
    <t>XS2249778247</t>
  </si>
  <si>
    <t>Вложения (руб) на 01.04.2021</t>
  </si>
  <si>
    <t>РОСНАНО</t>
  </si>
  <si>
    <t>ФСК ЕЭС</t>
  </si>
  <si>
    <t>Московский Кредитный Банк</t>
  </si>
  <si>
    <t>SBER</t>
  </si>
  <si>
    <t>GAZP</t>
  </si>
  <si>
    <t>SNGS</t>
  </si>
  <si>
    <t>YNDX</t>
  </si>
  <si>
    <t>GMKN</t>
  </si>
  <si>
    <t>NVTK</t>
  </si>
  <si>
    <t>XS2134628069</t>
  </si>
  <si>
    <t>XS2291819980</t>
  </si>
  <si>
    <t>XS0810596832</t>
  </si>
  <si>
    <t>XS2252958751</t>
  </si>
  <si>
    <t>RU000A0JREW5</t>
  </si>
  <si>
    <t>RU000A0JTX09</t>
  </si>
  <si>
    <t>RU000A100V79</t>
  </si>
  <si>
    <t>RU000A0JX2F6</t>
  </si>
  <si>
    <t>RU000A0JWNB0</t>
  </si>
  <si>
    <t>RU000A0JTM36</t>
  </si>
  <si>
    <t>RU000A0JTM51</t>
  </si>
  <si>
    <t>RU000A1023K1</t>
  </si>
  <si>
    <t>RU000A1023H7</t>
  </si>
  <si>
    <t>RU000A102FS1</t>
  </si>
  <si>
    <t>RU000A102GY7</t>
  </si>
  <si>
    <t>RU000A102RF3</t>
  </si>
  <si>
    <t>RU000A102SV8</t>
  </si>
  <si>
    <t>RU000A0ZYZ26</t>
  </si>
  <si>
    <t>RU000A1007F4</t>
  </si>
  <si>
    <t>RU000A100EG3</t>
  </si>
  <si>
    <t>RU000A1014N4</t>
  </si>
  <si>
    <t>RU000A0JS3W6</t>
  </si>
  <si>
    <t>RU000A0JWM07</t>
  </si>
  <si>
    <t>BANEP</t>
  </si>
  <si>
    <t>TRNFP</t>
  </si>
  <si>
    <t>RU000A102CL3</t>
  </si>
  <si>
    <t>акции обыкновенные</t>
  </si>
  <si>
    <t>акции привилегированные</t>
  </si>
  <si>
    <t>госеврооблигации</t>
  </si>
  <si>
    <t>Норникель-2025-еврооб</t>
  </si>
  <si>
    <t>Газпром-2029-еврооб</t>
  </si>
  <si>
    <t>ВТБ-2012-еврооб</t>
  </si>
  <si>
    <t>VEON Holdings-2027-еврооб</t>
  </si>
  <si>
    <t>ВЭБ-Лизинг-3-об</t>
  </si>
  <si>
    <t>Открытие Холдинг-5-об</t>
  </si>
  <si>
    <t>Тинькофф-001P-03R-боб</t>
  </si>
  <si>
    <t>Росбанк-11-боб</t>
  </si>
  <si>
    <t>Росбанк-26-боб</t>
  </si>
  <si>
    <t>Башнефть-7-об</t>
  </si>
  <si>
    <t>Башнефть-9-об</t>
  </si>
  <si>
    <t>СистемаАФК-1Р-15</t>
  </si>
  <si>
    <t>МИБ-001Р-05</t>
  </si>
  <si>
    <t>СистемаАФК-001P-16</t>
  </si>
  <si>
    <t>Хэдхантер-001Р-01R</t>
  </si>
  <si>
    <t>ХКФБанк-7-боб</t>
  </si>
  <si>
    <t>СистемаАФК-001P-18</t>
  </si>
  <si>
    <t>ОФЗ-52002</t>
  </si>
  <si>
    <t>ОФЗ-26227</t>
  </si>
  <si>
    <t>ОФЗ-26229</t>
  </si>
  <si>
    <t>ОФЗ-26232</t>
  </si>
  <si>
    <t>ОФЗ-26207</t>
  </si>
  <si>
    <t>ОФЗ-26219</t>
  </si>
  <si>
    <t>Россия-2032-еврооб</t>
  </si>
  <si>
    <t>Стратегический портфель долговых ц/б - это Дом.РФ и РЖД портфель "обособленный". Риск - столбец кредитный риск</t>
  </si>
  <si>
    <t>cvar, % (по наилучшему рейтингу)</t>
  </si>
  <si>
    <t>VON    3.375 11/25/27 '27 MTN</t>
  </si>
  <si>
    <t>MMCFN  3.849 04/08/22 '22</t>
  </si>
  <si>
    <t>GAZFI  4.599 Perp     '25 FRN</t>
  </si>
  <si>
    <t>VNESH  7.270 04/02/21 PUT MATd</t>
  </si>
  <si>
    <t>AFKS   6.900 02/17/31</t>
  </si>
  <si>
    <t>GOTRL  5.000 12/31/32 FRN PUT</t>
  </si>
  <si>
    <t>FASPM  8.150 07/01/21 PUT</t>
  </si>
  <si>
    <t>FEES   8.500 06/22/21</t>
  </si>
  <si>
    <t>кредитный риск страт портфель облигаций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</si>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</sst>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</cellStyleXfs>
  <cellXfs count="249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14" fontId="11" fillId="4" borderId="1" xfId="0" applyNumberFormat="1" applyFont="1" applyFill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4" borderId="1" xfId="0" applyNumberFormat="1" applyFont="1" applyFill="1" applyBorder="1" applyAlignment="1">
      <alignment horizontal="center"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3" fontId="39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167" fontId="0" fillId="0" borderId="0" xfId="0" applyNumberFormat="1" applyAlignment="1">
      <alignment horizontal="lef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10" fillId="0" borderId="0" xfId="0" applyNumberFormat="1" applyFont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 wrapText="1"/>
    </xf>
    <xf numFmtId="0" fontId="39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39" fillId="0" borderId="3" xfId="0" applyFont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</cellXfs>
  <cellStyles count="22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D3E9E6"/>
      <color rgb="FFB4EFCF"/>
      <color rgb="FF939598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openxmlformats.org/officeDocument/2006/relationships/calcChain" Target="calcChain.xml"/><Relationship Id="rId21" Type="http://schemas.openxmlformats.org/officeDocument/2006/relationships/externalLink" Target="externalLinks/externalLink12.xml"/><Relationship Id="rId34" Type="http://schemas.openxmlformats.org/officeDocument/2006/relationships/externalLink" Target="externalLinks/externalLink25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externalLink" Target="externalLinks/externalLink2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externalLink" Target="externalLinks/externalLink23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externalLink" Target="externalLinks/externalLink2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2/1/2021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5.555555555555555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'1'!$C$10:$C$13</c:f>
              <c:numCache>
                <c:formatCode>#,##0</c:formatCode>
                <c:ptCount val="4"/>
                <c:pt idx="0">
                  <c:v>1279.5216788963814</c:v>
                </c:pt>
                <c:pt idx="1">
                  <c:v>498.71841491866803</c:v>
                </c:pt>
                <c:pt idx="2">
                  <c:v>3808</c:v>
                </c:pt>
                <c:pt idx="3">
                  <c:v>5586.2400938150495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3/1/2021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-1.6147425050080533E-3"/>
                  <c:y val="-8.0190697744234171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'1'!$D$10:$D$13</c:f>
              <c:numCache>
                <c:formatCode>#,##0</c:formatCode>
                <c:ptCount val="4"/>
                <c:pt idx="0">
                  <c:v>1238.2953151577451</c:v>
                </c:pt>
                <c:pt idx="1">
                  <c:v>507</c:v>
                </c:pt>
                <c:pt idx="2">
                  <c:v>3365</c:v>
                </c:pt>
                <c:pt idx="3">
                  <c:v>5110.2953151577449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4/1/2021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8.3333333333333332E-3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4.2328604359726683E-3"/>
                  <c:y val="-4.365028939892569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'1'!$E$10:$E$13</c:f>
              <c:numCache>
                <c:formatCode>#,##0</c:formatCode>
                <c:ptCount val="4"/>
                <c:pt idx="0">
                  <c:v>1258.1382393040278</c:v>
                </c:pt>
                <c:pt idx="1">
                  <c:v>501.08319123191905</c:v>
                </c:pt>
                <c:pt idx="2">
                  <c:v>3055</c:v>
                </c:pt>
                <c:pt idx="3">
                  <c:v>4814.2214305359466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681167488"/>
        <c:axId val="-1681164224"/>
      </c:barChart>
      <c:catAx>
        <c:axId val="-168116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1164224"/>
        <c:crosses val="autoZero"/>
        <c:auto val="1"/>
        <c:lblAlgn val="ctr"/>
        <c:lblOffset val="100"/>
        <c:noMultiLvlLbl val="0"/>
      </c:catAx>
      <c:valAx>
        <c:axId val="-16811642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168116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'1'!$C$33</c:f>
              <c:strCache>
                <c:ptCount val="1"/>
                <c:pt idx="0">
                  <c:v>2/1/2021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'1'!$C$34</c:f>
              <c:numCache>
                <c:formatCode>#,##0.0</c:formatCode>
                <c:ptCount val="1"/>
                <c:pt idx="0">
                  <c:v>131.77396675245924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'1'!$D$33</c:f>
              <c:strCache>
                <c:ptCount val="1"/>
                <c:pt idx="0">
                  <c:v>3/1/2021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'1'!$D$34</c:f>
              <c:numCache>
                <c:formatCode>#,##0.0</c:formatCode>
                <c:ptCount val="1"/>
                <c:pt idx="0">
                  <c:v>127.06653913323713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'1'!$E$33</c:f>
              <c:strCache>
                <c:ptCount val="1"/>
                <c:pt idx="0">
                  <c:v>4/1/2021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'1'!$E$34</c:f>
              <c:numCache>
                <c:formatCode>#,##0.0</c:formatCode>
                <c:ptCount val="1"/>
                <c:pt idx="0">
                  <c:v>124.49229304596814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681166944"/>
        <c:axId val="-1681173472"/>
      </c:barChart>
      <c:catAx>
        <c:axId val="-168116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1173472"/>
        <c:crosses val="autoZero"/>
        <c:auto val="1"/>
        <c:lblAlgn val="ctr"/>
        <c:lblOffset val="100"/>
        <c:noMultiLvlLbl val="0"/>
      </c:catAx>
      <c:valAx>
        <c:axId val="-1681173472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-168116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04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9580537133028473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22C-46D6-B672-04383343772D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2213535064302362"/>
                  <c:y val="-3.0016147376602689E-3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0.13906549636640103"/>
                  <c:y val="4.987097411235528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C22C-46D6-B672-04383343772D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'1'!$B$77:$B$82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страт портфель облигаций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'1'!$C$77:$C$82</c:f>
              <c:numCache>
                <c:formatCode>#,##0</c:formatCode>
                <c:ptCount val="6"/>
                <c:pt idx="0">
                  <c:v>501.08319123191905</c:v>
                </c:pt>
                <c:pt idx="1">
                  <c:v>945</c:v>
                </c:pt>
                <c:pt idx="2">
                  <c:v>1382.630532349996</c:v>
                </c:pt>
                <c:pt idx="3">
                  <c:v>565.81184865851412</c:v>
                </c:pt>
                <c:pt idx="4">
                  <c:v>3055</c:v>
                </c:pt>
                <c:pt idx="5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9102196752626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9.1003291820545618E-2"/>
                  <c:y val="-0.2788920725883476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9.2981624251427045E-2"/>
                  <c:y val="-3.82043935052531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2795E-3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политика'!$A$2:$A$14</c:f>
              <c:strCache>
                <c:ptCount val="13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</c:strCache>
            </c:strRef>
          </c:cat>
          <c:val>
            <c:numRef>
              <c:f>'Инвест политика'!$C$2:$C$14</c:f>
              <c:numCache>
                <c:formatCode>0%</c:formatCode>
                <c:ptCount val="13"/>
                <c:pt idx="0">
                  <c:v>0.29756383349140508</c:v>
                </c:pt>
                <c:pt idx="1">
                  <c:v>5.6937259907304883E-3</c:v>
                </c:pt>
                <c:pt idx="2">
                  <c:v>1.8098726819633645E-2</c:v>
                </c:pt>
                <c:pt idx="3">
                  <c:v>0.23623086164718141</c:v>
                </c:pt>
                <c:pt idx="4">
                  <c:v>3.1664239605842283E-2</c:v>
                </c:pt>
                <c:pt idx="5">
                  <c:v>7.2559226905393537E-3</c:v>
                </c:pt>
                <c:pt idx="6">
                  <c:v>2.3335090671587684E-2</c:v>
                </c:pt>
                <c:pt idx="7">
                  <c:v>4.4993240074023076E-2</c:v>
                </c:pt>
                <c:pt idx="8">
                  <c:v>2.0481673900663813E-2</c:v>
                </c:pt>
                <c:pt idx="9">
                  <c:v>0</c:v>
                </c:pt>
                <c:pt idx="10">
                  <c:v>0.12996617070392108</c:v>
                </c:pt>
                <c:pt idx="11">
                  <c:v>1.280182575976354E-2</c:v>
                </c:pt>
                <c:pt idx="12">
                  <c:v>0.16257734757255712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политика'!$A$2:$A$14</c15:sqref>
                        </c15:formulaRef>
                      </c:ext>
                    </c:extLst>
                    <c:strCache>
                      <c:ptCount val="13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22254127861.300003</c:v>
                      </c:pt>
                      <c:pt idx="1">
                        <c:v>425820922.92000002</c:v>
                      </c:pt>
                      <c:pt idx="2">
                        <c:v>1353562951.6700001</c:v>
                      </c:pt>
                      <c:pt idx="3">
                        <c:v>17667173252.199997</c:v>
                      </c:pt>
                      <c:pt idx="4">
                        <c:v>2368097051.8200002</c:v>
                      </c:pt>
                      <c:pt idx="5">
                        <c:v>542654090.09000003</c:v>
                      </c:pt>
                      <c:pt idx="6">
                        <c:v>1745178791.95</c:v>
                      </c:pt>
                      <c:pt idx="7">
                        <c:v>3364942929.2300005</c:v>
                      </c:pt>
                      <c:pt idx="8">
                        <c:v>1531778188.3999999</c:v>
                      </c:pt>
                      <c:pt idx="9">
                        <c:v>0</c:v>
                      </c:pt>
                      <c:pt idx="10">
                        <c:v>9719876728.8100014</c:v>
                      </c:pt>
                      <c:pt idx="11">
                        <c:v>957419670.16999996</c:v>
                      </c:pt>
                      <c:pt idx="12">
                        <c:v>12158793082.410002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0041425814916563E-2"/>
                  <c:y val="0.1269173199470788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8.7252583575483812E-3"/>
                  <c:y val="-0.129629671347843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8888875819983892E-2"/>
                  <c:y val="-3.103241530257940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8.0843657931606583E-2"/>
                  <c:y val="3.70370489565267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6.4753418188426295E-2"/>
                  <c:y val="8.988027099055215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2240659833328334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1.2448131966665575E-2"/>
                  <c:y val="7.950716819636033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'1'!$B$56:$B$66</c15:sqref>
                  </c15:fullRef>
                </c:ext>
              </c:extLst>
              <c:f>('1'!$B$56,'1'!$B$58:$B$64)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'1'!$D$56:$D$66</c15:sqref>
                  </c15:fullRef>
                </c:ext>
              </c:extLst>
              <c:f>('1'!$D$56,'1'!$D$58:$D$64)</c:f>
              <c:numCache>
                <c:formatCode>0.0%</c:formatCode>
                <c:ptCount val="8"/>
                <c:pt idx="0">
                  <c:v>2.2707986467969787E-2</c:v>
                </c:pt>
                <c:pt idx="1">
                  <c:v>0.21523461601966368</c:v>
                </c:pt>
                <c:pt idx="2">
                  <c:v>0.32202823577681355</c:v>
                </c:pt>
                <c:pt idx="3">
                  <c:v>0.20362286058404966</c:v>
                </c:pt>
                <c:pt idx="4">
                  <c:v>4.2955143294493209E-2</c:v>
                </c:pt>
                <c:pt idx="5">
                  <c:v>0.18490643691131012</c:v>
                </c:pt>
                <c:pt idx="6">
                  <c:v>1.1652830497071531E-3</c:v>
                </c:pt>
                <c:pt idx="7">
                  <c:v>7.3794378959928311E-3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Синдикаты!$B$2:$I$2</c15:sqref>
                  </c15:fullRef>
                </c:ext>
              </c:extLst>
              <c:f>(Синдикаты!$B$2:$F$2,Синдикаты!$I$2)</c:f>
              <c:strCache>
                <c:ptCount val="6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 (НорНикель) 
SUEK Ltd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Синдикаты!$B$3:$I$3</c15:sqref>
                  </c15:fullRef>
                </c:ext>
              </c:extLst>
              <c:f>(Синдикаты!$B$3:$F$3,Синдикаты!$I$3)</c:f>
              <c:numCache>
                <c:formatCode>#,##0</c:formatCode>
                <c:ptCount val="6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681159872"/>
        <c:axId val="-1681162048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Синдикаты!$B$2:$I$2</c15:sqref>
                        </c15:fullRef>
                        <c15:formulaRef>
                          <c15:sqref>(Синдикаты!$B$2:$F$2,Синдикаты!$I$2)</c15:sqref>
                        </c15:formulaRef>
                      </c:ext>
                    </c:extLst>
                    <c:strCache>
                      <c:ptCount val="6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 (НорНикель) 
SUEK Ltd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Синдикаты!$B$4:$I$4</c15:sqref>
                        </c15:fullRef>
                        <c15:formulaRef>
                          <c15:sqref>(Синдикаты!$B$4:$F$4,Синдикаты!$I$4)</c15:sqref>
                        </c15:formulaRef>
                      </c:ext>
                    </c:extLst>
                    <c:numCache>
                      <c:formatCode>#,##0</c:formatCode>
                      <c:ptCount val="6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Синдикаты!$B$2:$I$2</c15:sqref>
                  </c15:fullRef>
                </c:ext>
              </c:extLst>
              <c:f>(Синдикаты!$B$2:$F$2,Синдикаты!$I$2)</c:f>
              <c:strCache>
                <c:ptCount val="6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 (НорНикель) 
SUEK Ltd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Синдикаты!$B$5:$I$5</c15:sqref>
                  </c15:fullRef>
                </c:ext>
              </c:extLst>
              <c:f>(Синдикаты!$B$5:$F$5,Синдикаты!$I$5)</c:f>
              <c:numCache>
                <c:formatCode>0.0%</c:formatCode>
                <c:ptCount val="6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  <c:ext xmlns:c15="http://schemas.microsoft.com/office/drawing/2012/chart" uri="{02D57815-91ED-43cb-92C2-25804820EDAC}">
              <c15:categoryFilterExceptions>
                <c15:categoryFilterException>
                  <c15:sqref>Синдикаты!$G$5</c15:sqref>
                  <c15:dLbl>
                    <c:idx val="4"/>
                    <c:layout>
                      <c:manualLayout>
                        <c:x val="1.2475631996361437E-2"/>
                        <c:y val="-1.13960079873752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6r2="http://schemas.microsoft.com/office/drawing/2015/06/chart" xmlns:c16="http://schemas.microsoft.com/office/drawing/2014/chart">
                      <c:ext xmlns:c16="http://schemas.microsoft.com/office/drawing/2014/chart" uri="{C3380CC4-5D6E-409C-BE32-E72D297353CC}">
                        <c16:uniqueId val="{00000000-5743-412D-8BD0-1C0600BFD94C}"/>
                      </c:ex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1172928"/>
        <c:axId val="-1681166400"/>
      </c:lineChart>
      <c:catAx>
        <c:axId val="-168115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1162048"/>
        <c:crosses val="autoZero"/>
        <c:auto val="1"/>
        <c:lblAlgn val="ctr"/>
        <c:lblOffset val="100"/>
        <c:noMultiLvlLbl val="0"/>
      </c:catAx>
      <c:valAx>
        <c:axId val="-168116204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1159872"/>
        <c:crosses val="autoZero"/>
        <c:crossBetween val="between"/>
      </c:valAx>
      <c:valAx>
        <c:axId val="-168116640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1172928"/>
        <c:crosses val="max"/>
        <c:crossBetween val="between"/>
      </c:valAx>
      <c:catAx>
        <c:axId val="-1681172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811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Lbls>
            <c:dLbl>
              <c:idx val="0"/>
              <c:layout>
                <c:manualLayout>
                  <c:x val="-4.1666666666666664E-2"/>
                  <c:y val="0.1157407407407407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66666666666E-2"/>
                  <c:y val="0.111111111111111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9444444444444448E-2"/>
                  <c:y val="3.240740740740740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8333333333333286E-2"/>
                  <c:y val="-6.018518518518518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Синдикаты!$A$42:$A$45</c:f>
              <c:strCache>
                <c:ptCount val="4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</c:strCache>
            </c:strRef>
          </c:cat>
          <c:val>
            <c:numRef>
              <c:f>Синдикаты!$C$42:$C$45</c:f>
              <c:numCache>
                <c:formatCode>0.0%</c:formatCode>
                <c:ptCount val="4"/>
                <c:pt idx="0">
                  <c:v>2.4403342221857669E-2</c:v>
                </c:pt>
                <c:pt idx="1">
                  <c:v>4.9299681256278115E-2</c:v>
                </c:pt>
                <c:pt idx="2">
                  <c:v>0.2895864513030133</c:v>
                </c:pt>
                <c:pt idx="3">
                  <c:v>0.63671052521885085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681160960"/>
        <c:axId val="-1681159328"/>
      </c:barChart>
      <c:catAx>
        <c:axId val="-168116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1159328"/>
        <c:crosses val="autoZero"/>
        <c:auto val="1"/>
        <c:lblAlgn val="ctr"/>
        <c:lblOffset val="100"/>
        <c:noMultiLvlLbl val="0"/>
      </c:catAx>
      <c:valAx>
        <c:axId val="-16811593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6811609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1235529</xdr:colOff>
      <xdr:row>13</xdr:row>
      <xdr:rowOff>177799</xdr:rowOff>
    </xdr:from>
    <xdr:to>
      <xdr:col>4</xdr:col>
      <xdr:colOff>1066044</xdr:colOff>
      <xdr:row>29</xdr:row>
      <xdr:rowOff>169333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34</xdr:row>
      <xdr:rowOff>153762</xdr:rowOff>
    </xdr:from>
    <xdr:to>
      <xdr:col>4</xdr:col>
      <xdr:colOff>335642</xdr:colOff>
      <xdr:row>47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82</xdr:row>
      <xdr:rowOff>158751</xdr:rowOff>
    </xdr:from>
    <xdr:to>
      <xdr:col>4</xdr:col>
      <xdr:colOff>21166</xdr:colOff>
      <xdr:row>100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92</xdr:row>
      <xdr:rowOff>9069</xdr:rowOff>
    </xdr:from>
    <xdr:to>
      <xdr:col>2</xdr:col>
      <xdr:colOff>687917</xdr:colOff>
      <xdr:row>94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6 470</a:t>
          </a:r>
        </a:p>
      </xdr:txBody>
    </xdr:sp>
    <xdr:clientData/>
  </xdr:twoCellAnchor>
  <xdr:twoCellAnchor>
    <xdr:from>
      <xdr:col>1</xdr:col>
      <xdr:colOff>27214</xdr:colOff>
      <xdr:row>101</xdr:row>
      <xdr:rowOff>23131</xdr:rowOff>
    </xdr:from>
    <xdr:to>
      <xdr:col>5</xdr:col>
      <xdr:colOff>340179</xdr:colOff>
      <xdr:row>118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486832</xdr:colOff>
      <xdr:row>54</xdr:row>
      <xdr:rowOff>78316</xdr:rowOff>
    </xdr:from>
    <xdr:to>
      <xdr:col>11</xdr:col>
      <xdr:colOff>222249</xdr:colOff>
      <xdr:row>70</xdr:row>
      <xdr:rowOff>137583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866774</xdr:colOff>
      <xdr:row>11</xdr:row>
      <xdr:rowOff>19049</xdr:rowOff>
    </xdr:from>
    <xdr:to>
      <xdr:col>6</xdr:col>
      <xdr:colOff>85725</xdr:colOff>
      <xdr:row>28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47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29"/>
  <sheetViews>
    <sheetView topLeftCell="A73" zoomScale="90" zoomScaleNormal="90" workbookViewId="0">
      <selection activeCell="H80" sqref="H80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23" t="s">
        <v>11</v>
      </c>
      <c r="C6" s="223"/>
      <c r="D6" s="223"/>
      <c r="E6" s="223"/>
    </row>
    <row r="8" spans="2:19" x14ac:dyDescent="0.25">
      <c r="B8" s="38" t="s">
        <v>43</v>
      </c>
      <c r="G8" s="226" t="s">
        <v>18</v>
      </c>
      <c r="H8" s="226"/>
    </row>
    <row r="9" spans="2:19" x14ac:dyDescent="0.25">
      <c r="B9" s="5" t="s">
        <v>12</v>
      </c>
      <c r="C9" s="7">
        <v>44228</v>
      </c>
      <c r="D9" s="7">
        <v>44256</v>
      </c>
      <c r="E9" s="8">
        <v>44287</v>
      </c>
      <c r="F9" s="1"/>
      <c r="G9" s="19">
        <f>E9</f>
        <v>44287</v>
      </c>
      <c r="H9" s="24" t="s">
        <v>17</v>
      </c>
      <c r="J9" s="19">
        <v>44256</v>
      </c>
      <c r="K9" s="24" t="s">
        <v>17</v>
      </c>
      <c r="L9" t="s">
        <v>40</v>
      </c>
    </row>
    <row r="10" spans="2:19" x14ac:dyDescent="0.25">
      <c r="B10" s="5" t="s">
        <v>3</v>
      </c>
      <c r="C10" s="14">
        <v>1279.5216788963814</v>
      </c>
      <c r="D10" s="14">
        <v>1238.2953151577451</v>
      </c>
      <c r="E10" s="14">
        <f ca="1">'портефль до погашения'!J3/1000000</f>
        <v>1258.1382393040278</v>
      </c>
      <c r="G10" s="26">
        <f ca="1">'портефль до погашения'!F3/1000000</f>
        <v>54505.861880169999</v>
      </c>
      <c r="H10" s="25">
        <f ca="1">E10/G10</f>
        <v>2.3082622600666666E-2</v>
      </c>
      <c r="J10" s="26">
        <v>53263.285596709997</v>
      </c>
      <c r="K10" s="25">
        <v>2.3248571718494079E-2</v>
      </c>
      <c r="L10" s="2">
        <f ca="1">G10-J10</f>
        <v>1242.5762834600027</v>
      </c>
      <c r="M10" t="s">
        <v>41</v>
      </c>
    </row>
    <row r="11" spans="2:19" x14ac:dyDescent="0.25">
      <c r="B11" s="5" t="s">
        <v>4</v>
      </c>
      <c r="C11" s="14">
        <v>498.71841491866803</v>
      </c>
      <c r="D11" s="14">
        <v>507</v>
      </c>
      <c r="E11" s="9">
        <v>501.08319123191905</v>
      </c>
      <c r="G11" s="26">
        <v>15355.535384999999</v>
      </c>
      <c r="H11" s="25">
        <f>E11/G11</f>
        <v>3.2632088603136586E-2</v>
      </c>
      <c r="J11" s="26">
        <v>15479.185635</v>
      </c>
      <c r="K11" s="25">
        <v>3.2753661074625393E-2</v>
      </c>
      <c r="L11" s="2">
        <f>G11-J11</f>
        <v>-123.6502500000006</v>
      </c>
    </row>
    <row r="12" spans="2:19" x14ac:dyDescent="0.25">
      <c r="B12" s="5" t="s">
        <v>97</v>
      </c>
      <c r="C12" s="9">
        <v>3808</v>
      </c>
      <c r="D12" s="9">
        <v>3365</v>
      </c>
      <c r="E12" s="9">
        <v>3055</v>
      </c>
      <c r="G12" s="58">
        <v>50685</v>
      </c>
      <c r="H12" s="25">
        <f>E12/G12</f>
        <v>6.0274242872644768E-2</v>
      </c>
      <c r="J12" s="26">
        <v>59419</v>
      </c>
      <c r="K12" s="25">
        <v>5.6631717127518133E-2</v>
      </c>
      <c r="L12" s="2">
        <f>G12-J12</f>
        <v>-8734</v>
      </c>
      <c r="O12" s="2"/>
    </row>
    <row r="13" spans="2:19" x14ac:dyDescent="0.25">
      <c r="B13" s="11" t="s">
        <v>5</v>
      </c>
      <c r="C13" s="12">
        <v>5586.2400938150495</v>
      </c>
      <c r="D13" s="12">
        <v>5110.2953151577449</v>
      </c>
      <c r="E13" s="12">
        <f ca="1">E10+E11+E12</f>
        <v>4814.2214305359466</v>
      </c>
      <c r="G13" s="15">
        <f ca="1">SUM(G10:G12)</f>
        <v>120546.39726517</v>
      </c>
      <c r="H13" s="25">
        <f ca="1">E13/G13</f>
        <v>3.9936667870263599E-2</v>
      </c>
      <c r="J13" s="15">
        <v>128161.47123170999</v>
      </c>
      <c r="K13" s="3">
        <v>3.9873881487507021E-2</v>
      </c>
      <c r="L13" s="2">
        <f ca="1">G13-J13</f>
        <v>-7615.0739665399888</v>
      </c>
    </row>
    <row r="14" spans="2:19" x14ac:dyDescent="0.25">
      <c r="B14" s="20"/>
      <c r="C14" s="21"/>
      <c r="D14" s="21"/>
      <c r="E14" s="21"/>
      <c r="G14" s="3"/>
      <c r="H14" s="214">
        <f ca="1">AVERAGE(H10:H12)</f>
        <v>3.8662984692149342E-2</v>
      </c>
      <c r="I14" s="17"/>
      <c r="J14" s="17"/>
      <c r="K14" s="17">
        <v>3.7544649973545903E-2</v>
      </c>
      <c r="L14" s="17"/>
      <c r="M14" s="17"/>
      <c r="N14" s="17"/>
      <c r="O14" s="17"/>
      <c r="P14" s="17"/>
      <c r="Q14" s="17"/>
      <c r="S14" s="2"/>
    </row>
    <row r="15" spans="2:19" x14ac:dyDescent="0.25">
      <c r="B15" s="20"/>
      <c r="C15" s="21"/>
      <c r="D15" s="21"/>
      <c r="E15" s="21"/>
      <c r="G15" s="3"/>
      <c r="H15" s="3"/>
      <c r="I15" s="17"/>
      <c r="J15" s="17"/>
      <c r="K15" s="17"/>
      <c r="L15" s="17"/>
      <c r="M15" s="17"/>
      <c r="N15" s="17"/>
      <c r="O15" s="17"/>
      <c r="P15" s="17"/>
      <c r="Q15" s="17"/>
    </row>
    <row r="16" spans="2:19" x14ac:dyDescent="0.25">
      <c r="I16" s="6"/>
      <c r="J16" s="6"/>
      <c r="K16" s="6"/>
      <c r="L16" s="6"/>
      <c r="M16" s="6"/>
      <c r="N16" s="6"/>
      <c r="O16" s="6"/>
      <c r="P16" s="6"/>
    </row>
    <row r="17" spans="2:16" x14ac:dyDescent="0.25">
      <c r="I17" s="6"/>
      <c r="J17" s="6"/>
      <c r="K17" s="6"/>
      <c r="L17" s="6"/>
      <c r="M17" s="6"/>
      <c r="N17" s="6"/>
      <c r="O17" s="6"/>
      <c r="P17" s="6"/>
    </row>
    <row r="18" spans="2:16" x14ac:dyDescent="0.25">
      <c r="G18" s="2"/>
      <c r="I18" s="6"/>
      <c r="J18" s="6"/>
      <c r="K18" s="6"/>
      <c r="L18" s="6"/>
      <c r="M18" s="6"/>
      <c r="N18" s="6"/>
      <c r="O18" s="6"/>
      <c r="P18" s="6"/>
    </row>
    <row r="19" spans="2:16" ht="15" customHeight="1" x14ac:dyDescent="0.25">
      <c r="G19" s="2"/>
      <c r="I19" s="222" t="s">
        <v>37</v>
      </c>
      <c r="J19" s="222"/>
      <c r="K19" s="222"/>
      <c r="L19" s="222"/>
      <c r="M19" s="222"/>
      <c r="N19" s="222"/>
      <c r="O19" s="222"/>
      <c r="P19" s="6"/>
    </row>
    <row r="20" spans="2:16" x14ac:dyDescent="0.25">
      <c r="G20" s="2"/>
      <c r="I20" s="222"/>
      <c r="J20" s="222"/>
      <c r="K20" s="222"/>
      <c r="L20" s="222"/>
      <c r="M20" s="222"/>
      <c r="N20" s="222"/>
      <c r="O20" s="222"/>
      <c r="P20" s="6"/>
    </row>
    <row r="21" spans="2:16" x14ac:dyDescent="0.25">
      <c r="G21" s="2"/>
      <c r="I21" s="222"/>
      <c r="J21" s="222"/>
      <c r="K21" s="222"/>
      <c r="L21" s="222"/>
      <c r="M21" s="222"/>
      <c r="N21" s="222"/>
      <c r="O21" s="222"/>
      <c r="P21" s="6"/>
    </row>
    <row r="22" spans="2:16" x14ac:dyDescent="0.25">
      <c r="I22" s="222"/>
      <c r="J22" s="222"/>
      <c r="K22" s="222"/>
      <c r="L22" s="222"/>
      <c r="M22" s="222"/>
      <c r="N22" s="222"/>
      <c r="O22" s="222"/>
      <c r="P22" s="6"/>
    </row>
    <row r="23" spans="2:16" x14ac:dyDescent="0.25">
      <c r="I23" s="222"/>
      <c r="J23" s="222"/>
      <c r="K23" s="222"/>
      <c r="L23" s="222"/>
      <c r="M23" s="222"/>
      <c r="N23" s="222"/>
      <c r="O23" s="222"/>
      <c r="P23" s="6"/>
    </row>
    <row r="32" spans="2:16" x14ac:dyDescent="0.25">
      <c r="B32" s="38" t="s">
        <v>50</v>
      </c>
      <c r="G32" s="226" t="str">
        <f>G8</f>
        <v>Всего портфель (до погашения)</v>
      </c>
      <c r="H32" s="226"/>
    </row>
    <row r="33" spans="2:8" ht="24.75" customHeight="1" x14ac:dyDescent="0.25">
      <c r="B33" s="13" t="s">
        <v>15</v>
      </c>
      <c r="C33" s="18">
        <v>44228</v>
      </c>
      <c r="D33" s="18">
        <v>44256</v>
      </c>
      <c r="E33" s="18">
        <f>E9</f>
        <v>44287</v>
      </c>
      <c r="G33" s="23">
        <f>E33</f>
        <v>44287</v>
      </c>
      <c r="H33" s="24" t="s">
        <v>17</v>
      </c>
    </row>
    <row r="34" spans="2:8" x14ac:dyDescent="0.25">
      <c r="B34" s="5" t="s">
        <v>3</v>
      </c>
      <c r="C34" s="57">
        <v>131.77396675245924</v>
      </c>
      <c r="D34" s="57">
        <v>127.06653913323713</v>
      </c>
      <c r="E34" s="79">
        <f ca="1">'портефль до погашения'!J4/1000000</f>
        <v>124.49229304596814</v>
      </c>
      <c r="G34" s="26">
        <f ca="1">'портефль до погашения'!F4/1000000</f>
        <v>3197.8452207771502</v>
      </c>
      <c r="H34" s="25">
        <f ca="1">E34/G34</f>
        <v>3.8930055850455961E-2</v>
      </c>
    </row>
    <row r="35" spans="2:8" x14ac:dyDescent="0.25">
      <c r="G35" s="22"/>
    </row>
    <row r="49" spans="2:8" x14ac:dyDescent="0.25">
      <c r="B49" s="38" t="s">
        <v>204</v>
      </c>
      <c r="G49" s="226"/>
      <c r="H49" s="226"/>
    </row>
    <row r="50" spans="2:8" ht="30" x14ac:dyDescent="0.25">
      <c r="B50" s="13" t="s">
        <v>205</v>
      </c>
      <c r="C50" s="18">
        <v>44197</v>
      </c>
      <c r="D50" s="18">
        <v>44228</v>
      </c>
      <c r="E50" s="18">
        <f>E33</f>
        <v>44287</v>
      </c>
      <c r="G50" s="23">
        <f>E50</f>
        <v>44287</v>
      </c>
      <c r="H50" s="24" t="s">
        <v>17</v>
      </c>
    </row>
    <row r="51" spans="2:8" x14ac:dyDescent="0.25">
      <c r="B51" s="5" t="s">
        <v>3</v>
      </c>
      <c r="C51" s="57">
        <v>0</v>
      </c>
      <c r="D51" s="57">
        <v>0</v>
      </c>
      <c r="E51" s="79"/>
      <c r="G51" s="26"/>
      <c r="H51" s="25" t="e">
        <f>E51/G51</f>
        <v>#DIV/0!</v>
      </c>
    </row>
    <row r="55" spans="2:8" x14ac:dyDescent="0.25">
      <c r="B55" s="227" t="s">
        <v>448</v>
      </c>
      <c r="C55" s="227"/>
      <c r="D55" s="4"/>
    </row>
    <row r="56" spans="2:8" x14ac:dyDescent="0.25">
      <c r="B56" s="158" t="s">
        <v>72</v>
      </c>
      <c r="C56" s="56">
        <f>SUMIF('портефль до погашения'!$L$8:$L$100,B56,'портефль до погашения'!$F$8:$F$100)</f>
        <v>1310335000</v>
      </c>
      <c r="D56" s="16">
        <f>C56/$C$67</f>
        <v>2.2707986467969787E-2</v>
      </c>
    </row>
    <row r="57" spans="2:8" x14ac:dyDescent="0.25">
      <c r="B57" s="141" t="s">
        <v>74</v>
      </c>
      <c r="C57" s="56">
        <f>SUMIF('портефль до погашения'!$L$8:$L$100,B57,'портефль до погашения'!$F$8:$F$100)</f>
        <v>0</v>
      </c>
      <c r="D57" s="16">
        <f t="shared" ref="D57:D66" si="0">C57/$C$67</f>
        <v>0</v>
      </c>
    </row>
    <row r="58" spans="2:8" x14ac:dyDescent="0.25">
      <c r="B58" s="141" t="s">
        <v>76</v>
      </c>
      <c r="C58" s="56">
        <f>SUMIF('портефль до погашения'!$L$8:$L$100,B58,'портефль до погашения'!$F$8:$F$100)</f>
        <v>12419835240.783501</v>
      </c>
      <c r="D58" s="16">
        <f t="shared" si="0"/>
        <v>0.21523461601966368</v>
      </c>
    </row>
    <row r="59" spans="2:8" x14ac:dyDescent="0.25">
      <c r="B59" s="141" t="s">
        <v>78</v>
      </c>
      <c r="C59" s="56">
        <f>SUMIF('портефль до погашения'!$L$8:$L$100,B59,'портефль до погашения'!$F$8:$F$100)</f>
        <v>18582222995.5</v>
      </c>
      <c r="D59" s="16">
        <f t="shared" si="0"/>
        <v>0.32202823577681355</v>
      </c>
    </row>
    <row r="60" spans="2:8" x14ac:dyDescent="0.25">
      <c r="B60" s="158" t="s">
        <v>80</v>
      </c>
      <c r="C60" s="56">
        <f>SUMIF('портефль до погашения'!$L$8:$L$100,B60,'портефль до погашения'!$F$8:$F$100)</f>
        <v>11749793906.198997</v>
      </c>
      <c r="D60" s="16">
        <f t="shared" si="0"/>
        <v>0.20362286058404966</v>
      </c>
    </row>
    <row r="61" spans="2:8" x14ac:dyDescent="0.25">
      <c r="B61" s="159" t="s">
        <v>82</v>
      </c>
      <c r="C61" s="56">
        <f>SUMIF('портефль до погашения'!$L$8:$L$100,B61,'портефль до погашения'!$F$8:$F$100)</f>
        <v>2478671007.14465</v>
      </c>
      <c r="D61" s="16">
        <f t="shared" si="0"/>
        <v>4.2955143294493209E-2</v>
      </c>
    </row>
    <row r="62" spans="2:8" x14ac:dyDescent="0.25">
      <c r="B62" s="159" t="s">
        <v>84</v>
      </c>
      <c r="C62" s="56">
        <f>SUMIF('портефль до погашения'!$L$8:$L$100,B62,'портефль до погашения'!$F$8:$F$100)</f>
        <v>10669786876.610003</v>
      </c>
      <c r="D62" s="16">
        <f t="shared" si="0"/>
        <v>0.18490643691131012</v>
      </c>
    </row>
    <row r="63" spans="2:8" x14ac:dyDescent="0.25">
      <c r="B63" s="158" t="s">
        <v>86</v>
      </c>
      <c r="C63" s="56">
        <f>SUMIF('портефль до погашения'!$L$8:$L$100,B63,'портефль до погашения'!$F$8:$F$100)</f>
        <v>67241151.790000007</v>
      </c>
      <c r="D63" s="16">
        <f t="shared" si="0"/>
        <v>1.1652830497071531E-3</v>
      </c>
    </row>
    <row r="64" spans="2:8" x14ac:dyDescent="0.25">
      <c r="B64" s="158" t="s">
        <v>88</v>
      </c>
      <c r="C64" s="56">
        <f>SUMIF('портефль до погашения'!$L$8:$L$100,B64,'портефль до погашения'!$F$8:$F$100)</f>
        <v>425820922.92000002</v>
      </c>
      <c r="D64" s="16">
        <f t="shared" si="0"/>
        <v>7.3794378959928311E-3</v>
      </c>
    </row>
    <row r="65" spans="2:19" x14ac:dyDescent="0.25">
      <c r="B65" s="158" t="s">
        <v>90</v>
      </c>
      <c r="C65" s="56">
        <f>SUMIF('портефль до погашения'!$L$8:$L$100,B65,'портефль до погашения'!$F$8:$F$100)</f>
        <v>0</v>
      </c>
      <c r="D65" s="16">
        <f t="shared" si="0"/>
        <v>0</v>
      </c>
    </row>
    <row r="66" spans="2:19" x14ac:dyDescent="0.25">
      <c r="B66" s="158" t="s">
        <v>117</v>
      </c>
      <c r="C66" s="56">
        <f>SUMIF('портефль до погашения'!$L$8:$L$100,B66,'портефль до погашения'!$F$8:$F$100)</f>
        <v>0</v>
      </c>
      <c r="D66" s="16">
        <f t="shared" si="0"/>
        <v>0</v>
      </c>
    </row>
    <row r="67" spans="2:19" x14ac:dyDescent="0.25">
      <c r="C67" s="2">
        <f>SUM(C56:C66)</f>
        <v>57703707100.947151</v>
      </c>
      <c r="D67" s="22">
        <f>SUM(D56:D66)</f>
        <v>1.0000000000000002</v>
      </c>
    </row>
    <row r="68" spans="2:19" x14ac:dyDescent="0.25">
      <c r="B68" s="189" t="s">
        <v>449</v>
      </c>
      <c r="C68" s="190">
        <f ca="1">C67-'портефль до погашения'!F2</f>
        <v>0</v>
      </c>
    </row>
    <row r="69" spans="2:19" x14ac:dyDescent="0.25">
      <c r="B69" s="188"/>
      <c r="C69" s="188"/>
    </row>
    <row r="76" spans="2:19" x14ac:dyDescent="0.25">
      <c r="C76" s="1">
        <f>E9</f>
        <v>44287</v>
      </c>
      <c r="D76" s="108" t="s">
        <v>20</v>
      </c>
      <c r="E76" s="1">
        <v>44256</v>
      </c>
      <c r="G76" s="27" t="s">
        <v>39</v>
      </c>
      <c r="S76">
        <v>1</v>
      </c>
    </row>
    <row r="77" spans="2:19" x14ac:dyDescent="0.25">
      <c r="B77" s="5" t="s">
        <v>9</v>
      </c>
      <c r="C77" s="14">
        <f>E11</f>
        <v>501.08319123191905</v>
      </c>
      <c r="E77" s="9">
        <v>507</v>
      </c>
      <c r="G77" s="15">
        <f>C77-E77</f>
        <v>-5.9168087680809549</v>
      </c>
    </row>
    <row r="78" spans="2:19" x14ac:dyDescent="0.25">
      <c r="B78" s="5" t="s">
        <v>10</v>
      </c>
      <c r="C78" s="14">
        <v>945</v>
      </c>
      <c r="D78" t="s">
        <v>38</v>
      </c>
      <c r="E78" s="9">
        <v>1190</v>
      </c>
      <c r="G78" s="15">
        <f t="shared" ref="G78:G82" si="1">C78-E78</f>
        <v>-245</v>
      </c>
    </row>
    <row r="79" spans="2:19" x14ac:dyDescent="0.25">
      <c r="B79" s="5" t="s">
        <v>193</v>
      </c>
      <c r="C79" s="14">
        <f ca="1">E10+E34</f>
        <v>1382.630532349996</v>
      </c>
      <c r="E79" s="9">
        <v>1365.3618542909821</v>
      </c>
      <c r="G79" s="15">
        <f t="shared" ca="1" si="1"/>
        <v>17.268678059013837</v>
      </c>
    </row>
    <row r="80" spans="2:19" ht="30" x14ac:dyDescent="0.25">
      <c r="B80" s="13" t="s">
        <v>662</v>
      </c>
      <c r="C80" s="14">
        <f>C127</f>
        <v>565.81184865851412</v>
      </c>
      <c r="E80" s="9">
        <v>551.95706453190257</v>
      </c>
      <c r="G80" s="15">
        <f t="shared" si="1"/>
        <v>13.854784126611548</v>
      </c>
    </row>
    <row r="81" spans="2:13" x14ac:dyDescent="0.25">
      <c r="B81" s="5" t="s">
        <v>192</v>
      </c>
      <c r="C81" s="14">
        <f>E12</f>
        <v>3055</v>
      </c>
      <c r="E81" s="9">
        <v>3365</v>
      </c>
      <c r="G81" s="15">
        <f t="shared" si="1"/>
        <v>-310</v>
      </c>
    </row>
    <row r="82" spans="2:13" x14ac:dyDescent="0.25">
      <c r="B82" s="5" t="s">
        <v>31</v>
      </c>
      <c r="C82" s="14">
        <v>20</v>
      </c>
      <c r="D82" t="s">
        <v>30</v>
      </c>
      <c r="E82" s="9">
        <v>18</v>
      </c>
      <c r="G82" s="15">
        <f t="shared" si="1"/>
        <v>2</v>
      </c>
    </row>
    <row r="83" spans="2:13" x14ac:dyDescent="0.25">
      <c r="C83" s="2">
        <f ca="1">SUM(C77:C82)</f>
        <v>6469.525572240429</v>
      </c>
      <c r="E83" s="2">
        <v>6445.3618542909826</v>
      </c>
      <c r="G83" s="2">
        <f ca="1">E83-C83</f>
        <v>-24.163717949446436</v>
      </c>
    </row>
    <row r="84" spans="2:13" ht="15" customHeight="1" x14ac:dyDescent="0.25">
      <c r="E84" s="225" t="s">
        <v>16</v>
      </c>
      <c r="F84" s="222"/>
      <c r="G84" s="222"/>
      <c r="H84" s="222"/>
      <c r="I84" s="222"/>
    </row>
    <row r="85" spans="2:13" x14ac:dyDescent="0.25">
      <c r="E85" s="222"/>
      <c r="F85" s="222"/>
      <c r="G85" s="222"/>
      <c r="H85" s="222"/>
      <c r="I85" s="222"/>
    </row>
    <row r="86" spans="2:13" x14ac:dyDescent="0.25">
      <c r="E86" s="222"/>
      <c r="F86" s="222"/>
      <c r="G86" s="222"/>
      <c r="H86" s="222"/>
      <c r="I86" s="222"/>
    </row>
    <row r="87" spans="2:13" x14ac:dyDescent="0.25">
      <c r="E87" s="222"/>
      <c r="F87" s="222"/>
      <c r="G87" s="222"/>
      <c r="H87" s="222"/>
      <c r="I87" s="222"/>
      <c r="J87" s="4"/>
      <c r="K87" s="4"/>
      <c r="L87" s="4"/>
      <c r="M87" s="4"/>
    </row>
    <row r="88" spans="2:13" x14ac:dyDescent="0.25">
      <c r="E88" s="222"/>
      <c r="F88" s="222"/>
      <c r="G88" s="222"/>
      <c r="H88" s="222"/>
      <c r="I88" s="222"/>
      <c r="J88" s="4"/>
      <c r="K88" s="4"/>
      <c r="L88" s="4"/>
      <c r="M88" s="4"/>
    </row>
    <row r="89" spans="2:13" x14ac:dyDescent="0.25">
      <c r="E89" s="222"/>
      <c r="F89" s="222"/>
      <c r="G89" s="222"/>
      <c r="H89" s="222"/>
      <c r="I89" s="222"/>
      <c r="J89" s="4"/>
      <c r="K89" s="4"/>
      <c r="L89" s="4"/>
      <c r="M89" s="4"/>
    </row>
    <row r="90" spans="2:13" x14ac:dyDescent="0.25">
      <c r="E90" s="222"/>
      <c r="F90" s="222"/>
      <c r="G90" s="222"/>
      <c r="H90" s="222"/>
      <c r="I90" s="222"/>
      <c r="J90" s="4"/>
      <c r="K90" s="4"/>
      <c r="L90" s="4"/>
      <c r="M90" s="4"/>
    </row>
    <row r="91" spans="2:13" x14ac:dyDescent="0.25">
      <c r="E91" s="222"/>
      <c r="F91" s="222"/>
      <c r="G91" s="222"/>
      <c r="H91" s="222"/>
      <c r="I91" s="222"/>
      <c r="J91" s="4"/>
      <c r="K91" s="4"/>
    </row>
    <row r="92" spans="2:13" x14ac:dyDescent="0.25">
      <c r="E92" s="222"/>
      <c r="F92" s="222"/>
      <c r="G92" s="222"/>
      <c r="H92" s="222"/>
      <c r="I92" s="222"/>
      <c r="J92" s="4"/>
      <c r="K92" s="4"/>
    </row>
    <row r="93" spans="2:13" x14ac:dyDescent="0.25">
      <c r="E93" s="222"/>
      <c r="F93" s="222"/>
      <c r="G93" s="222"/>
      <c r="H93" s="222"/>
      <c r="I93" s="222"/>
      <c r="J93" s="4"/>
      <c r="K93" s="4"/>
    </row>
    <row r="94" spans="2:13" x14ac:dyDescent="0.25">
      <c r="E94" s="222"/>
      <c r="F94" s="222"/>
      <c r="G94" s="222"/>
      <c r="H94" s="222"/>
      <c r="I94" s="222"/>
      <c r="J94" s="4"/>
      <c r="K94" s="4"/>
    </row>
    <row r="95" spans="2:13" x14ac:dyDescent="0.25">
      <c r="G95" s="4"/>
      <c r="H95" s="4"/>
      <c r="I95" s="4"/>
      <c r="J95" s="4"/>
      <c r="K95" s="4"/>
    </row>
    <row r="96" spans="2:13" x14ac:dyDescent="0.25">
      <c r="J96" s="4"/>
      <c r="K96" s="4"/>
    </row>
    <row r="97" spans="2:11" x14ac:dyDescent="0.25">
      <c r="J97" s="4"/>
      <c r="K97" s="4"/>
    </row>
    <row r="98" spans="2:11" x14ac:dyDescent="0.25">
      <c r="G98" s="4"/>
      <c r="H98" s="4"/>
      <c r="I98" s="4"/>
      <c r="J98" s="4"/>
      <c r="K98" s="4"/>
    </row>
    <row r="99" spans="2:11" x14ac:dyDescent="0.25">
      <c r="B99" s="4"/>
      <c r="C99" s="4"/>
      <c r="D99" s="4"/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ht="14.45" customHeight="1" x14ac:dyDescent="0.25">
      <c r="B123" s="224" t="s">
        <v>19</v>
      </c>
      <c r="C123" s="224"/>
      <c r="D123" s="224"/>
      <c r="K123" s="6"/>
      <c r="L123" s="6"/>
      <c r="M123" s="6"/>
      <c r="N123" s="6"/>
    </row>
    <row r="124" spans="1:15" ht="75" customHeight="1" x14ac:dyDescent="0.25">
      <c r="A124" s="5"/>
      <c r="B124" s="124" t="s">
        <v>20</v>
      </c>
      <c r="C124" s="24" t="s">
        <v>188</v>
      </c>
      <c r="D124" s="124" t="s">
        <v>653</v>
      </c>
      <c r="E124" s="24" t="s">
        <v>166</v>
      </c>
      <c r="F124" s="81" t="s">
        <v>167</v>
      </c>
      <c r="G124" s="81" t="s">
        <v>168</v>
      </c>
      <c r="H124" s="81" t="s">
        <v>189</v>
      </c>
      <c r="I124" s="24" t="s">
        <v>190</v>
      </c>
      <c r="J124" s="221" t="s">
        <v>652</v>
      </c>
      <c r="K124" s="222"/>
      <c r="L124" s="222"/>
      <c r="M124" s="222"/>
      <c r="N124" s="222"/>
      <c r="O124" s="6"/>
    </row>
    <row r="125" spans="1:15" x14ac:dyDescent="0.25">
      <c r="A125" s="10" t="s">
        <v>165</v>
      </c>
      <c r="B125" s="134">
        <v>45725.267653160001</v>
      </c>
      <c r="C125" s="135">
        <f>D125*B125</f>
        <v>514.48925499264908</v>
      </c>
      <c r="D125" s="136">
        <f>'РейтPD FRED Graph'!K12</f>
        <v>1.1251749446175052E-2</v>
      </c>
      <c r="E125" s="137" t="s">
        <v>78</v>
      </c>
      <c r="F125" s="138">
        <f>VLOOKUP(E125,'РейтPD FRED Graph'!$R$4:$V$26,5,0)</f>
        <v>3.0349077055335737E-3</v>
      </c>
      <c r="G125" s="139">
        <f>F125*B125</f>
        <v>138.77196713816036</v>
      </c>
      <c r="H125" s="139">
        <f>G125+C125</f>
        <v>653.26122213080941</v>
      </c>
      <c r="I125" s="140">
        <f>H125/B125</f>
        <v>1.4286657151708626E-2</v>
      </c>
      <c r="J125" s="221"/>
      <c r="K125" s="222"/>
      <c r="L125" s="222"/>
      <c r="M125" s="222"/>
      <c r="N125" s="222"/>
      <c r="O125" s="6"/>
    </row>
    <row r="126" spans="1:15" x14ac:dyDescent="0.25">
      <c r="A126" s="10" t="s">
        <v>149</v>
      </c>
      <c r="B126" s="134">
        <v>4561.2990149999996</v>
      </c>
      <c r="C126" s="135">
        <f>D126*B126</f>
        <v>51.322593665865057</v>
      </c>
      <c r="D126" s="136">
        <f>'РейтPD FRED Graph'!K12</f>
        <v>1.1251749446175052E-2</v>
      </c>
      <c r="E126" s="137" t="s">
        <v>76</v>
      </c>
      <c r="F126" s="138">
        <f>VLOOKUP(E126,'РейтPD FRED Graph'!$R$4:$V$26,5,0)</f>
        <v>1.4695142889074914E-3</v>
      </c>
      <c r="G126" s="139">
        <f>F126*B126</f>
        <v>6.7028940785221653</v>
      </c>
      <c r="H126" s="139">
        <f>G126+C126</f>
        <v>58.02548774438722</v>
      </c>
      <c r="I126" s="140">
        <f>H126/B126</f>
        <v>1.2721263735082543E-2</v>
      </c>
      <c r="J126" s="215"/>
      <c r="K126" s="216"/>
      <c r="L126" s="216"/>
      <c r="M126" s="216"/>
      <c r="N126" s="216"/>
      <c r="O126" s="6"/>
    </row>
    <row r="127" spans="1:15" x14ac:dyDescent="0.25">
      <c r="B127" s="219">
        <f>SUM(B125:B126)</f>
        <v>50286.566668159998</v>
      </c>
      <c r="C127" s="219">
        <f t="shared" ref="C127:H127" si="2">SUM(C125:C126)</f>
        <v>565.81184865851412</v>
      </c>
      <c r="D127" s="220">
        <f>C127/B127</f>
        <v>1.1251749446175052E-2</v>
      </c>
      <c r="E127" s="219"/>
      <c r="F127" s="219"/>
      <c r="G127" s="219">
        <f t="shared" si="2"/>
        <v>145.47486121668254</v>
      </c>
      <c r="H127" s="219">
        <f t="shared" si="2"/>
        <v>711.28670987519661</v>
      </c>
      <c r="I127" s="220">
        <f>H127/B127</f>
        <v>1.4144666399059667E-2</v>
      </c>
      <c r="J127" s="217"/>
      <c r="K127" s="218"/>
      <c r="L127" s="218"/>
      <c r="M127" s="218"/>
      <c r="N127" s="218"/>
      <c r="O127" s="6"/>
    </row>
    <row r="128" spans="1:15" x14ac:dyDescent="0.25">
      <c r="J128" s="217"/>
      <c r="K128" s="218"/>
      <c r="L128" s="218"/>
      <c r="M128" s="218"/>
      <c r="N128" s="218"/>
      <c r="O128" s="6"/>
    </row>
    <row r="129" spans="1:9" x14ac:dyDescent="0.25">
      <c r="A129" s="10" t="s">
        <v>191</v>
      </c>
      <c r="B129" s="199"/>
      <c r="C129" s="135">
        <f>D129*B129</f>
        <v>0</v>
      </c>
      <c r="D129" s="136">
        <f>VLOOKUP(E129,'РейтPD FRED Graph'!B4:$K$26,9,0)</f>
        <v>3.4072562022427498E-2</v>
      </c>
      <c r="E129" s="137" t="s">
        <v>82</v>
      </c>
      <c r="F129" s="138">
        <f>VLOOKUP(E129,'РейтPD FRED Graph'!$R$4:$V$26,5,0)</f>
        <v>7.5903936638634425E-3</v>
      </c>
      <c r="G129" s="139">
        <f>F129*B129</f>
        <v>0</v>
      </c>
      <c r="H129" s="139">
        <f>G129+C129</f>
        <v>0</v>
      </c>
      <c r="I129" s="140" t="e">
        <f>H129/B129</f>
        <v>#DIV/0!</v>
      </c>
    </row>
  </sheetData>
  <mergeCells count="9">
    <mergeCell ref="J124:N125"/>
    <mergeCell ref="B6:E6"/>
    <mergeCell ref="I19:O23"/>
    <mergeCell ref="B123:D123"/>
    <mergeCell ref="E84:I94"/>
    <mergeCell ref="G8:H8"/>
    <mergeCell ref="G32:H32"/>
    <mergeCell ref="G49:H49"/>
    <mergeCell ref="B55:C5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C5" sqref="C5"/>
    </sheetView>
  </sheetViews>
  <sheetFormatPr defaultColWidth="12.85546875" defaultRowHeight="12.75" x14ac:dyDescent="0.25"/>
  <cols>
    <col min="1" max="1" width="7.5703125" style="28" customWidth="1"/>
    <col min="2" max="2" width="28.5703125" style="28" customWidth="1"/>
    <col min="3" max="3" width="24.7109375" style="28" customWidth="1"/>
    <col min="4" max="4" width="25.42578125" style="28" customWidth="1"/>
    <col min="5" max="5" width="18.5703125" style="28" customWidth="1"/>
    <col min="6" max="6" width="22.7109375" style="28" customWidth="1"/>
    <col min="7" max="7" width="12.85546875" style="28"/>
    <col min="8" max="8" width="15.5703125" style="28" customWidth="1"/>
    <col min="9" max="9" width="14.5703125" style="28" customWidth="1"/>
    <col min="10" max="10" width="12.85546875" style="28"/>
    <col min="11" max="11" width="14.7109375" style="28" customWidth="1"/>
    <col min="12" max="15" width="14.7109375" style="80" bestFit="1" customWidth="1"/>
    <col min="16" max="16" width="12.85546875" style="28"/>
    <col min="17" max="17" width="12.85546875" style="129"/>
    <col min="18" max="18" width="29.5703125" style="28" customWidth="1"/>
    <col min="19" max="16384" width="12.85546875" style="28"/>
  </cols>
  <sheetData>
    <row r="1" spans="1:17" x14ac:dyDescent="0.25">
      <c r="A1" s="230"/>
      <c r="B1" s="230"/>
      <c r="C1" s="230"/>
      <c r="D1" s="231"/>
      <c r="E1" s="61"/>
      <c r="F1" s="34" t="s">
        <v>108</v>
      </c>
      <c r="J1" s="35" t="s">
        <v>109</v>
      </c>
      <c r="K1" s="35"/>
      <c r="L1" s="35"/>
      <c r="M1" s="35"/>
      <c r="N1" s="35"/>
      <c r="O1" s="123" t="str">
        <f>O7</f>
        <v>Стрессс итог</v>
      </c>
      <c r="P1" s="123" t="s">
        <v>197</v>
      </c>
    </row>
    <row r="2" spans="1:17" x14ac:dyDescent="0.25">
      <c r="A2" s="229" t="s">
        <v>13</v>
      </c>
      <c r="B2" s="229"/>
      <c r="C2" s="229"/>
      <c r="D2" s="229"/>
      <c r="E2" s="60"/>
      <c r="F2" s="36">
        <f ca="1">F3+F4</f>
        <v>57703707100.947151</v>
      </c>
      <c r="G2" s="36"/>
      <c r="H2" s="36"/>
      <c r="I2" s="36"/>
      <c r="J2" s="36">
        <f t="shared" ref="J2" ca="1" si="0">J3+J4</f>
        <v>1382630532.3499959</v>
      </c>
      <c r="K2" s="36"/>
      <c r="L2" s="36"/>
      <c r="M2" s="36"/>
      <c r="N2" s="36"/>
      <c r="O2" s="36">
        <f ca="1">O3+O4</f>
        <v>1685309130.4921434</v>
      </c>
      <c r="P2" s="36"/>
    </row>
    <row r="3" spans="1:17" x14ac:dyDescent="0.25">
      <c r="A3" s="228" t="s">
        <v>47</v>
      </c>
      <c r="B3" s="228"/>
      <c r="C3" s="228"/>
      <c r="D3" s="228"/>
      <c r="E3" s="59"/>
      <c r="F3" s="37">
        <f ca="1">SUMIF(A$8:A$1048576,"АББ",(F8:F108))</f>
        <v>54505861880.169998</v>
      </c>
      <c r="G3" s="37"/>
      <c r="H3" s="37"/>
      <c r="I3" s="37"/>
      <c r="J3" s="37">
        <f ca="1">SUMIF(A$8:A$1048576,"АББ",(J8:J108))</f>
        <v>1258138239.3040278</v>
      </c>
      <c r="K3" s="37"/>
      <c r="L3" s="37"/>
      <c r="M3" s="37"/>
      <c r="N3" s="37"/>
      <c r="O3" s="37">
        <f ca="1">SUMIF(A$8:A$1048576,"АББ",(O8:O108))</f>
        <v>1529835816.0316479</v>
      </c>
      <c r="P3" s="132">
        <f ca="1">O3/F3</f>
        <v>2.806736309197275E-2</v>
      </c>
    </row>
    <row r="4" spans="1:17" x14ac:dyDescent="0.25">
      <c r="A4" s="229" t="s">
        <v>48</v>
      </c>
      <c r="B4" s="229"/>
      <c r="C4" s="229"/>
      <c r="D4" s="229"/>
      <c r="E4" s="60"/>
      <c r="F4" s="36">
        <f ca="1">SUMIF(A$8:A$1048576,"АБФ-БО",(F8:F108))</f>
        <v>3197845220.7771502</v>
      </c>
      <c r="G4" s="36"/>
      <c r="H4" s="36"/>
      <c r="I4" s="36"/>
      <c r="J4" s="36">
        <f ca="1">SUMIF(A$8:A$1048576,"АБФ-БО",(J8:J108))</f>
        <v>124492293.04596815</v>
      </c>
      <c r="K4" s="36"/>
      <c r="L4" s="36"/>
      <c r="M4" s="36"/>
      <c r="N4" s="36"/>
      <c r="O4" s="36">
        <f ca="1">SUMIF(A$8:A$1048576,"АБФ-БО",(O8:O108))</f>
        <v>155473314.46049541</v>
      </c>
      <c r="P4" s="133">
        <f ca="1">O4/F4</f>
        <v>4.861814869911428E-2</v>
      </c>
    </row>
    <row r="6" spans="1:17" x14ac:dyDescent="0.25">
      <c r="D6" s="54" t="s">
        <v>13</v>
      </c>
      <c r="E6" s="54"/>
      <c r="F6" s="55">
        <f>SUM(F8:F100)</f>
        <v>57703707100.947159</v>
      </c>
      <c r="G6" s="55"/>
      <c r="H6" s="55">
        <f t="shared" ref="H6:I6" si="1">SUM(H8:H100)</f>
        <v>146059506.05524859</v>
      </c>
      <c r="I6" s="55">
        <f t="shared" si="1"/>
        <v>1236571026.2947466</v>
      </c>
      <c r="J6" s="55">
        <f>SUM(J8:J100)</f>
        <v>1382630532.3499959</v>
      </c>
      <c r="K6" s="55"/>
      <c r="L6" s="55"/>
      <c r="M6" s="55"/>
      <c r="N6" s="55">
        <f t="shared" ref="N6" si="2">SUM(N8:N100)</f>
        <v>302678598.14214724</v>
      </c>
      <c r="O6" s="55">
        <f>SUM(O8:O100)</f>
        <v>1685309130.4921434</v>
      </c>
    </row>
    <row r="7" spans="1:17" ht="30.75" customHeight="1" x14ac:dyDescent="0.25">
      <c r="A7" s="29" t="s">
        <v>45</v>
      </c>
      <c r="B7" s="29" t="s">
        <v>223</v>
      </c>
      <c r="C7" s="29" t="s">
        <v>103</v>
      </c>
      <c r="D7" s="29" t="s">
        <v>44</v>
      </c>
      <c r="E7" s="62" t="s">
        <v>107</v>
      </c>
      <c r="F7" s="33" t="s">
        <v>589</v>
      </c>
      <c r="G7" s="33" t="s">
        <v>49</v>
      </c>
      <c r="H7" s="33" t="s">
        <v>57</v>
      </c>
      <c r="I7" s="33" t="s">
        <v>58</v>
      </c>
      <c r="J7" s="32" t="s">
        <v>109</v>
      </c>
      <c r="K7" s="32" t="s">
        <v>104</v>
      </c>
      <c r="L7" s="81" t="s">
        <v>166</v>
      </c>
      <c r="M7" s="81" t="s">
        <v>167</v>
      </c>
      <c r="N7" s="81" t="s">
        <v>168</v>
      </c>
      <c r="O7" s="81" t="s">
        <v>169</v>
      </c>
      <c r="Q7" s="128" t="s">
        <v>194</v>
      </c>
    </row>
    <row r="8" spans="1:17" x14ac:dyDescent="0.25">
      <c r="A8" s="29" t="s">
        <v>43</v>
      </c>
      <c r="B8" s="29" t="s">
        <v>473</v>
      </c>
      <c r="C8" s="29" t="s">
        <v>134</v>
      </c>
      <c r="D8" s="29" t="s">
        <v>476</v>
      </c>
      <c r="E8" s="29" t="s">
        <v>477</v>
      </c>
      <c r="F8" s="30">
        <v>76680198.359999999</v>
      </c>
      <c r="G8" s="31">
        <v>2.5501379562474856E-2</v>
      </c>
      <c r="H8" s="30">
        <v>196657.48505433724</v>
      </c>
      <c r="I8" s="30">
        <v>1758793.3582498846</v>
      </c>
      <c r="J8" s="125">
        <f>F8*G8</f>
        <v>1955450.843304222</v>
      </c>
      <c r="K8" s="53" t="s">
        <v>80</v>
      </c>
      <c r="L8" s="109" t="s">
        <v>82</v>
      </c>
      <c r="M8" s="126">
        <f>VLOOKUP(L8,'РейтPD FRED Graph'!$R$4:$V$26,5,0)</f>
        <v>7.5903936638634425E-3</v>
      </c>
      <c r="N8" s="127">
        <f>M8*F8</f>
        <v>582032.89177553589</v>
      </c>
      <c r="O8" s="127">
        <f>N8+J8</f>
        <v>2537483.7350797579</v>
      </c>
      <c r="Q8" s="130">
        <f>J8-I8-H8</f>
        <v>0</v>
      </c>
    </row>
    <row r="9" spans="1:17" x14ac:dyDescent="0.25">
      <c r="A9" s="29" t="s">
        <v>43</v>
      </c>
      <c r="B9" s="29" t="s">
        <v>473</v>
      </c>
      <c r="C9" s="29" t="s">
        <v>137</v>
      </c>
      <c r="D9" s="29" t="s">
        <v>478</v>
      </c>
      <c r="E9" s="29" t="s">
        <v>479</v>
      </c>
      <c r="F9" s="30">
        <v>349880026.95000005</v>
      </c>
      <c r="G9" s="31">
        <v>2.5501379562474856E-2</v>
      </c>
      <c r="H9" s="30">
        <v>897318.05136570265</v>
      </c>
      <c r="I9" s="30">
        <v>8025105.31721518</v>
      </c>
      <c r="J9" s="125">
        <f t="shared" ref="J9:J39" si="3">F9*G9</f>
        <v>8922423.3685808834</v>
      </c>
      <c r="K9" s="53" t="s">
        <v>80</v>
      </c>
      <c r="L9" s="109" t="s">
        <v>82</v>
      </c>
      <c r="M9" s="126">
        <f>VLOOKUP(L9,'РейтPD FRED Graph'!$R$4:$V$26,5,0)</f>
        <v>7.5903936638634425E-3</v>
      </c>
      <c r="N9" s="127">
        <f t="shared" ref="N9:N65" si="4">M9*F9</f>
        <v>2655727.1396736507</v>
      </c>
      <c r="O9" s="127">
        <f t="shared" ref="O9:O65" si="5">N9+J9</f>
        <v>11578150.508254534</v>
      </c>
      <c r="Q9" s="130">
        <f t="shared" ref="Q9:Q72" si="6">J9-I9-H9</f>
        <v>0</v>
      </c>
    </row>
    <row r="10" spans="1:17" x14ac:dyDescent="0.25">
      <c r="A10" s="29" t="s">
        <v>43</v>
      </c>
      <c r="B10" s="29" t="s">
        <v>473</v>
      </c>
      <c r="C10" s="29" t="s">
        <v>138</v>
      </c>
      <c r="D10" s="29" t="s">
        <v>480</v>
      </c>
      <c r="E10" s="29" t="s">
        <v>481</v>
      </c>
      <c r="F10" s="30">
        <v>1890895858.2800002</v>
      </c>
      <c r="G10" s="31">
        <v>5.1385680228367002E-2</v>
      </c>
      <c r="H10" s="30">
        <v>11261414.706457544</v>
      </c>
      <c r="I10" s="30">
        <v>85903555.212262109</v>
      </c>
      <c r="J10" s="125">
        <f t="shared" si="3"/>
        <v>97164969.918719664</v>
      </c>
      <c r="K10" s="53" t="s">
        <v>82</v>
      </c>
      <c r="L10" s="109" t="s">
        <v>84</v>
      </c>
      <c r="M10" s="126">
        <f>VLOOKUP(L10,'РейтPD FRED Graph'!$R$4:$V$26,5,0)</f>
        <v>1.3492957532832712E-2</v>
      </c>
      <c r="N10" s="127">
        <f t="shared" si="4"/>
        <v>25513777.514781304</v>
      </c>
      <c r="O10" s="127">
        <f t="shared" si="5"/>
        <v>122678747.43350098</v>
      </c>
      <c r="Q10" s="130">
        <f t="shared" si="6"/>
        <v>0</v>
      </c>
    </row>
    <row r="11" spans="1:17" x14ac:dyDescent="0.25">
      <c r="A11" s="29" t="s">
        <v>43</v>
      </c>
      <c r="B11" s="29" t="s">
        <v>473</v>
      </c>
      <c r="C11" s="29" t="s">
        <v>140</v>
      </c>
      <c r="D11" s="29" t="s">
        <v>482</v>
      </c>
      <c r="E11" s="29" t="s">
        <v>483</v>
      </c>
      <c r="F11" s="30">
        <v>67241151.790000007</v>
      </c>
      <c r="G11" s="31">
        <v>5.8446855751816136E-2</v>
      </c>
      <c r="H11" s="30">
        <v>555736.30655084562</v>
      </c>
      <c r="I11" s="30">
        <v>3374297.5927052582</v>
      </c>
      <c r="J11" s="125">
        <f t="shared" si="3"/>
        <v>3930033.8992561037</v>
      </c>
      <c r="K11" s="53" t="s">
        <v>84</v>
      </c>
      <c r="L11" s="109" t="s">
        <v>86</v>
      </c>
      <c r="M11" s="126">
        <f>VLOOKUP(L11,'РейтPD FRED Graph'!$R$4:$V$26,5,0)</f>
        <v>1.9549996587929819E-2</v>
      </c>
      <c r="N11" s="127">
        <f t="shared" si="4"/>
        <v>1314564.2880629711</v>
      </c>
      <c r="O11" s="127">
        <f t="shared" si="5"/>
        <v>5244598.1873190748</v>
      </c>
      <c r="Q11" s="130">
        <f t="shared" si="6"/>
        <v>0</v>
      </c>
    </row>
    <row r="12" spans="1:17" x14ac:dyDescent="0.25">
      <c r="A12" s="29" t="s">
        <v>43</v>
      </c>
      <c r="B12" s="29" t="s">
        <v>473</v>
      </c>
      <c r="C12" s="29" t="s">
        <v>102</v>
      </c>
      <c r="D12" s="29" t="s">
        <v>484</v>
      </c>
      <c r="E12" s="29" t="s">
        <v>485</v>
      </c>
      <c r="F12" s="30">
        <v>241998242.02000001</v>
      </c>
      <c r="G12" s="31">
        <v>2.5501379562474856E-2</v>
      </c>
      <c r="H12" s="30">
        <v>620639.57424567151</v>
      </c>
      <c r="I12" s="30">
        <v>5550649.4489580002</v>
      </c>
      <c r="J12" s="125">
        <f t="shared" si="3"/>
        <v>6171289.0232036719</v>
      </c>
      <c r="K12" s="53" t="s">
        <v>80</v>
      </c>
      <c r="L12" s="109" t="s">
        <v>82</v>
      </c>
      <c r="M12" s="126">
        <f>VLOOKUP(L12,'РейтPD FRED Graph'!$R$4:$V$26,5,0)</f>
        <v>7.5903936638634425E-3</v>
      </c>
      <c r="N12" s="127">
        <f t="shared" si="4"/>
        <v>1836861.9228947</v>
      </c>
      <c r="O12" s="127">
        <f t="shared" si="5"/>
        <v>8008150.9460983723</v>
      </c>
      <c r="Q12" s="130">
        <f t="shared" si="6"/>
        <v>0</v>
      </c>
    </row>
    <row r="13" spans="1:17" x14ac:dyDescent="0.25">
      <c r="A13" s="29" t="s">
        <v>43</v>
      </c>
      <c r="B13" s="29" t="s">
        <v>473</v>
      </c>
      <c r="C13" s="29" t="s">
        <v>141</v>
      </c>
      <c r="D13" s="29" t="s">
        <v>486</v>
      </c>
      <c r="E13" s="29" t="s">
        <v>487</v>
      </c>
      <c r="F13" s="30">
        <v>577207556.67999995</v>
      </c>
      <c r="G13" s="31">
        <v>2.5501379562474856E-2</v>
      </c>
      <c r="H13" s="30">
        <v>1480332.4571244316</v>
      </c>
      <c r="I13" s="30">
        <v>13239256.532100966</v>
      </c>
      <c r="J13" s="125">
        <f t="shared" si="3"/>
        <v>14719588.989225397</v>
      </c>
      <c r="K13" s="53" t="s">
        <v>80</v>
      </c>
      <c r="L13" s="109" t="s">
        <v>82</v>
      </c>
      <c r="M13" s="126">
        <f>VLOOKUP(L13,'РейтPD FRED Graph'!$R$4:$V$26,5,0)</f>
        <v>7.5903936638634425E-3</v>
      </c>
      <c r="N13" s="127">
        <f t="shared" si="4"/>
        <v>4381232.5809579706</v>
      </c>
      <c r="O13" s="127">
        <f t="shared" si="5"/>
        <v>19100821.570183367</v>
      </c>
      <c r="Q13" s="130">
        <f>J13-I13-H13</f>
        <v>0</v>
      </c>
    </row>
    <row r="14" spans="1:17" x14ac:dyDescent="0.25">
      <c r="A14" s="29" t="s">
        <v>43</v>
      </c>
      <c r="B14" s="29" t="s">
        <v>473</v>
      </c>
      <c r="C14" s="29" t="s">
        <v>142</v>
      </c>
      <c r="D14" s="29" t="s">
        <v>488</v>
      </c>
      <c r="E14" s="29" t="s">
        <v>489</v>
      </c>
      <c r="F14" s="30">
        <v>302083927.87</v>
      </c>
      <c r="G14" s="31">
        <v>5.8446855751816136E-2</v>
      </c>
      <c r="H14" s="30">
        <v>2496670.5934357974</v>
      </c>
      <c r="I14" s="30">
        <v>15159185.163724123</v>
      </c>
      <c r="J14" s="125">
        <f t="shared" si="3"/>
        <v>17655855.757159922</v>
      </c>
      <c r="K14" s="53" t="s">
        <v>84</v>
      </c>
      <c r="L14" s="109" t="s">
        <v>84</v>
      </c>
      <c r="M14" s="126">
        <f>VLOOKUP(L14,'РейтPD FRED Graph'!$R$4:$V$26,5,0)</f>
        <v>1.3492957532832712E-2</v>
      </c>
      <c r="N14" s="127">
        <f t="shared" si="4"/>
        <v>4076005.61010121</v>
      </c>
      <c r="O14" s="127">
        <f t="shared" si="5"/>
        <v>21731861.367261134</v>
      </c>
      <c r="Q14" s="130">
        <f t="shared" si="6"/>
        <v>0</v>
      </c>
    </row>
    <row r="15" spans="1:17" x14ac:dyDescent="0.25">
      <c r="A15" s="29" t="s">
        <v>43</v>
      </c>
      <c r="B15" s="29" t="s">
        <v>473</v>
      </c>
      <c r="C15" s="29" t="s">
        <v>134</v>
      </c>
      <c r="D15" s="29" t="s">
        <v>490</v>
      </c>
      <c r="E15" s="29" t="s">
        <v>491</v>
      </c>
      <c r="F15" s="30">
        <v>765825917.90999997</v>
      </c>
      <c r="G15" s="31">
        <v>2.5501379562474856E-2</v>
      </c>
      <c r="H15" s="30">
        <v>1964071.5885807201</v>
      </c>
      <c r="I15" s="30">
        <v>17565545.822822899</v>
      </c>
      <c r="J15" s="125">
        <f t="shared" si="3"/>
        <v>19529617.411403619</v>
      </c>
      <c r="K15" s="53" t="s">
        <v>80</v>
      </c>
      <c r="L15" s="109" t="s">
        <v>82</v>
      </c>
      <c r="M15" s="126">
        <f>VLOOKUP(L15,'РейтPD FRED Graph'!$R$4:$V$26,5,0)</f>
        <v>7.5903936638634425E-3</v>
      </c>
      <c r="N15" s="127">
        <f t="shared" si="4"/>
        <v>5812920.1949264687</v>
      </c>
      <c r="O15" s="127">
        <f t="shared" si="5"/>
        <v>25342537.606330089</v>
      </c>
      <c r="Q15" s="130">
        <f t="shared" si="6"/>
        <v>0</v>
      </c>
    </row>
    <row r="16" spans="1:17" x14ac:dyDescent="0.25">
      <c r="A16" s="29" t="s">
        <v>43</v>
      </c>
      <c r="B16" s="29" t="s">
        <v>473</v>
      </c>
      <c r="C16" s="29" t="s">
        <v>146</v>
      </c>
      <c r="D16" s="29" t="s">
        <v>492</v>
      </c>
      <c r="E16" s="29" t="s">
        <v>493</v>
      </c>
      <c r="F16" s="30">
        <v>1420284018.8599999</v>
      </c>
      <c r="G16" s="31">
        <v>2.6031795691180044E-2</v>
      </c>
      <c r="H16" s="30">
        <v>3460611.2381897517</v>
      </c>
      <c r="I16" s="30">
        <v>33511932.164221872</v>
      </c>
      <c r="J16" s="125">
        <f t="shared" si="3"/>
        <v>36972543.402411625</v>
      </c>
      <c r="K16" s="53" t="s">
        <v>78</v>
      </c>
      <c r="L16" s="109" t="s">
        <v>80</v>
      </c>
      <c r="M16" s="126">
        <f>VLOOKUP(L16,'РейтPD FRED Graph'!$R$4:$V$26,5,0)</f>
        <v>4.3357970051944063E-3</v>
      </c>
      <c r="N16" s="127">
        <f t="shared" si="4"/>
        <v>6158063.195498663</v>
      </c>
      <c r="O16" s="127">
        <f t="shared" si="5"/>
        <v>43130606.597910285</v>
      </c>
      <c r="Q16" s="130">
        <f t="shared" si="6"/>
        <v>0</v>
      </c>
    </row>
    <row r="17" spans="1:17" x14ac:dyDescent="0.25">
      <c r="A17" s="29" t="s">
        <v>43</v>
      </c>
      <c r="B17" s="29" t="s">
        <v>473</v>
      </c>
      <c r="C17" s="29" t="s">
        <v>147</v>
      </c>
      <c r="D17" s="29" t="s">
        <v>494</v>
      </c>
      <c r="E17" s="29" t="s">
        <v>495</v>
      </c>
      <c r="F17" s="30">
        <v>908842439.14999998</v>
      </c>
      <c r="G17" s="31">
        <v>3.4001839416633144E-2</v>
      </c>
      <c r="H17" s="30">
        <v>3107810.9206200289</v>
      </c>
      <c r="I17" s="30">
        <v>27794503.750379447</v>
      </c>
      <c r="J17" s="125">
        <f t="shared" si="3"/>
        <v>30902314.670999479</v>
      </c>
      <c r="K17" s="53" t="s">
        <v>80</v>
      </c>
      <c r="L17" s="109" t="s">
        <v>84</v>
      </c>
      <c r="M17" s="126">
        <f>VLOOKUP(L17,'РейтPD FRED Graph'!$R$4:$V$26,5,0)</f>
        <v>1.3492957532832712E-2</v>
      </c>
      <c r="N17" s="127">
        <f t="shared" si="4"/>
        <v>12262972.435487047</v>
      </c>
      <c r="O17" s="127">
        <f t="shared" si="5"/>
        <v>43165287.106486529</v>
      </c>
      <c r="Q17" s="130">
        <f t="shared" si="6"/>
        <v>0</v>
      </c>
    </row>
    <row r="18" spans="1:17" x14ac:dyDescent="0.25">
      <c r="A18" s="29" t="s">
        <v>43</v>
      </c>
      <c r="B18" s="29" t="s">
        <v>473</v>
      </c>
      <c r="C18" s="29" t="s">
        <v>105</v>
      </c>
      <c r="D18" s="29" t="s">
        <v>496</v>
      </c>
      <c r="E18" s="29" t="s">
        <v>497</v>
      </c>
      <c r="F18" s="30">
        <v>148507348.99000001</v>
      </c>
      <c r="G18" s="31">
        <v>1.1251749446175052E-2</v>
      </c>
      <c r="H18" s="30">
        <v>139343.47412907647</v>
      </c>
      <c r="I18" s="30">
        <v>1531624.0076220813</v>
      </c>
      <c r="J18" s="125">
        <f t="shared" si="3"/>
        <v>1670967.4817511577</v>
      </c>
      <c r="K18" s="53" t="s">
        <v>76</v>
      </c>
      <c r="L18" s="109" t="s">
        <v>76</v>
      </c>
      <c r="M18" s="126">
        <f>VLOOKUP(L18,'РейтPD FRED Graph'!$R$4:$V$26,5,0)</f>
        <v>1.4695142889074914E-3</v>
      </c>
      <c r="N18" s="127">
        <f t="shared" si="4"/>
        <v>218233.67134857652</v>
      </c>
      <c r="O18" s="127">
        <f t="shared" si="5"/>
        <v>1889201.1530997341</v>
      </c>
      <c r="Q18" s="130">
        <f t="shared" si="6"/>
        <v>0</v>
      </c>
    </row>
    <row r="19" spans="1:17" x14ac:dyDescent="0.25">
      <c r="A19" s="29" t="s">
        <v>43</v>
      </c>
      <c r="B19" s="29" t="s">
        <v>473</v>
      </c>
      <c r="C19" s="29" t="s">
        <v>101</v>
      </c>
      <c r="D19" s="29" t="s">
        <v>498</v>
      </c>
      <c r="E19" s="29" t="s">
        <v>499</v>
      </c>
      <c r="F19" s="30">
        <v>237541639.38</v>
      </c>
      <c r="G19" s="31">
        <v>1.1251749446175052E-2</v>
      </c>
      <c r="H19" s="30">
        <v>222883.76640373722</v>
      </c>
      <c r="I19" s="30">
        <v>2449875.2429336915</v>
      </c>
      <c r="J19" s="125">
        <f t="shared" si="3"/>
        <v>2672759.009337429</v>
      </c>
      <c r="K19" s="53" t="s">
        <v>76</v>
      </c>
      <c r="L19" s="109" t="s">
        <v>76</v>
      </c>
      <c r="M19" s="126">
        <f>VLOOKUP(L19,'РейтPD FRED Graph'!$R$4:$V$26,5,0)</f>
        <v>1.4695142889074914E-3</v>
      </c>
      <c r="N19" s="127">
        <f t="shared" si="4"/>
        <v>349070.83327942045</v>
      </c>
      <c r="O19" s="127">
        <f t="shared" si="5"/>
        <v>3021829.8426168496</v>
      </c>
      <c r="Q19" s="130">
        <f t="shared" si="6"/>
        <v>2.6193447411060333E-10</v>
      </c>
    </row>
    <row r="20" spans="1:17" x14ac:dyDescent="0.25">
      <c r="A20" s="29" t="s">
        <v>43</v>
      </c>
      <c r="B20" s="29" t="s">
        <v>473</v>
      </c>
      <c r="C20" s="29" t="s">
        <v>150</v>
      </c>
      <c r="D20" s="29" t="s">
        <v>500</v>
      </c>
      <c r="E20" s="29" t="s">
        <v>501</v>
      </c>
      <c r="F20" s="30">
        <v>6122979225.9300003</v>
      </c>
      <c r="G20" s="31">
        <v>1.5002332594900069E-2</v>
      </c>
      <c r="H20" s="30">
        <v>7660201.8074198803</v>
      </c>
      <c r="I20" s="30">
        <v>84198769.011645764</v>
      </c>
      <c r="J20" s="125">
        <f t="shared" si="3"/>
        <v>91858970.81906563</v>
      </c>
      <c r="K20" s="53" t="s">
        <v>76</v>
      </c>
      <c r="L20" s="109" t="s">
        <v>78</v>
      </c>
      <c r="M20" s="126">
        <f>VLOOKUP(L20,'РейтPD FRED Graph'!$R$4:$V$26,5,0)</f>
        <v>3.0349077055335737E-3</v>
      </c>
      <c r="N20" s="127">
        <f t="shared" si="4"/>
        <v>18582676.833596956</v>
      </c>
      <c r="O20" s="127">
        <f t="shared" si="5"/>
        <v>110441647.65266259</v>
      </c>
      <c r="Q20" s="130">
        <f t="shared" si="6"/>
        <v>-1.3969838619232178E-8</v>
      </c>
    </row>
    <row r="21" spans="1:17" x14ac:dyDescent="0.25">
      <c r="A21" s="29" t="s">
        <v>43</v>
      </c>
      <c r="B21" s="29" t="s">
        <v>473</v>
      </c>
      <c r="C21" s="29" t="s">
        <v>151</v>
      </c>
      <c r="D21" s="29" t="s">
        <v>502</v>
      </c>
      <c r="E21" s="29" t="s">
        <v>503</v>
      </c>
      <c r="F21" s="30">
        <v>4899032257.0799999</v>
      </c>
      <c r="G21" s="31">
        <v>1.1251749446175052E-2</v>
      </c>
      <c r="H21" s="30">
        <v>4596729.9208735144</v>
      </c>
      <c r="I21" s="30">
        <v>50525953.564520091</v>
      </c>
      <c r="J21" s="125">
        <f t="shared" si="3"/>
        <v>55122683.485393606</v>
      </c>
      <c r="K21" s="53" t="s">
        <v>76</v>
      </c>
      <c r="L21" s="109" t="s">
        <v>76</v>
      </c>
      <c r="M21" s="126">
        <f>VLOOKUP(L21,'РейтPD FRED Graph'!$R$4:$V$26,5,0)</f>
        <v>1.4695142889074914E-3</v>
      </c>
      <c r="N21" s="127">
        <f t="shared" si="4"/>
        <v>7199197.9035977786</v>
      </c>
      <c r="O21" s="127">
        <f t="shared" si="5"/>
        <v>62321881.388991386</v>
      </c>
      <c r="Q21" s="130">
        <f t="shared" si="6"/>
        <v>0</v>
      </c>
    </row>
    <row r="22" spans="1:17" x14ac:dyDescent="0.25">
      <c r="A22" s="29" t="s">
        <v>43</v>
      </c>
      <c r="B22" s="29" t="s">
        <v>473</v>
      </c>
      <c r="C22" s="29" t="s">
        <v>138</v>
      </c>
      <c r="D22" s="29" t="s">
        <v>504</v>
      </c>
      <c r="E22" s="29" t="s">
        <v>505</v>
      </c>
      <c r="F22" s="30">
        <v>182918330.93000001</v>
      </c>
      <c r="G22" s="31">
        <v>5.1385680228367002E-2</v>
      </c>
      <c r="H22" s="30">
        <v>1089387.9602071354</v>
      </c>
      <c r="I22" s="30">
        <v>8309994.9008684587</v>
      </c>
      <c r="J22" s="125">
        <f t="shared" si="3"/>
        <v>9399382.8610755932</v>
      </c>
      <c r="K22" s="53" t="s">
        <v>82</v>
      </c>
      <c r="L22" s="109" t="s">
        <v>84</v>
      </c>
      <c r="M22" s="126">
        <f>VLOOKUP(L22,'РейтPD FRED Graph'!$R$4:$V$26,5,0)</f>
        <v>1.3492957532832712E-2</v>
      </c>
      <c r="N22" s="127">
        <f t="shared" si="4"/>
        <v>2468109.2712151306</v>
      </c>
      <c r="O22" s="127">
        <f t="shared" si="5"/>
        <v>11867492.132290725</v>
      </c>
      <c r="Q22" s="130">
        <f t="shared" si="6"/>
        <v>0</v>
      </c>
    </row>
    <row r="23" spans="1:17" x14ac:dyDescent="0.25">
      <c r="A23" s="29" t="s">
        <v>43</v>
      </c>
      <c r="B23" s="29" t="s">
        <v>473</v>
      </c>
      <c r="C23" s="29" t="s">
        <v>152</v>
      </c>
      <c r="D23" s="29" t="s">
        <v>506</v>
      </c>
      <c r="E23" s="29" t="s">
        <v>507</v>
      </c>
      <c r="F23" s="30">
        <v>8223859206.0299988</v>
      </c>
      <c r="G23" s="31">
        <v>1.9523846768385034E-2</v>
      </c>
      <c r="H23" s="30">
        <v>15028462.201096015</v>
      </c>
      <c r="I23" s="30">
        <v>145532904.7822063</v>
      </c>
      <c r="J23" s="125">
        <f t="shared" si="3"/>
        <v>160561366.9833023</v>
      </c>
      <c r="K23" s="53" t="s">
        <v>78</v>
      </c>
      <c r="L23" s="109" t="s">
        <v>78</v>
      </c>
      <c r="M23" s="126">
        <f>VLOOKUP(L23,'РейтPD FRED Graph'!$R$4:$V$26,5,0)</f>
        <v>3.0349077055335737E-3</v>
      </c>
      <c r="N23" s="127">
        <f t="shared" si="4"/>
        <v>24958653.673603661</v>
      </c>
      <c r="O23" s="127">
        <f t="shared" si="5"/>
        <v>185520020.65690595</v>
      </c>
      <c r="Q23" s="130">
        <f t="shared" si="6"/>
        <v>-1.6763806343078613E-8</v>
      </c>
    </row>
    <row r="24" spans="1:17" x14ac:dyDescent="0.25">
      <c r="A24" s="29" t="s">
        <v>43</v>
      </c>
      <c r="B24" s="29" t="s">
        <v>473</v>
      </c>
      <c r="C24" s="29" t="s">
        <v>136</v>
      </c>
      <c r="D24" s="29" t="s">
        <v>508</v>
      </c>
      <c r="E24" s="29" t="s">
        <v>509</v>
      </c>
      <c r="F24" s="30">
        <v>705299750.39999998</v>
      </c>
      <c r="G24" s="31">
        <v>1.1251749446175052E-2</v>
      </c>
      <c r="H24" s="30">
        <v>661778.14223674731</v>
      </c>
      <c r="I24" s="30">
        <v>7274077.9337138552</v>
      </c>
      <c r="J24" s="125">
        <f t="shared" si="3"/>
        <v>7935856.0759506021</v>
      </c>
      <c r="K24" s="53" t="s">
        <v>76</v>
      </c>
      <c r="L24" s="109" t="s">
        <v>78</v>
      </c>
      <c r="M24" s="126">
        <f>VLOOKUP(L24,'РейтPD FRED Graph'!$R$4:$V$26,5,0)</f>
        <v>3.0349077055335737E-3</v>
      </c>
      <c r="N24" s="127">
        <f t="shared" si="4"/>
        <v>2140519.6471998664</v>
      </c>
      <c r="O24" s="127">
        <f t="shared" si="5"/>
        <v>10076375.723150469</v>
      </c>
      <c r="Q24" s="130">
        <f t="shared" si="6"/>
        <v>0</v>
      </c>
    </row>
    <row r="25" spans="1:17" x14ac:dyDescent="0.25">
      <c r="A25" s="29" t="s">
        <v>43</v>
      </c>
      <c r="B25" s="29" t="s">
        <v>473</v>
      </c>
      <c r="C25" s="29" t="s">
        <v>101</v>
      </c>
      <c r="D25" s="29" t="s">
        <v>510</v>
      </c>
      <c r="E25" s="29" t="s">
        <v>511</v>
      </c>
      <c r="F25" s="30">
        <v>526183649.75</v>
      </c>
      <c r="G25" s="31">
        <v>1.1251749446175052E-2</v>
      </c>
      <c r="H25" s="30">
        <v>493714.6766455262</v>
      </c>
      <c r="I25" s="30">
        <v>5426771.9130154038</v>
      </c>
      <c r="J25" s="125">
        <f t="shared" si="3"/>
        <v>5920486.5896609295</v>
      </c>
      <c r="K25" s="53" t="s">
        <v>76</v>
      </c>
      <c r="L25" s="109" t="s">
        <v>76</v>
      </c>
      <c r="M25" s="126">
        <f>VLOOKUP(L25,'РейтPD FRED Graph'!$R$4:$V$26,5,0)</f>
        <v>1.4695142889074914E-3</v>
      </c>
      <c r="N25" s="127">
        <f t="shared" si="4"/>
        <v>773234.3918971197</v>
      </c>
      <c r="O25" s="127">
        <f t="shared" si="5"/>
        <v>6693720.9815580491</v>
      </c>
      <c r="Q25" s="130">
        <f t="shared" si="6"/>
        <v>-4.6566128730773926E-10</v>
      </c>
    </row>
    <row r="26" spans="1:17" x14ac:dyDescent="0.25">
      <c r="A26" s="29" t="s">
        <v>43</v>
      </c>
      <c r="B26" s="29" t="s">
        <v>473</v>
      </c>
      <c r="C26" s="29" t="s">
        <v>154</v>
      </c>
      <c r="D26" s="29" t="s">
        <v>512</v>
      </c>
      <c r="E26" s="29" t="s">
        <v>513</v>
      </c>
      <c r="F26" s="30">
        <v>808042002.48000002</v>
      </c>
      <c r="G26" s="31">
        <v>1.5002332594900069E-2</v>
      </c>
      <c r="H26" s="30">
        <v>1010907.3670633484</v>
      </c>
      <c r="I26" s="30">
        <v>11111607.504790679</v>
      </c>
      <c r="J26" s="125">
        <f t="shared" si="3"/>
        <v>12122514.871854026</v>
      </c>
      <c r="K26" s="53" t="s">
        <v>76</v>
      </c>
      <c r="L26" s="109" t="s">
        <v>78</v>
      </c>
      <c r="M26" s="126">
        <f>VLOOKUP(L26,'РейтPD FRED Graph'!$R$4:$V$26,5,0)</f>
        <v>3.0349077055335737E-3</v>
      </c>
      <c r="N26" s="127">
        <f t="shared" si="4"/>
        <v>2452332.899721331</v>
      </c>
      <c r="O26" s="127">
        <f t="shared" si="5"/>
        <v>14574847.771575358</v>
      </c>
      <c r="Q26" s="130">
        <f t="shared" si="6"/>
        <v>-1.1641532182693481E-9</v>
      </c>
    </row>
    <row r="27" spans="1:17" x14ac:dyDescent="0.25">
      <c r="A27" s="29" t="s">
        <v>43</v>
      </c>
      <c r="B27" s="29" t="s">
        <v>473</v>
      </c>
      <c r="C27" s="29" t="s">
        <v>339</v>
      </c>
      <c r="D27" s="29" t="s">
        <v>514</v>
      </c>
      <c r="E27" s="29" t="s">
        <v>515</v>
      </c>
      <c r="F27" s="30">
        <v>425820922.92000002</v>
      </c>
      <c r="G27" s="31">
        <v>0.10113539888193271</v>
      </c>
      <c r="H27" s="30">
        <v>8767965.3404490948</v>
      </c>
      <c r="I27" s="30">
        <v>34297603.551337831</v>
      </c>
      <c r="J27" s="125">
        <f t="shared" si="3"/>
        <v>43065568.891786925</v>
      </c>
      <c r="K27" s="53" t="s">
        <v>88</v>
      </c>
      <c r="L27" s="109" t="s">
        <v>88</v>
      </c>
      <c r="M27" s="126">
        <f>VLOOKUP(L27,'РейтPD FRED Graph'!$R$4:$V$26,5,0)</f>
        <v>2.8500950314098057E-2</v>
      </c>
      <c r="N27" s="127">
        <f t="shared" si="4"/>
        <v>12136300.966846298</v>
      </c>
      <c r="O27" s="127">
        <f t="shared" si="5"/>
        <v>55201869.85863322</v>
      </c>
      <c r="Q27" s="130">
        <f t="shared" si="6"/>
        <v>0</v>
      </c>
    </row>
    <row r="28" spans="1:17" x14ac:dyDescent="0.25">
      <c r="A28" s="29" t="s">
        <v>43</v>
      </c>
      <c r="B28" s="29" t="s">
        <v>473</v>
      </c>
      <c r="C28" s="29" t="s">
        <v>105</v>
      </c>
      <c r="D28" s="29" t="s">
        <v>516</v>
      </c>
      <c r="E28" s="29" t="s">
        <v>517</v>
      </c>
      <c r="F28" s="30">
        <v>651075343.64999998</v>
      </c>
      <c r="G28" s="31">
        <v>1.1251749446175052E-2</v>
      </c>
      <c r="H28" s="30">
        <v>610899.73608028202</v>
      </c>
      <c r="I28" s="30">
        <v>6714836.9012518367</v>
      </c>
      <c r="J28" s="125">
        <f t="shared" si="3"/>
        <v>7325736.637332119</v>
      </c>
      <c r="K28" s="53" t="s">
        <v>76</v>
      </c>
      <c r="L28" s="109" t="s">
        <v>80</v>
      </c>
      <c r="M28" s="126">
        <f>VLOOKUP(L28,'РейтPD FRED Graph'!$R$4:$V$26,5,0)</f>
        <v>4.3357970051944063E-3</v>
      </c>
      <c r="N28" s="127">
        <f t="shared" si="4"/>
        <v>2822930.525153589</v>
      </c>
      <c r="O28" s="127">
        <f t="shared" si="5"/>
        <v>10148667.162485708</v>
      </c>
      <c r="Q28" s="130">
        <f t="shared" si="6"/>
        <v>0</v>
      </c>
    </row>
    <row r="29" spans="1:17" x14ac:dyDescent="0.25">
      <c r="A29" s="29" t="s">
        <v>43</v>
      </c>
      <c r="B29" s="29" t="s">
        <v>473</v>
      </c>
      <c r="C29" s="29" t="s">
        <v>139</v>
      </c>
      <c r="D29" s="29" t="s">
        <v>518</v>
      </c>
      <c r="E29" s="29" t="s">
        <v>519</v>
      </c>
      <c r="F29" s="30">
        <v>1523643849.53</v>
      </c>
      <c r="G29" s="31">
        <v>5.1385680228367002E-2</v>
      </c>
      <c r="H29" s="30">
        <v>9074209.5495985523</v>
      </c>
      <c r="I29" s="30">
        <v>69219266.084268153</v>
      </c>
      <c r="J29" s="125">
        <f t="shared" si="3"/>
        <v>78293475.633866712</v>
      </c>
      <c r="K29" s="53" t="s">
        <v>82</v>
      </c>
      <c r="L29" s="109" t="s">
        <v>84</v>
      </c>
      <c r="M29" s="126">
        <f>VLOOKUP(L29,'РейтPD FRED Graph'!$R$4:$V$26,5,0)</f>
        <v>1.3492957532832712E-2</v>
      </c>
      <c r="N29" s="127">
        <f t="shared" si="4"/>
        <v>20558461.756870043</v>
      </c>
      <c r="O29" s="127">
        <f t="shared" si="5"/>
        <v>98851937.390736759</v>
      </c>
      <c r="Q29" s="130">
        <f t="shared" si="6"/>
        <v>0</v>
      </c>
    </row>
    <row r="30" spans="1:17" ht="27.75" customHeight="1" x14ac:dyDescent="0.25">
      <c r="A30" s="29" t="s">
        <v>43</v>
      </c>
      <c r="B30" s="29" t="s">
        <v>473</v>
      </c>
      <c r="C30" s="29" t="s">
        <v>139</v>
      </c>
      <c r="D30" s="29" t="s">
        <v>520</v>
      </c>
      <c r="E30" s="29" t="s">
        <v>521</v>
      </c>
      <c r="F30" s="30">
        <v>1144667110.1900001</v>
      </c>
      <c r="G30" s="31">
        <v>5.1385680228367002E-2</v>
      </c>
      <c r="H30" s="30">
        <v>6817176.6161767729</v>
      </c>
      <c r="I30" s="30">
        <v>52002321.475975506</v>
      </c>
      <c r="J30" s="125">
        <f t="shared" si="3"/>
        <v>58819498.092152275</v>
      </c>
      <c r="K30" s="53" t="s">
        <v>82</v>
      </c>
      <c r="L30" s="109" t="s">
        <v>84</v>
      </c>
      <c r="M30" s="126">
        <f>VLOOKUP(L30,'РейтPD FRED Graph'!$R$4:$V$26,5,0)</f>
        <v>1.3492957532832712E-2</v>
      </c>
      <c r="N30" s="127">
        <f t="shared" si="4"/>
        <v>15444944.707024014</v>
      </c>
      <c r="O30" s="127">
        <f t="shared" si="5"/>
        <v>74264442.799176291</v>
      </c>
      <c r="Q30" s="130">
        <f t="shared" si="6"/>
        <v>0</v>
      </c>
    </row>
    <row r="31" spans="1:17" x14ac:dyDescent="0.25">
      <c r="A31" s="29" t="s">
        <v>43</v>
      </c>
      <c r="B31" s="29" t="s">
        <v>474</v>
      </c>
      <c r="C31" s="29" t="s">
        <v>134</v>
      </c>
      <c r="D31" s="29" t="s">
        <v>522</v>
      </c>
      <c r="E31" s="29" t="s">
        <v>523</v>
      </c>
      <c r="F31" s="30">
        <v>218469950.97</v>
      </c>
      <c r="G31" s="31">
        <v>2.5501379562474856E-2</v>
      </c>
      <c r="H31" s="30">
        <v>560297.86094184755</v>
      </c>
      <c r="I31" s="30">
        <v>5010987.2817393942</v>
      </c>
      <c r="J31" s="125">
        <f t="shared" si="3"/>
        <v>5571285.142681242</v>
      </c>
      <c r="K31" s="53" t="s">
        <v>80</v>
      </c>
      <c r="L31" s="109" t="s">
        <v>80</v>
      </c>
      <c r="M31" s="126">
        <f>VLOOKUP(L31,'РейтPD FRED Graph'!$R$4:$V$26,5,0)</f>
        <v>4.3357970051944063E-3</v>
      </c>
      <c r="N31" s="127">
        <f t="shared" si="4"/>
        <v>947241.35914069472</v>
      </c>
      <c r="O31" s="127">
        <f t="shared" si="5"/>
        <v>6518526.501821937</v>
      </c>
      <c r="Q31" s="130">
        <f t="shared" si="6"/>
        <v>0</v>
      </c>
    </row>
    <row r="32" spans="1:17" x14ac:dyDescent="0.25">
      <c r="A32" s="29" t="s">
        <v>43</v>
      </c>
      <c r="B32" s="29" t="s">
        <v>474</v>
      </c>
      <c r="C32" s="29" t="s">
        <v>156</v>
      </c>
      <c r="D32" s="29" t="s">
        <v>524</v>
      </c>
      <c r="E32" s="29" t="s">
        <v>525</v>
      </c>
      <c r="F32" s="30">
        <v>83745042.579999998</v>
      </c>
      <c r="G32" s="31">
        <v>1.1251749446175052E-2</v>
      </c>
      <c r="H32" s="30">
        <v>78577.425652991835</v>
      </c>
      <c r="I32" s="30">
        <v>863700.81081642932</v>
      </c>
      <c r="J32" s="125">
        <f t="shared" si="3"/>
        <v>942278.23646942107</v>
      </c>
      <c r="K32" s="53" t="s">
        <v>76</v>
      </c>
      <c r="L32" s="109" t="s">
        <v>78</v>
      </c>
      <c r="M32" s="126">
        <f>VLOOKUP(L32,'РейтPD FRED Graph'!$R$4:$V$26,5,0)</f>
        <v>3.0349077055335737E-3</v>
      </c>
      <c r="N32" s="127">
        <f t="shared" si="4"/>
        <v>254158.47502627922</v>
      </c>
      <c r="O32" s="127">
        <f t="shared" si="5"/>
        <v>1196436.7114957003</v>
      </c>
      <c r="Q32" s="130">
        <f t="shared" si="6"/>
        <v>0</v>
      </c>
    </row>
    <row r="33" spans="1:17" x14ac:dyDescent="0.25">
      <c r="A33" s="29" t="s">
        <v>43</v>
      </c>
      <c r="B33" s="29" t="s">
        <v>474</v>
      </c>
      <c r="C33" s="29" t="s">
        <v>146</v>
      </c>
      <c r="D33" s="29" t="s">
        <v>526</v>
      </c>
      <c r="E33" s="29" t="s">
        <v>527</v>
      </c>
      <c r="F33" s="30">
        <v>50540016.100000001</v>
      </c>
      <c r="G33" s="31">
        <v>2.6031795691180044E-2</v>
      </c>
      <c r="H33" s="30">
        <v>123143.92429363185</v>
      </c>
      <c r="I33" s="30">
        <v>1192503.4490505182</v>
      </c>
      <c r="J33" s="125">
        <f t="shared" si="3"/>
        <v>1315647.3733441501</v>
      </c>
      <c r="K33" s="53" t="s">
        <v>78</v>
      </c>
      <c r="L33" s="109" t="s">
        <v>80</v>
      </c>
      <c r="M33" s="126">
        <f>VLOOKUP(L33,'РейтPD FRED Graph'!$R$4:$V$26,5,0)</f>
        <v>4.3357970051944063E-3</v>
      </c>
      <c r="N33" s="127">
        <f t="shared" si="4"/>
        <v>219131.25044885708</v>
      </c>
      <c r="O33" s="127">
        <f t="shared" si="5"/>
        <v>1534778.6237930073</v>
      </c>
      <c r="Q33" s="130">
        <f t="shared" si="6"/>
        <v>0</v>
      </c>
    </row>
    <row r="34" spans="1:17" ht="24.75" customHeight="1" x14ac:dyDescent="0.25">
      <c r="A34" s="29" t="s">
        <v>43</v>
      </c>
      <c r="B34" s="29" t="s">
        <v>474</v>
      </c>
      <c r="C34" s="29" t="s">
        <v>134</v>
      </c>
      <c r="D34" s="29" t="s">
        <v>528</v>
      </c>
      <c r="E34" s="29" t="s">
        <v>529</v>
      </c>
      <c r="F34" s="30">
        <v>486123467.94999999</v>
      </c>
      <c r="G34" s="31">
        <v>2.5501379562474856E-2</v>
      </c>
      <c r="H34" s="30">
        <v>1246734.1070782763</v>
      </c>
      <c r="I34" s="30">
        <v>11150084.963341253</v>
      </c>
      <c r="J34" s="125">
        <f t="shared" si="3"/>
        <v>12396819.070419529</v>
      </c>
      <c r="K34" s="53" t="s">
        <v>80</v>
      </c>
      <c r="L34" s="109" t="s">
        <v>80</v>
      </c>
      <c r="M34" s="126">
        <f>VLOOKUP(L34,'РейтPD FRED Graph'!$R$4:$V$26,5,0)</f>
        <v>4.3357970051944063E-3</v>
      </c>
      <c r="N34" s="127">
        <f t="shared" si="4"/>
        <v>2107732.6764923288</v>
      </c>
      <c r="O34" s="127">
        <f t="shared" si="5"/>
        <v>14504551.746911857</v>
      </c>
      <c r="Q34" s="130">
        <f t="shared" si="6"/>
        <v>0</v>
      </c>
    </row>
    <row r="35" spans="1:17" x14ac:dyDescent="0.25">
      <c r="A35" s="29" t="s">
        <v>43</v>
      </c>
      <c r="B35" s="29" t="s">
        <v>474</v>
      </c>
      <c r="C35" s="29" t="s">
        <v>134</v>
      </c>
      <c r="D35" s="29" t="s">
        <v>530</v>
      </c>
      <c r="E35" s="29" t="s">
        <v>531</v>
      </c>
      <c r="F35" s="30">
        <v>576596184.94000006</v>
      </c>
      <c r="G35" s="31">
        <v>2.5501379562474856E-2</v>
      </c>
      <c r="H35" s="30">
        <v>1478764.5056663875</v>
      </c>
      <c r="I35" s="30">
        <v>13225233.660763502</v>
      </c>
      <c r="J35" s="125">
        <f t="shared" si="3"/>
        <v>14703998.16642989</v>
      </c>
      <c r="K35" s="53" t="s">
        <v>80</v>
      </c>
      <c r="L35" s="109" t="s">
        <v>80</v>
      </c>
      <c r="M35" s="126">
        <f>VLOOKUP(L35,'РейтPD FRED Graph'!$R$4:$V$26,5,0)</f>
        <v>4.3357970051944063E-3</v>
      </c>
      <c r="N35" s="127">
        <f t="shared" si="4"/>
        <v>2500004.0118693723</v>
      </c>
      <c r="O35" s="127">
        <f t="shared" si="5"/>
        <v>17204002.178299263</v>
      </c>
      <c r="Q35" s="130">
        <f t="shared" si="6"/>
        <v>0</v>
      </c>
    </row>
    <row r="36" spans="1:17" x14ac:dyDescent="0.25">
      <c r="A36" s="29" t="s">
        <v>43</v>
      </c>
      <c r="B36" s="29" t="s">
        <v>474</v>
      </c>
      <c r="C36" s="29" t="s">
        <v>158</v>
      </c>
      <c r="D36" s="29" t="s">
        <v>532</v>
      </c>
      <c r="E36" s="29" t="s">
        <v>533</v>
      </c>
      <c r="F36" s="30">
        <v>588305378.81999993</v>
      </c>
      <c r="G36" s="31">
        <v>3.853926017127525E-2</v>
      </c>
      <c r="H36" s="30">
        <v>2627782.5465324693</v>
      </c>
      <c r="I36" s="30">
        <v>20045071.507972151</v>
      </c>
      <c r="J36" s="125">
        <f t="shared" si="3"/>
        <v>22672854.054504622</v>
      </c>
      <c r="K36" s="53" t="s">
        <v>82</v>
      </c>
      <c r="L36" s="109" t="s">
        <v>84</v>
      </c>
      <c r="M36" s="126">
        <f>VLOOKUP(L36,'РейтPD FRED Graph'!$R$4:$V$26,5,0)</f>
        <v>1.3492957532832712E-2</v>
      </c>
      <c r="N36" s="127">
        <f t="shared" si="4"/>
        <v>7937979.4927553199</v>
      </c>
      <c r="O36" s="127">
        <f t="shared" si="5"/>
        <v>30610833.547259942</v>
      </c>
      <c r="Q36" s="130">
        <f t="shared" si="6"/>
        <v>0</v>
      </c>
    </row>
    <row r="37" spans="1:17" x14ac:dyDescent="0.25">
      <c r="A37" s="29" t="s">
        <v>43</v>
      </c>
      <c r="B37" s="29" t="s">
        <v>474</v>
      </c>
      <c r="C37" s="29" t="s">
        <v>134</v>
      </c>
      <c r="D37" s="29" t="s">
        <v>534</v>
      </c>
      <c r="E37" s="29" t="s">
        <v>535</v>
      </c>
      <c r="F37" s="30">
        <v>603395767.86000001</v>
      </c>
      <c r="G37" s="31">
        <v>2.5501379562474856E-2</v>
      </c>
      <c r="H37" s="30">
        <v>1547495.9212113637</v>
      </c>
      <c r="I37" s="30">
        <v>13839928.581377463</v>
      </c>
      <c r="J37" s="125">
        <f t="shared" si="3"/>
        <v>15387424.502588827</v>
      </c>
      <c r="K37" s="53" t="s">
        <v>80</v>
      </c>
      <c r="L37" s="109" t="s">
        <v>80</v>
      </c>
      <c r="M37" s="126">
        <f>VLOOKUP(L37,'РейтPD FRED Graph'!$R$4:$V$26,5,0)</f>
        <v>4.3357970051944063E-3</v>
      </c>
      <c r="N37" s="127">
        <f t="shared" si="4"/>
        <v>2616201.5632343674</v>
      </c>
      <c r="O37" s="127">
        <f t="shared" si="5"/>
        <v>18003626.065823194</v>
      </c>
      <c r="Q37" s="130">
        <f t="shared" si="6"/>
        <v>0</v>
      </c>
    </row>
    <row r="38" spans="1:17" x14ac:dyDescent="0.25">
      <c r="A38" s="29" t="s">
        <v>43</v>
      </c>
      <c r="B38" s="29" t="s">
        <v>474</v>
      </c>
      <c r="C38" s="29" t="s">
        <v>7</v>
      </c>
      <c r="D38" s="29" t="s">
        <v>536</v>
      </c>
      <c r="E38" s="29" t="s">
        <v>537</v>
      </c>
      <c r="F38" s="30">
        <v>957419670.16999996</v>
      </c>
      <c r="G38" s="31">
        <v>3.853926017127525E-2</v>
      </c>
      <c r="H38" s="30">
        <v>4276504.6684187651</v>
      </c>
      <c r="I38" s="30">
        <v>32621741.093359403</v>
      </c>
      <c r="J38" s="125">
        <f t="shared" si="3"/>
        <v>36898245.761778168</v>
      </c>
      <c r="K38" s="53" t="s">
        <v>82</v>
      </c>
      <c r="L38" s="109" t="s">
        <v>84</v>
      </c>
      <c r="M38" s="126">
        <f>VLOOKUP(L38,'РейтPD FRED Graph'!$R$4:$V$26,5,0)</f>
        <v>1.3492957532832712E-2</v>
      </c>
      <c r="N38" s="127">
        <f t="shared" si="4"/>
        <v>12918422.950702511</v>
      </c>
      <c r="O38" s="127">
        <f t="shared" si="5"/>
        <v>49816668.712480679</v>
      </c>
      <c r="Q38" s="130">
        <f t="shared" si="6"/>
        <v>0</v>
      </c>
    </row>
    <row r="39" spans="1:17" x14ac:dyDescent="0.25">
      <c r="A39" s="29" t="s">
        <v>43</v>
      </c>
      <c r="B39" s="29" t="s">
        <v>474</v>
      </c>
      <c r="C39" s="29" t="s">
        <v>158</v>
      </c>
      <c r="D39" s="29" t="s">
        <v>538</v>
      </c>
      <c r="E39" s="29" t="s">
        <v>539</v>
      </c>
      <c r="F39" s="30">
        <v>147532779.88000003</v>
      </c>
      <c r="G39" s="31">
        <v>3.853926017127525E-2</v>
      </c>
      <c r="H39" s="30">
        <v>658984.39478435903</v>
      </c>
      <c r="I39" s="30">
        <v>5026819.7928024447</v>
      </c>
      <c r="J39" s="125">
        <f t="shared" si="3"/>
        <v>5685804.1875868039</v>
      </c>
      <c r="K39" s="53" t="s">
        <v>82</v>
      </c>
      <c r="L39" s="109" t="s">
        <v>84</v>
      </c>
      <c r="M39" s="126">
        <f>VLOOKUP(L39,'РейтPD FRED Graph'!$R$4:$V$26,5,0)</f>
        <v>1.3492957532832712E-2</v>
      </c>
      <c r="N39" s="127">
        <f t="shared" si="4"/>
        <v>1990653.5336215966</v>
      </c>
      <c r="O39" s="127">
        <f t="shared" si="5"/>
        <v>7676457.721208401</v>
      </c>
      <c r="Q39" s="130">
        <f t="shared" si="6"/>
        <v>0</v>
      </c>
    </row>
    <row r="40" spans="1:17" x14ac:dyDescent="0.25">
      <c r="A40" s="29" t="s">
        <v>43</v>
      </c>
      <c r="B40" s="29" t="s">
        <v>474</v>
      </c>
      <c r="C40" s="29" t="s">
        <v>134</v>
      </c>
      <c r="D40" s="29" t="s">
        <v>540</v>
      </c>
      <c r="E40" s="29" t="s">
        <v>541</v>
      </c>
      <c r="F40" s="30">
        <v>374136929.81</v>
      </c>
      <c r="G40" s="31">
        <v>2.5501379562474856E-2</v>
      </c>
      <c r="H40" s="30">
        <v>959528.39528342744</v>
      </c>
      <c r="I40" s="30">
        <v>8581479.4601403959</v>
      </c>
      <c r="J40" s="125">
        <f t="shared" ref="J40:J67" si="7">F40*G40</f>
        <v>9541007.855423823</v>
      </c>
      <c r="K40" s="53" t="s">
        <v>80</v>
      </c>
      <c r="L40" s="109" t="s">
        <v>80</v>
      </c>
      <c r="M40" s="126">
        <f>VLOOKUP(L40,'РейтPD FRED Graph'!$R$4:$V$26,5,0)</f>
        <v>4.3357970051944063E-3</v>
      </c>
      <c r="N40" s="127">
        <f t="shared" si="4"/>
        <v>1622181.7798028279</v>
      </c>
      <c r="O40" s="127">
        <f t="shared" si="5"/>
        <v>11163189.63522665</v>
      </c>
      <c r="Q40" s="130">
        <f t="shared" si="6"/>
        <v>0</v>
      </c>
    </row>
    <row r="41" spans="1:17" x14ac:dyDescent="0.25">
      <c r="A41" s="29" t="s">
        <v>43</v>
      </c>
      <c r="B41" s="29" t="s">
        <v>474</v>
      </c>
      <c r="C41" s="29" t="s">
        <v>159</v>
      </c>
      <c r="D41" s="29" t="s">
        <v>542</v>
      </c>
      <c r="E41" s="29" t="s">
        <v>543</v>
      </c>
      <c r="F41" s="30">
        <v>1520769313.72</v>
      </c>
      <c r="G41" s="31">
        <v>3.4001839416633144E-2</v>
      </c>
      <c r="H41" s="30">
        <v>5200311.1621230049</v>
      </c>
      <c r="I41" s="30">
        <v>46508642.832727827</v>
      </c>
      <c r="J41" s="125">
        <f t="shared" si="7"/>
        <v>51708953.994850829</v>
      </c>
      <c r="K41" s="53" t="s">
        <v>80</v>
      </c>
      <c r="L41" s="109" t="s">
        <v>80</v>
      </c>
      <c r="M41" s="126">
        <f>VLOOKUP(L41,'РейтPD FRED Graph'!$R$4:$V$26,5,0)</f>
        <v>4.3357970051944063E-3</v>
      </c>
      <c r="N41" s="127">
        <f t="shared" si="4"/>
        <v>6593747.0360187283</v>
      </c>
      <c r="O41" s="127">
        <f t="shared" si="5"/>
        <v>58302701.030869558</v>
      </c>
      <c r="Q41" s="130">
        <f t="shared" si="6"/>
        <v>0</v>
      </c>
    </row>
    <row r="42" spans="1:17" x14ac:dyDescent="0.25">
      <c r="A42" s="29" t="s">
        <v>43</v>
      </c>
      <c r="B42" s="29" t="s">
        <v>474</v>
      </c>
      <c r="C42" s="29" t="s">
        <v>590</v>
      </c>
      <c r="D42" s="29" t="s">
        <v>544</v>
      </c>
      <c r="E42" s="29" t="s">
        <v>545</v>
      </c>
      <c r="F42" s="30">
        <v>1315497045.3399999</v>
      </c>
      <c r="G42" s="31">
        <v>1.1251749446175052E-2</v>
      </c>
      <c r="H42" s="30">
        <v>1234322.2726072231</v>
      </c>
      <c r="I42" s="30">
        <v>13567320.878742037</v>
      </c>
      <c r="J42" s="125">
        <f t="shared" si="7"/>
        <v>14801643.151349261</v>
      </c>
      <c r="K42" s="53" t="s">
        <v>76</v>
      </c>
      <c r="L42" s="109" t="s">
        <v>76</v>
      </c>
      <c r="M42" s="126">
        <f>VLOOKUP(L42,'РейтPD FRED Graph'!$R$4:$V$26,5,0)</f>
        <v>1.4695142889074914E-3</v>
      </c>
      <c r="N42" s="127">
        <f t="shared" si="4"/>
        <v>1933141.7051427159</v>
      </c>
      <c r="O42" s="127">
        <f t="shared" si="5"/>
        <v>16734784.856491977</v>
      </c>
      <c r="Q42" s="130">
        <f t="shared" si="6"/>
        <v>0</v>
      </c>
    </row>
    <row r="43" spans="1:17" x14ac:dyDescent="0.25">
      <c r="A43" s="29" t="s">
        <v>43</v>
      </c>
      <c r="B43" s="29" t="s">
        <v>474</v>
      </c>
      <c r="C43" s="29" t="s">
        <v>146</v>
      </c>
      <c r="D43" s="29" t="s">
        <v>546</v>
      </c>
      <c r="E43" s="29" t="s">
        <v>547</v>
      </c>
      <c r="F43" s="30">
        <v>1053070186.4200001</v>
      </c>
      <c r="G43" s="31">
        <v>2.6031795691180044E-2</v>
      </c>
      <c r="H43" s="30">
        <v>2565871.6660437561</v>
      </c>
      <c r="I43" s="30">
        <v>24847436.275314569</v>
      </c>
      <c r="J43" s="125">
        <f t="shared" si="7"/>
        <v>27413307.941358324</v>
      </c>
      <c r="K43" s="53" t="s">
        <v>78</v>
      </c>
      <c r="L43" s="109" t="s">
        <v>80</v>
      </c>
      <c r="M43" s="126">
        <f>VLOOKUP(L43,'РейтPD FRED Graph'!$R$4:$V$26,5,0)</f>
        <v>4.3357970051944063E-3</v>
      </c>
      <c r="N43" s="127">
        <f t="shared" si="4"/>
        <v>4565898.5605393518</v>
      </c>
      <c r="O43" s="127">
        <f t="shared" si="5"/>
        <v>31979206.501897678</v>
      </c>
      <c r="Q43" s="130">
        <f t="shared" si="6"/>
        <v>0</v>
      </c>
    </row>
    <row r="44" spans="1:17" x14ac:dyDescent="0.25">
      <c r="A44" s="29" t="s">
        <v>43</v>
      </c>
      <c r="B44" s="29" t="s">
        <v>474</v>
      </c>
      <c r="C44" s="29" t="s">
        <v>160</v>
      </c>
      <c r="D44" s="29" t="s">
        <v>548</v>
      </c>
      <c r="E44" s="29" t="s">
        <v>549</v>
      </c>
      <c r="F44" s="30">
        <v>516901886.88999999</v>
      </c>
      <c r="G44" s="31">
        <v>1.5002332594900069E-2</v>
      </c>
      <c r="H44" s="30">
        <v>646674.21235813794</v>
      </c>
      <c r="I44" s="30">
        <v>7108059.8136970578</v>
      </c>
      <c r="J44" s="125">
        <f t="shared" si="7"/>
        <v>7754734.0260551954</v>
      </c>
      <c r="K44" s="53" t="s">
        <v>76</v>
      </c>
      <c r="L44" s="109" t="s">
        <v>78</v>
      </c>
      <c r="M44" s="126">
        <f>VLOOKUP(L44,'РейтPD FRED Graph'!$R$4:$V$26,5,0)</f>
        <v>3.0349077055335737E-3</v>
      </c>
      <c r="N44" s="127">
        <f t="shared" si="4"/>
        <v>1568749.5195273047</v>
      </c>
      <c r="O44" s="127">
        <f t="shared" si="5"/>
        <v>9323483.5455824994</v>
      </c>
      <c r="Q44" s="130">
        <f t="shared" si="6"/>
        <v>0</v>
      </c>
    </row>
    <row r="45" spans="1:17" x14ac:dyDescent="0.25">
      <c r="A45" s="29" t="s">
        <v>43</v>
      </c>
      <c r="B45" s="29" t="s">
        <v>474</v>
      </c>
      <c r="C45" s="29" t="s">
        <v>590</v>
      </c>
      <c r="D45" s="29" t="s">
        <v>550</v>
      </c>
      <c r="E45" s="29" t="s">
        <v>551</v>
      </c>
      <c r="F45" s="30">
        <v>2151158333.3299999</v>
      </c>
      <c r="G45" s="31">
        <v>1.1251749446175052E-2</v>
      </c>
      <c r="H45" s="30">
        <v>2018417.792833271</v>
      </c>
      <c r="I45" s="30">
        <v>22185876.792847402</v>
      </c>
      <c r="J45" s="125">
        <f t="shared" si="7"/>
        <v>24204294.585680675</v>
      </c>
      <c r="K45" s="53" t="s">
        <v>76</v>
      </c>
      <c r="L45" s="109" t="s">
        <v>76</v>
      </c>
      <c r="M45" s="126">
        <f>VLOOKUP(L45,'РейтPD FRED Graph'!$R$4:$V$26,5,0)</f>
        <v>1.4695142889074914E-3</v>
      </c>
      <c r="N45" s="127">
        <f t="shared" si="4"/>
        <v>3161157.9085308593</v>
      </c>
      <c r="O45" s="127">
        <f t="shared" si="5"/>
        <v>27365452.494211532</v>
      </c>
      <c r="Q45" s="130">
        <f t="shared" si="6"/>
        <v>0</v>
      </c>
    </row>
    <row r="46" spans="1:17" x14ac:dyDescent="0.25">
      <c r="A46" s="29" t="s">
        <v>43</v>
      </c>
      <c r="B46" s="29" t="s">
        <v>474</v>
      </c>
      <c r="C46" s="29" t="s">
        <v>161</v>
      </c>
      <c r="D46" s="29" t="s">
        <v>552</v>
      </c>
      <c r="E46" s="29" t="s">
        <v>553</v>
      </c>
      <c r="F46" s="30">
        <v>2075056417.9000001</v>
      </c>
      <c r="G46" s="31">
        <v>1.9523846768385034E-2</v>
      </c>
      <c r="H46" s="30">
        <v>3792003.9923210344</v>
      </c>
      <c r="I46" s="30">
        <v>36721079.546512507</v>
      </c>
      <c r="J46" s="125">
        <f t="shared" si="7"/>
        <v>40513083.538833544</v>
      </c>
      <c r="K46" s="53" t="s">
        <v>78</v>
      </c>
      <c r="L46" s="109" t="s">
        <v>80</v>
      </c>
      <c r="M46" s="126">
        <f>VLOOKUP(L46,'РейтPD FRED Graph'!$R$4:$V$26,5,0)</f>
        <v>4.3357970051944063E-3</v>
      </c>
      <c r="N46" s="127">
        <f t="shared" si="4"/>
        <v>8997023.402340252</v>
      </c>
      <c r="O46" s="127">
        <f t="shared" si="5"/>
        <v>49510106.941173792</v>
      </c>
      <c r="Q46" s="130">
        <f t="shared" si="6"/>
        <v>0</v>
      </c>
    </row>
    <row r="47" spans="1:17" x14ac:dyDescent="0.25">
      <c r="A47" s="29" t="s">
        <v>43</v>
      </c>
      <c r="B47" s="29" t="s">
        <v>474</v>
      </c>
      <c r="C47" s="29" t="s">
        <v>343</v>
      </c>
      <c r="D47" s="29" t="s">
        <v>554</v>
      </c>
      <c r="E47" s="29" t="s">
        <v>555</v>
      </c>
      <c r="F47" s="30">
        <v>620179925.57999992</v>
      </c>
      <c r="G47" s="31">
        <v>5.8446855751816136E-2</v>
      </c>
      <c r="H47" s="30">
        <v>5125678.1310825814</v>
      </c>
      <c r="I47" s="30">
        <v>31121888.51946374</v>
      </c>
      <c r="J47" s="125">
        <f t="shared" si="7"/>
        <v>36247566.65054632</v>
      </c>
      <c r="K47" s="53" t="s">
        <v>84</v>
      </c>
      <c r="L47" s="109" t="s">
        <v>84</v>
      </c>
      <c r="M47" s="126">
        <f>VLOOKUP(L47,'РейтPD FRED Graph'!$R$4:$V$26,5,0)</f>
        <v>1.3492957532832712E-2</v>
      </c>
      <c r="N47" s="127">
        <f t="shared" si="4"/>
        <v>8368061.3985662907</v>
      </c>
      <c r="O47" s="127">
        <f t="shared" si="5"/>
        <v>44615628.049112611</v>
      </c>
      <c r="Q47" s="130">
        <f t="shared" si="6"/>
        <v>0</v>
      </c>
    </row>
    <row r="48" spans="1:17" x14ac:dyDescent="0.25">
      <c r="A48" s="29" t="s">
        <v>43</v>
      </c>
      <c r="B48" s="29" t="s">
        <v>474</v>
      </c>
      <c r="C48" s="29" t="s">
        <v>149</v>
      </c>
      <c r="D48" s="29" t="s">
        <v>556</v>
      </c>
      <c r="E48" s="29" t="s">
        <v>557</v>
      </c>
      <c r="F48" s="30">
        <v>1441009468.1900001</v>
      </c>
      <c r="G48" s="31">
        <v>1.1251749446175052E-2</v>
      </c>
      <c r="H48" s="30">
        <v>1352089.7579554019</v>
      </c>
      <c r="I48" s="30">
        <v>14861787.727684436</v>
      </c>
      <c r="J48" s="125">
        <f t="shared" si="7"/>
        <v>16213877.485639839</v>
      </c>
      <c r="K48" s="53" t="s">
        <v>76</v>
      </c>
      <c r="L48" s="109" t="s">
        <v>76</v>
      </c>
      <c r="M48" s="126">
        <f>VLOOKUP(L48,'РейтPD FRED Graph'!$R$4:$V$26,5,0)</f>
        <v>1.4695142889074914E-3</v>
      </c>
      <c r="N48" s="127">
        <f t="shared" si="4"/>
        <v>2117584.0039561903</v>
      </c>
      <c r="O48" s="127">
        <f t="shared" si="5"/>
        <v>18331461.489596028</v>
      </c>
      <c r="Q48" s="130">
        <f t="shared" si="6"/>
        <v>0</v>
      </c>
    </row>
    <row r="49" spans="1:17" x14ac:dyDescent="0.25">
      <c r="A49" s="29" t="s">
        <v>43</v>
      </c>
      <c r="B49" s="29" t="s">
        <v>474</v>
      </c>
      <c r="C49" s="29" t="s">
        <v>203</v>
      </c>
      <c r="D49" s="29" t="s">
        <v>558</v>
      </c>
      <c r="E49" s="29" t="s">
        <v>559</v>
      </c>
      <c r="F49" s="30">
        <v>1504553036.6099999</v>
      </c>
      <c r="G49" s="31">
        <v>1.1251749446175052E-2</v>
      </c>
      <c r="H49" s="30">
        <v>1411712.2725475766</v>
      </c>
      <c r="I49" s="30">
        <v>15517141.523869982</v>
      </c>
      <c r="J49" s="125">
        <f t="shared" si="7"/>
        <v>16928853.79641756</v>
      </c>
      <c r="K49" s="53" t="s">
        <v>76</v>
      </c>
      <c r="L49" s="109" t="s">
        <v>76</v>
      </c>
      <c r="M49" s="126">
        <f>VLOOKUP(L49,'РейтPD FRED Graph'!$R$4:$V$26,5,0)</f>
        <v>1.4695142889074914E-3</v>
      </c>
      <c r="N49" s="127">
        <f t="shared" si="4"/>
        <v>2210962.1857175506</v>
      </c>
      <c r="O49" s="127">
        <f t="shared" si="5"/>
        <v>19139815.98213511</v>
      </c>
      <c r="Q49" s="130">
        <f t="shared" si="6"/>
        <v>1.862645149230957E-9</v>
      </c>
    </row>
    <row r="50" spans="1:17" x14ac:dyDescent="0.25">
      <c r="A50" s="29" t="s">
        <v>43</v>
      </c>
      <c r="B50" s="29" t="s">
        <v>474</v>
      </c>
      <c r="C50" s="29" t="s">
        <v>147</v>
      </c>
      <c r="D50" s="29" t="s">
        <v>560</v>
      </c>
      <c r="E50" s="29" t="s">
        <v>561</v>
      </c>
      <c r="F50" s="30">
        <v>305154253.25</v>
      </c>
      <c r="G50" s="31">
        <v>3.4001839416633144E-2</v>
      </c>
      <c r="H50" s="30">
        <v>1043483.094397485</v>
      </c>
      <c r="I50" s="30">
        <v>9332322.8219116163</v>
      </c>
      <c r="J50" s="125">
        <f t="shared" si="7"/>
        <v>10375805.916309103</v>
      </c>
      <c r="K50" s="53" t="s">
        <v>80</v>
      </c>
      <c r="L50" s="109" t="s">
        <v>80</v>
      </c>
      <c r="M50" s="126">
        <f>VLOOKUP(L50,'РейтPD FRED Graph'!$R$4:$V$26,5,0)</f>
        <v>4.3357970051944063E-3</v>
      </c>
      <c r="N50" s="127">
        <f t="shared" si="4"/>
        <v>1323086.8973636853</v>
      </c>
      <c r="O50" s="127">
        <f t="shared" si="5"/>
        <v>11698892.813672788</v>
      </c>
      <c r="Q50" s="130">
        <f t="shared" si="6"/>
        <v>2.0954757928848267E-9</v>
      </c>
    </row>
    <row r="51" spans="1:17" x14ac:dyDescent="0.25">
      <c r="A51" s="29" t="s">
        <v>43</v>
      </c>
      <c r="B51" s="29" t="s">
        <v>474</v>
      </c>
      <c r="C51" s="29" t="s">
        <v>157</v>
      </c>
      <c r="D51" s="29" t="s">
        <v>562</v>
      </c>
      <c r="E51" s="29" t="s">
        <v>563</v>
      </c>
      <c r="F51" s="30">
        <v>1310335000</v>
      </c>
      <c r="G51" s="31">
        <v>8.0153318744730778E-3</v>
      </c>
      <c r="H51" s="30">
        <v>795551.32691212255</v>
      </c>
      <c r="I51" s="30">
        <v>9707218.564825559</v>
      </c>
      <c r="J51" s="125">
        <f t="shared" si="7"/>
        <v>10502769.891737681</v>
      </c>
      <c r="K51" s="53" t="s">
        <v>72</v>
      </c>
      <c r="L51" s="109" t="s">
        <v>72</v>
      </c>
      <c r="M51" s="126">
        <f>VLOOKUP(L51,'РейтPD FRED Graph'!$R$4:$V$26,5,0)</f>
        <v>6.5287474728778212E-4</v>
      </c>
      <c r="N51" s="127">
        <f t="shared" si="4"/>
        <v>855484.63198733598</v>
      </c>
      <c r="O51" s="127">
        <f t="shared" si="5"/>
        <v>11358254.523725016</v>
      </c>
      <c r="Q51" s="130">
        <f t="shared" si="6"/>
        <v>0</v>
      </c>
    </row>
    <row r="52" spans="1:17" x14ac:dyDescent="0.25">
      <c r="A52" s="29" t="s">
        <v>43</v>
      </c>
      <c r="B52" s="29" t="s">
        <v>474</v>
      </c>
      <c r="C52" s="29" t="s">
        <v>140</v>
      </c>
      <c r="D52" s="29" t="s">
        <v>564</v>
      </c>
      <c r="E52" s="29" t="s">
        <v>565</v>
      </c>
      <c r="F52" s="30">
        <v>638726444.88999999</v>
      </c>
      <c r="G52" s="31">
        <v>5.8446855751816136E-2</v>
      </c>
      <c r="H52" s="30">
        <v>5278961.8549084757</v>
      </c>
      <c r="I52" s="30">
        <v>32052590.534447692</v>
      </c>
      <c r="J52" s="125">
        <f t="shared" si="7"/>
        <v>37331552.389356166</v>
      </c>
      <c r="K52" s="53" t="s">
        <v>84</v>
      </c>
      <c r="L52" s="109" t="s">
        <v>84</v>
      </c>
      <c r="M52" s="126">
        <f>VLOOKUP(L52,'РейтPD FRED Graph'!$R$4:$V$26,5,0)</f>
        <v>1.3492957532832712E-2</v>
      </c>
      <c r="N52" s="127">
        <f t="shared" si="4"/>
        <v>8618308.7959979828</v>
      </c>
      <c r="O52" s="127">
        <f t="shared" si="5"/>
        <v>45949861.185354151</v>
      </c>
      <c r="Q52" s="130">
        <f t="shared" si="6"/>
        <v>0</v>
      </c>
    </row>
    <row r="53" spans="1:17" x14ac:dyDescent="0.25">
      <c r="A53" s="29" t="s">
        <v>43</v>
      </c>
      <c r="B53" s="29" t="s">
        <v>474</v>
      </c>
      <c r="C53" s="29" t="s">
        <v>162</v>
      </c>
      <c r="D53" s="29" t="s">
        <v>566</v>
      </c>
      <c r="E53" s="29" t="s">
        <v>567</v>
      </c>
      <c r="F53" s="30">
        <v>166143858.80000001</v>
      </c>
      <c r="G53" s="31">
        <v>2.5501379562474856E-2</v>
      </c>
      <c r="H53" s="30">
        <v>426100.01183662721</v>
      </c>
      <c r="I53" s="30">
        <v>3810797.593396401</v>
      </c>
      <c r="J53" s="125">
        <f t="shared" si="7"/>
        <v>4236897.6052330285</v>
      </c>
      <c r="K53" s="53" t="s">
        <v>80</v>
      </c>
      <c r="L53" s="109" t="s">
        <v>80</v>
      </c>
      <c r="M53" s="126">
        <f>VLOOKUP(L53,'РейтPD FRED Graph'!$R$4:$V$26,5,0)</f>
        <v>4.3357970051944063E-3</v>
      </c>
      <c r="N53" s="127">
        <f t="shared" si="4"/>
        <v>720366.04541648238</v>
      </c>
      <c r="O53" s="127">
        <f t="shared" si="5"/>
        <v>4957263.6506495113</v>
      </c>
      <c r="Q53" s="130">
        <f t="shared" si="6"/>
        <v>0</v>
      </c>
    </row>
    <row r="54" spans="1:17" x14ac:dyDescent="0.25">
      <c r="A54" s="29" t="s">
        <v>43</v>
      </c>
      <c r="B54" s="29" t="s">
        <v>474</v>
      </c>
      <c r="C54" s="29" t="s">
        <v>163</v>
      </c>
      <c r="D54" s="29" t="s">
        <v>568</v>
      </c>
      <c r="E54" s="29" t="s">
        <v>569</v>
      </c>
      <c r="F54" s="30">
        <v>1037269218.1799999</v>
      </c>
      <c r="G54" s="31">
        <v>1.1251749446175052E-2</v>
      </c>
      <c r="H54" s="30">
        <v>973262.92234928266</v>
      </c>
      <c r="I54" s="30">
        <v>10697830.428841962</v>
      </c>
      <c r="J54" s="125">
        <f t="shared" si="7"/>
        <v>11671093.351191243</v>
      </c>
      <c r="K54" s="53" t="s">
        <v>76</v>
      </c>
      <c r="L54" s="109" t="s">
        <v>78</v>
      </c>
      <c r="M54" s="126">
        <f>VLOOKUP(L54,'РейтPD FRED Graph'!$R$4:$V$26,5,0)</f>
        <v>3.0349077055335737E-3</v>
      </c>
      <c r="N54" s="127">
        <f t="shared" si="4"/>
        <v>3148016.3429672676</v>
      </c>
      <c r="O54" s="127">
        <f t="shared" si="5"/>
        <v>14819109.694158511</v>
      </c>
      <c r="Q54" s="130">
        <f t="shared" si="6"/>
        <v>-1.0477378964424133E-9</v>
      </c>
    </row>
    <row r="55" spans="1:17" x14ac:dyDescent="0.25">
      <c r="A55" s="29" t="s">
        <v>43</v>
      </c>
      <c r="B55" s="29" t="s">
        <v>474</v>
      </c>
      <c r="C55" s="29" t="s">
        <v>233</v>
      </c>
      <c r="D55" s="29" t="s">
        <v>570</v>
      </c>
      <c r="E55" s="29" t="s">
        <v>571</v>
      </c>
      <c r="F55" s="30">
        <v>314119752.55000001</v>
      </c>
      <c r="G55" s="31">
        <v>2.5501379562474856E-2</v>
      </c>
      <c r="H55" s="30">
        <v>805605.64348511084</v>
      </c>
      <c r="I55" s="30">
        <v>7204881.3943631183</v>
      </c>
      <c r="J55" s="125">
        <f t="shared" si="7"/>
        <v>8010487.0378482295</v>
      </c>
      <c r="K55" s="53" t="s">
        <v>80</v>
      </c>
      <c r="L55" s="109" t="s">
        <v>80</v>
      </c>
      <c r="M55" s="126">
        <f>VLOOKUP(L55,'РейтPD FRED Graph'!$R$4:$V$26,5,0)</f>
        <v>4.3357970051944063E-3</v>
      </c>
      <c r="N55" s="127">
        <f t="shared" si="4"/>
        <v>1361959.482378698</v>
      </c>
      <c r="O55" s="127">
        <f t="shared" si="5"/>
        <v>9372446.5202269275</v>
      </c>
      <c r="Q55" s="130">
        <f t="shared" si="6"/>
        <v>0</v>
      </c>
    </row>
    <row r="56" spans="1:17" x14ac:dyDescent="0.25">
      <c r="A56" s="29" t="s">
        <v>43</v>
      </c>
      <c r="B56" s="29" t="s">
        <v>474</v>
      </c>
      <c r="C56" s="29" t="s">
        <v>233</v>
      </c>
      <c r="D56" s="29" t="s">
        <v>572</v>
      </c>
      <c r="E56" s="29" t="s">
        <v>573</v>
      </c>
      <c r="F56" s="30">
        <v>209606911.30000001</v>
      </c>
      <c r="G56" s="31">
        <v>2.5501379562474856E-2</v>
      </c>
      <c r="H56" s="30">
        <v>537567.31082960055</v>
      </c>
      <c r="I56" s="30">
        <v>4807698.0931496993</v>
      </c>
      <c r="J56" s="125">
        <f t="shared" si="7"/>
        <v>5345265.4039793005</v>
      </c>
      <c r="K56" s="53" t="s">
        <v>80</v>
      </c>
      <c r="L56" s="109" t="s">
        <v>80</v>
      </c>
      <c r="M56" s="126">
        <f>VLOOKUP(L56,'РейтPD FRED Graph'!$R$4:$V$26,5,0)</f>
        <v>4.3357970051944063E-3</v>
      </c>
      <c r="N56" s="127">
        <f t="shared" si="4"/>
        <v>908813.01828258962</v>
      </c>
      <c r="O56" s="127">
        <f t="shared" si="5"/>
        <v>6254078.42226189</v>
      </c>
      <c r="Q56" s="130">
        <f t="shared" si="6"/>
        <v>0</v>
      </c>
    </row>
    <row r="57" spans="1:17" x14ac:dyDescent="0.25">
      <c r="A57" s="29" t="s">
        <v>43</v>
      </c>
      <c r="B57" s="29" t="s">
        <v>474</v>
      </c>
      <c r="C57" s="29" t="s">
        <v>146</v>
      </c>
      <c r="D57" s="29" t="s">
        <v>574</v>
      </c>
      <c r="E57" s="29" t="s">
        <v>575</v>
      </c>
      <c r="F57" s="30">
        <v>955409000</v>
      </c>
      <c r="G57" s="31">
        <v>2.6031795691180044E-2</v>
      </c>
      <c r="H57" s="30">
        <v>2327914.0499809715</v>
      </c>
      <c r="I57" s="30">
        <v>22543097.839533664</v>
      </c>
      <c r="J57" s="125">
        <f t="shared" si="7"/>
        <v>24871011.889514633</v>
      </c>
      <c r="K57" s="53" t="s">
        <v>78</v>
      </c>
      <c r="L57" s="109" t="s">
        <v>80</v>
      </c>
      <c r="M57" s="126">
        <f>VLOOKUP(L57,'РейтPD FRED Graph'!$R$4:$V$26,5,0)</f>
        <v>4.3357970051944063E-3</v>
      </c>
      <c r="N57" s="127">
        <f t="shared" si="4"/>
        <v>4142459.4809357827</v>
      </c>
      <c r="O57" s="127">
        <f t="shared" si="5"/>
        <v>29013471.370450415</v>
      </c>
      <c r="Q57" s="130">
        <f t="shared" si="6"/>
        <v>0</v>
      </c>
    </row>
    <row r="58" spans="1:17" x14ac:dyDescent="0.25">
      <c r="A58" s="29" t="s">
        <v>43</v>
      </c>
      <c r="B58" s="29" t="s">
        <v>474</v>
      </c>
      <c r="C58" s="29" t="s">
        <v>591</v>
      </c>
      <c r="D58" s="29" t="s">
        <v>576</v>
      </c>
      <c r="E58" s="29" t="s">
        <v>577</v>
      </c>
      <c r="F58" s="30">
        <v>316293733.49000001</v>
      </c>
      <c r="G58" s="31">
        <v>1.1251749446175052E-2</v>
      </c>
      <c r="H58" s="30">
        <v>296776.34116760502</v>
      </c>
      <c r="I58" s="30">
        <v>3262081.4994571419</v>
      </c>
      <c r="J58" s="125">
        <f t="shared" si="7"/>
        <v>3558857.8406247469</v>
      </c>
      <c r="K58" s="53" t="s">
        <v>76</v>
      </c>
      <c r="L58" s="109" t="s">
        <v>78</v>
      </c>
      <c r="M58" s="126">
        <f>VLOOKUP(L58,'РейтPD FRED Graph'!$R$4:$V$26,5,0)</f>
        <v>3.0349077055335737E-3</v>
      </c>
      <c r="N58" s="127">
        <f t="shared" si="4"/>
        <v>959922.28898078355</v>
      </c>
      <c r="O58" s="127">
        <f t="shared" si="5"/>
        <v>4518780.1296055308</v>
      </c>
      <c r="Q58" s="130">
        <f t="shared" si="6"/>
        <v>0</v>
      </c>
    </row>
    <row r="59" spans="1:17" x14ac:dyDescent="0.25">
      <c r="A59" s="29" t="s">
        <v>43</v>
      </c>
      <c r="B59" s="29" t="s">
        <v>453</v>
      </c>
      <c r="C59" s="29" t="s">
        <v>164</v>
      </c>
      <c r="D59" s="29" t="s">
        <v>578</v>
      </c>
      <c r="E59" s="29" t="s">
        <v>579</v>
      </c>
      <c r="F59" s="30">
        <v>767832929.51999998</v>
      </c>
      <c r="G59" s="31">
        <v>1.1251749446175052E-2</v>
      </c>
      <c r="H59" s="30">
        <v>720452.61515797197</v>
      </c>
      <c r="I59" s="30">
        <v>7919011.1243236559</v>
      </c>
      <c r="J59" s="125">
        <f t="shared" si="7"/>
        <v>8639463.7394816279</v>
      </c>
      <c r="K59" s="53" t="s">
        <v>76</v>
      </c>
      <c r="L59" s="109" t="s">
        <v>78</v>
      </c>
      <c r="M59" s="126">
        <f>VLOOKUP(L59,'РейтPD FRED Graph'!$R$4:$V$26,5,0)</f>
        <v>3.0349077055335737E-3</v>
      </c>
      <c r="N59" s="127">
        <f t="shared" si="4"/>
        <v>2330302.0743626654</v>
      </c>
      <c r="O59" s="127">
        <f t="shared" si="5"/>
        <v>10969765.813844293</v>
      </c>
      <c r="Q59" s="130">
        <f t="shared" si="6"/>
        <v>0</v>
      </c>
    </row>
    <row r="60" spans="1:17" x14ac:dyDescent="0.25">
      <c r="A60" s="29" t="s">
        <v>475</v>
      </c>
      <c r="B60" s="29" t="s">
        <v>473</v>
      </c>
      <c r="C60" s="29" t="s">
        <v>138</v>
      </c>
      <c r="D60" s="29" t="s">
        <v>480</v>
      </c>
      <c r="E60" s="29" t="s">
        <v>481</v>
      </c>
      <c r="F60" s="30">
        <v>650829344</v>
      </c>
      <c r="G60" s="31">
        <v>5.1385680228367002E-2</v>
      </c>
      <c r="H60" s="30">
        <v>3876077.6347474628</v>
      </c>
      <c r="I60" s="30">
        <v>29567230.919274405</v>
      </c>
      <c r="J60" s="125">
        <f t="shared" si="7"/>
        <v>33443308.554021865</v>
      </c>
      <c r="K60" s="53" t="s">
        <v>82</v>
      </c>
      <c r="L60" s="109" t="s">
        <v>84</v>
      </c>
      <c r="M60" s="126">
        <f>VLOOKUP(L60,'РейтPD FRED Graph'!$R$4:$V$26,5,0)</f>
        <v>1.3492957532832712E-2</v>
      </c>
      <c r="N60" s="127">
        <f t="shared" si="4"/>
        <v>8781612.6997133717</v>
      </c>
      <c r="O60" s="127">
        <f t="shared" si="5"/>
        <v>42224921.253735237</v>
      </c>
      <c r="Q60" s="130">
        <f t="shared" si="6"/>
        <v>0</v>
      </c>
    </row>
    <row r="61" spans="1:17" x14ac:dyDescent="0.25">
      <c r="A61" s="29" t="s">
        <v>475</v>
      </c>
      <c r="B61" s="29" t="s">
        <v>473</v>
      </c>
      <c r="C61" s="29" t="s">
        <v>592</v>
      </c>
      <c r="D61" s="29" t="s">
        <v>580</v>
      </c>
      <c r="E61" s="29" t="s">
        <v>519</v>
      </c>
      <c r="F61" s="30">
        <v>720104997.77999997</v>
      </c>
      <c r="G61" s="31">
        <v>5.1385680228367002E-2</v>
      </c>
      <c r="H61" s="30">
        <v>4288655.5474132542</v>
      </c>
      <c r="I61" s="30">
        <v>32714429.599358756</v>
      </c>
      <c r="J61" s="125">
        <f t="shared" si="7"/>
        <v>37003085.146772005</v>
      </c>
      <c r="K61" s="53" t="s">
        <v>82</v>
      </c>
      <c r="L61" s="109" t="s">
        <v>84</v>
      </c>
      <c r="M61" s="126">
        <f>VLOOKUP(L61,'РейтPD FRED Graph'!$R$4:$V$26,5,0)</f>
        <v>1.3492957532832712E-2</v>
      </c>
      <c r="N61" s="127">
        <f t="shared" si="4"/>
        <v>9716346.1542261336</v>
      </c>
      <c r="O61" s="127">
        <f t="shared" si="5"/>
        <v>46719431.300998136</v>
      </c>
      <c r="Q61" s="130">
        <f t="shared" si="6"/>
        <v>0</v>
      </c>
    </row>
    <row r="62" spans="1:17" x14ac:dyDescent="0.25">
      <c r="A62" s="29" t="s">
        <v>475</v>
      </c>
      <c r="B62" s="29" t="s">
        <v>473</v>
      </c>
      <c r="C62" s="29" t="s">
        <v>592</v>
      </c>
      <c r="D62" s="29" t="s">
        <v>580</v>
      </c>
      <c r="E62" s="29" t="s">
        <v>581</v>
      </c>
      <c r="F62" s="30">
        <v>82500366.539999992</v>
      </c>
      <c r="G62" s="31">
        <v>5.1385680228367002E-2</v>
      </c>
      <c r="H62" s="30">
        <v>491338.97933797201</v>
      </c>
      <c r="I62" s="30">
        <v>3747998.474409536</v>
      </c>
      <c r="J62" s="125">
        <f t="shared" si="7"/>
        <v>4239337.4537475081</v>
      </c>
      <c r="K62" s="53" t="s">
        <v>82</v>
      </c>
      <c r="L62" s="109" t="s">
        <v>84</v>
      </c>
      <c r="M62" s="126">
        <f>VLOOKUP(L62,'РейтPD FRED Graph'!$R$4:$V$26,5,0)</f>
        <v>1.3492957532832712E-2</v>
      </c>
      <c r="N62" s="127">
        <f t="shared" si="4"/>
        <v>1113173.9421673527</v>
      </c>
      <c r="O62" s="127">
        <f t="shared" si="5"/>
        <v>5352511.395914861</v>
      </c>
      <c r="Q62" s="130">
        <f t="shared" si="6"/>
        <v>0</v>
      </c>
    </row>
    <row r="63" spans="1:17" x14ac:dyDescent="0.25">
      <c r="A63" s="29" t="s">
        <v>475</v>
      </c>
      <c r="B63" s="29" t="s">
        <v>473</v>
      </c>
      <c r="C63" s="29" t="s">
        <v>146</v>
      </c>
      <c r="D63" s="29" t="s">
        <v>492</v>
      </c>
      <c r="E63" s="29" t="s">
        <v>493</v>
      </c>
      <c r="F63" s="30">
        <v>769842532.11899996</v>
      </c>
      <c r="G63" s="31">
        <v>2.6031795691180044E-2</v>
      </c>
      <c r="H63" s="30">
        <v>1875769.693181399</v>
      </c>
      <c r="I63" s="30">
        <v>18164613.817321118</v>
      </c>
      <c r="J63" s="125">
        <f t="shared" si="7"/>
        <v>20040383.510502517</v>
      </c>
      <c r="K63" s="53" t="s">
        <v>78</v>
      </c>
      <c r="L63" s="109" t="s">
        <v>80</v>
      </c>
      <c r="M63" s="126">
        <f>VLOOKUP(L63,'РейтPD FRED Graph'!$R$4:$V$26,5,0)</f>
        <v>4.3357970051944063E-3</v>
      </c>
      <c r="N63" s="127">
        <f t="shared" si="4"/>
        <v>3337880.9452328384</v>
      </c>
      <c r="O63" s="127">
        <f t="shared" si="5"/>
        <v>23378264.455735356</v>
      </c>
      <c r="Q63" s="130">
        <f t="shared" si="6"/>
        <v>0</v>
      </c>
    </row>
    <row r="64" spans="1:17" x14ac:dyDescent="0.25">
      <c r="A64" s="29" t="s">
        <v>475</v>
      </c>
      <c r="B64" s="29" t="s">
        <v>473</v>
      </c>
      <c r="C64" s="29" t="s">
        <v>139</v>
      </c>
      <c r="D64" s="29" t="s">
        <v>582</v>
      </c>
      <c r="E64" s="29" t="s">
        <v>521</v>
      </c>
      <c r="F64" s="30">
        <v>311136453</v>
      </c>
      <c r="G64" s="31">
        <v>5.1385680228367002E-2</v>
      </c>
      <c r="H64" s="30">
        <v>1853003.4915388743</v>
      </c>
      <c r="I64" s="30">
        <v>14134954.789707465</v>
      </c>
      <c r="J64" s="125">
        <f t="shared" si="7"/>
        <v>15987958.281246338</v>
      </c>
      <c r="K64" s="53" t="s">
        <v>82</v>
      </c>
      <c r="L64" s="109" t="s">
        <v>84</v>
      </c>
      <c r="M64" s="126">
        <f>VLOOKUP(L64,'РейтPD FRED Graph'!$R$4:$V$26,5,0)</f>
        <v>1.3492957532832712E-2</v>
      </c>
      <c r="N64" s="127">
        <f t="shared" si="4"/>
        <v>4198150.9472452011</v>
      </c>
      <c r="O64" s="127">
        <f t="shared" si="5"/>
        <v>20186109.228491537</v>
      </c>
      <c r="Q64" s="130">
        <f t="shared" si="6"/>
        <v>0</v>
      </c>
    </row>
    <row r="65" spans="1:17" x14ac:dyDescent="0.25">
      <c r="A65" s="29" t="s">
        <v>475</v>
      </c>
      <c r="B65" s="29" t="s">
        <v>473</v>
      </c>
      <c r="C65" s="29" t="s">
        <v>106</v>
      </c>
      <c r="D65" s="29" t="s">
        <v>583</v>
      </c>
      <c r="E65" s="29" t="s">
        <v>584</v>
      </c>
      <c r="F65" s="30">
        <v>196352462.1135</v>
      </c>
      <c r="G65" s="31">
        <v>9.50871484676836E-3</v>
      </c>
      <c r="H65" s="30">
        <v>151275.07285019133</v>
      </c>
      <c r="I65" s="30">
        <v>1715784.4988479682</v>
      </c>
      <c r="J65" s="125">
        <f t="shared" si="7"/>
        <v>1867059.5716981594</v>
      </c>
      <c r="K65" s="53" t="s">
        <v>74</v>
      </c>
      <c r="L65" s="109" t="s">
        <v>76</v>
      </c>
      <c r="M65" s="126">
        <f>VLOOKUP(L65,'РейтPD FRED Graph'!$R$4:$V$26,5,0)</f>
        <v>1.4695142889074914E-3</v>
      </c>
      <c r="N65" s="127">
        <f t="shared" si="4"/>
        <v>288542.74873795512</v>
      </c>
      <c r="O65" s="127">
        <f t="shared" si="5"/>
        <v>2155602.3204361144</v>
      </c>
      <c r="Q65" s="130">
        <f t="shared" si="6"/>
        <v>0</v>
      </c>
    </row>
    <row r="66" spans="1:17" x14ac:dyDescent="0.25">
      <c r="A66" s="29" t="s">
        <v>475</v>
      </c>
      <c r="B66" s="29" t="s">
        <v>473</v>
      </c>
      <c r="C66" s="29" t="s">
        <v>134</v>
      </c>
      <c r="D66" s="29" t="s">
        <v>585</v>
      </c>
      <c r="E66" s="29" t="s">
        <v>586</v>
      </c>
      <c r="F66" s="30">
        <v>116199245.38499999</v>
      </c>
      <c r="G66" s="31">
        <v>2.5501379562474856E-2</v>
      </c>
      <c r="H66" s="30">
        <v>298009.81024256576</v>
      </c>
      <c r="I66" s="30">
        <v>2665231.2511934736</v>
      </c>
      <c r="J66" s="125">
        <f t="shared" si="7"/>
        <v>2963241.0614360394</v>
      </c>
      <c r="K66" s="53" t="s">
        <v>80</v>
      </c>
      <c r="L66" s="109" t="s">
        <v>82</v>
      </c>
      <c r="M66" s="126">
        <f>VLOOKUP(L66,'РейтPD FRED Graph'!$R$4:$V$26,5,0)</f>
        <v>7.5903936638634425E-3</v>
      </c>
      <c r="N66" s="127">
        <f t="shared" ref="N66:N67" si="8">M66*F66</f>
        <v>881998.01591601723</v>
      </c>
      <c r="O66" s="127">
        <f t="shared" ref="O66:O67" si="9">N66+J66</f>
        <v>3845239.0773520567</v>
      </c>
      <c r="Q66" s="130">
        <f t="shared" si="6"/>
        <v>0</v>
      </c>
    </row>
    <row r="67" spans="1:17" x14ac:dyDescent="0.25">
      <c r="A67" s="29" t="s">
        <v>475</v>
      </c>
      <c r="B67" s="29" t="s">
        <v>473</v>
      </c>
      <c r="C67" s="29" t="s">
        <v>134</v>
      </c>
      <c r="D67" s="29" t="s">
        <v>587</v>
      </c>
      <c r="E67" s="29" t="s">
        <v>588</v>
      </c>
      <c r="F67" s="30">
        <v>350879819.83965003</v>
      </c>
      <c r="G67" s="31">
        <v>2.5501379562474856E-2</v>
      </c>
      <c r="H67" s="30">
        <v>899882.16517159936</v>
      </c>
      <c r="I67" s="30">
        <v>8048037.3013721108</v>
      </c>
      <c r="J67" s="125">
        <f t="shared" si="7"/>
        <v>8947919.4665437117</v>
      </c>
      <c r="K67" s="53" t="s">
        <v>80</v>
      </c>
      <c r="L67" s="109" t="s">
        <v>82</v>
      </c>
      <c r="M67" s="126">
        <f>VLOOKUP(L67,'РейтPD FRED Graph'!$R$4:$V$26,5,0)</f>
        <v>7.5903936638634425E-3</v>
      </c>
      <c r="N67" s="127">
        <f t="shared" si="8"/>
        <v>2663315.9612884261</v>
      </c>
      <c r="O67" s="127">
        <f t="shared" si="9"/>
        <v>11611235.427832138</v>
      </c>
      <c r="Q67" s="130">
        <f t="shared" si="6"/>
        <v>1.5133991837501526E-9</v>
      </c>
    </row>
    <row r="68" spans="1:17" x14ac:dyDescent="0.25">
      <c r="A68" s="29"/>
      <c r="B68" s="29"/>
      <c r="C68" s="29"/>
      <c r="D68" s="29"/>
      <c r="E68" s="29"/>
      <c r="F68" s="30"/>
      <c r="G68" s="31"/>
      <c r="H68" s="30"/>
      <c r="I68" s="30"/>
      <c r="J68" s="30"/>
      <c r="K68" s="53"/>
      <c r="L68" s="109"/>
      <c r="M68" s="30"/>
      <c r="N68" s="30"/>
      <c r="O68" s="30"/>
      <c r="Q68" s="130">
        <f t="shared" si="6"/>
        <v>0</v>
      </c>
    </row>
    <row r="69" spans="1:17" x14ac:dyDescent="0.25">
      <c r="A69" s="29"/>
      <c r="B69" s="29"/>
      <c r="C69" s="29"/>
      <c r="D69" s="29"/>
      <c r="E69" s="29"/>
      <c r="F69" s="30"/>
      <c r="G69" s="31"/>
      <c r="H69" s="30"/>
      <c r="I69" s="30"/>
      <c r="J69" s="30"/>
      <c r="K69" s="53"/>
      <c r="L69" s="109"/>
      <c r="M69" s="30"/>
      <c r="N69" s="30"/>
      <c r="O69" s="30"/>
      <c r="Q69" s="130">
        <f t="shared" si="6"/>
        <v>0</v>
      </c>
    </row>
    <row r="70" spans="1:17" x14ac:dyDescent="0.25">
      <c r="A70" s="29"/>
      <c r="B70" s="29"/>
      <c r="C70" s="29"/>
      <c r="D70" s="29"/>
      <c r="E70" s="29"/>
      <c r="F70" s="30"/>
      <c r="G70" s="31"/>
      <c r="H70" s="30"/>
      <c r="I70" s="30"/>
      <c r="J70" s="30"/>
      <c r="K70" s="53"/>
      <c r="L70" s="109"/>
      <c r="M70" s="30"/>
      <c r="N70" s="30"/>
      <c r="O70" s="30"/>
      <c r="Q70" s="130">
        <f t="shared" si="6"/>
        <v>0</v>
      </c>
    </row>
    <row r="71" spans="1:17" x14ac:dyDescent="0.25">
      <c r="A71" s="29"/>
      <c r="B71" s="29"/>
      <c r="C71" s="29"/>
      <c r="D71" s="29"/>
      <c r="E71" s="29"/>
      <c r="F71" s="30"/>
      <c r="G71" s="31"/>
      <c r="H71" s="30"/>
      <c r="I71" s="30"/>
      <c r="J71" s="30"/>
      <c r="K71" s="53"/>
      <c r="L71" s="110"/>
      <c r="M71" s="30"/>
      <c r="N71" s="30"/>
      <c r="O71" s="30"/>
      <c r="Q71" s="130">
        <f t="shared" si="6"/>
        <v>0</v>
      </c>
    </row>
    <row r="72" spans="1:17" x14ac:dyDescent="0.25">
      <c r="A72" s="29"/>
      <c r="B72" s="29"/>
      <c r="C72" s="29"/>
      <c r="D72" s="29"/>
      <c r="E72" s="29"/>
      <c r="F72" s="30"/>
      <c r="G72" s="31"/>
      <c r="H72" s="30"/>
      <c r="I72" s="30"/>
      <c r="J72" s="30"/>
      <c r="K72" s="53"/>
      <c r="L72" s="109"/>
      <c r="M72" s="30"/>
      <c r="N72" s="30"/>
      <c r="O72" s="30"/>
      <c r="Q72" s="130">
        <f t="shared" si="6"/>
        <v>0</v>
      </c>
    </row>
    <row r="73" spans="1:17" x14ac:dyDescent="0.25">
      <c r="A73" s="29"/>
      <c r="B73" s="29"/>
      <c r="C73" s="29"/>
      <c r="D73" s="29"/>
      <c r="E73" s="29"/>
      <c r="F73" s="30"/>
      <c r="G73" s="31"/>
      <c r="H73" s="30"/>
      <c r="I73" s="30"/>
      <c r="J73" s="30"/>
      <c r="K73" s="53"/>
      <c r="L73" s="109"/>
      <c r="M73" s="30"/>
      <c r="N73" s="30"/>
      <c r="O73" s="30"/>
      <c r="Q73" s="130">
        <f t="shared" ref="Q73:Q100" si="10">J73-I73-H73</f>
        <v>0</v>
      </c>
    </row>
    <row r="74" spans="1:17" x14ac:dyDescent="0.25">
      <c r="A74" s="29"/>
      <c r="B74" s="29"/>
      <c r="C74" s="29"/>
      <c r="D74" s="29"/>
      <c r="E74" s="29"/>
      <c r="F74" s="30"/>
      <c r="G74" s="31"/>
      <c r="H74" s="30"/>
      <c r="I74" s="30"/>
      <c r="J74" s="30"/>
      <c r="K74" s="53"/>
      <c r="L74" s="109"/>
      <c r="M74" s="30"/>
      <c r="N74" s="30"/>
      <c r="O74" s="30"/>
      <c r="Q74" s="130">
        <f t="shared" si="10"/>
        <v>0</v>
      </c>
    </row>
    <row r="75" spans="1:17" x14ac:dyDescent="0.25">
      <c r="A75" s="29"/>
      <c r="B75" s="29"/>
      <c r="C75" s="29"/>
      <c r="D75" s="29"/>
      <c r="E75" s="29"/>
      <c r="F75" s="30"/>
      <c r="G75" s="31"/>
      <c r="H75" s="30"/>
      <c r="I75" s="30"/>
      <c r="J75" s="30"/>
      <c r="K75" s="53"/>
      <c r="L75" s="109"/>
      <c r="M75" s="30"/>
      <c r="N75" s="30"/>
      <c r="O75" s="30"/>
      <c r="Q75" s="130">
        <f t="shared" si="10"/>
        <v>0</v>
      </c>
    </row>
    <row r="76" spans="1:17" x14ac:dyDescent="0.25">
      <c r="A76" s="29"/>
      <c r="B76" s="29"/>
      <c r="C76" s="29"/>
      <c r="D76" s="29"/>
      <c r="E76" s="29"/>
      <c r="F76" s="30"/>
      <c r="G76" s="31"/>
      <c r="H76" s="30"/>
      <c r="I76" s="30"/>
      <c r="J76" s="30"/>
      <c r="K76" s="53"/>
      <c r="L76" s="109"/>
      <c r="M76" s="30"/>
      <c r="N76" s="30"/>
      <c r="O76" s="30"/>
      <c r="Q76" s="130">
        <f t="shared" si="10"/>
        <v>0</v>
      </c>
    </row>
    <row r="77" spans="1:17" x14ac:dyDescent="0.25">
      <c r="A77" s="29"/>
      <c r="B77" s="29"/>
      <c r="C77" s="29"/>
      <c r="D77" s="29"/>
      <c r="E77" s="29"/>
      <c r="F77" s="30"/>
      <c r="G77" s="31"/>
      <c r="H77" s="30"/>
      <c r="I77" s="30"/>
      <c r="J77" s="30"/>
      <c r="K77" s="53"/>
      <c r="L77" s="109"/>
      <c r="M77" s="30"/>
      <c r="N77" s="30"/>
      <c r="O77" s="30"/>
      <c r="Q77" s="130">
        <f t="shared" si="10"/>
        <v>0</v>
      </c>
    </row>
    <row r="78" spans="1:17" x14ac:dyDescent="0.25">
      <c r="A78" s="29"/>
      <c r="B78" s="29"/>
      <c r="C78" s="29"/>
      <c r="D78" s="29"/>
      <c r="E78" s="29"/>
      <c r="F78" s="30"/>
      <c r="G78" s="31"/>
      <c r="H78" s="30"/>
      <c r="I78" s="30"/>
      <c r="J78" s="30"/>
      <c r="K78" s="53"/>
      <c r="L78" s="109"/>
      <c r="M78" s="30"/>
      <c r="N78" s="30"/>
      <c r="O78" s="30"/>
      <c r="Q78" s="130">
        <f t="shared" si="10"/>
        <v>0</v>
      </c>
    </row>
    <row r="79" spans="1:17" x14ac:dyDescent="0.25">
      <c r="A79" s="29"/>
      <c r="B79" s="29"/>
      <c r="C79" s="29"/>
      <c r="D79" s="29"/>
      <c r="E79" s="29"/>
      <c r="F79" s="30"/>
      <c r="G79" s="31"/>
      <c r="H79" s="30"/>
      <c r="I79" s="30"/>
      <c r="J79" s="30"/>
      <c r="K79" s="53"/>
      <c r="L79" s="82"/>
      <c r="M79" s="82"/>
      <c r="N79" s="82"/>
      <c r="O79" s="82"/>
      <c r="Q79" s="130">
        <f t="shared" si="10"/>
        <v>0</v>
      </c>
    </row>
    <row r="80" spans="1:17" x14ac:dyDescent="0.25">
      <c r="A80" s="29"/>
      <c r="B80" s="29"/>
      <c r="C80" s="29"/>
      <c r="D80" s="29"/>
      <c r="E80" s="29"/>
      <c r="F80" s="30"/>
      <c r="G80" s="31"/>
      <c r="H80" s="30"/>
      <c r="I80" s="30"/>
      <c r="J80" s="30"/>
      <c r="K80" s="53"/>
      <c r="L80" s="82"/>
      <c r="M80" s="82"/>
      <c r="N80" s="82"/>
      <c r="O80" s="82"/>
      <c r="Q80" s="130">
        <f t="shared" si="10"/>
        <v>0</v>
      </c>
    </row>
    <row r="81" spans="1:17" x14ac:dyDescent="0.25">
      <c r="A81" s="29"/>
      <c r="B81" s="29"/>
      <c r="C81" s="29"/>
      <c r="D81" s="29"/>
      <c r="E81" s="29"/>
      <c r="F81" s="30"/>
      <c r="G81" s="31"/>
      <c r="H81" s="30"/>
      <c r="I81" s="30"/>
      <c r="J81" s="30"/>
      <c r="K81" s="53"/>
      <c r="L81" s="82"/>
      <c r="M81" s="82"/>
      <c r="N81" s="82"/>
      <c r="O81" s="82"/>
      <c r="Q81" s="130">
        <f t="shared" si="10"/>
        <v>0</v>
      </c>
    </row>
    <row r="82" spans="1:17" x14ac:dyDescent="0.25">
      <c r="A82" s="29"/>
      <c r="B82" s="29"/>
      <c r="C82" s="29"/>
      <c r="D82" s="29"/>
      <c r="E82" s="29"/>
      <c r="F82" s="30"/>
      <c r="G82" s="31"/>
      <c r="H82" s="30"/>
      <c r="I82" s="30"/>
      <c r="J82" s="30"/>
      <c r="K82" s="53"/>
      <c r="L82" s="82"/>
      <c r="M82" s="82"/>
      <c r="N82" s="82"/>
      <c r="O82" s="82"/>
      <c r="Q82" s="130">
        <f t="shared" si="10"/>
        <v>0</v>
      </c>
    </row>
    <row r="83" spans="1:17" x14ac:dyDescent="0.25">
      <c r="A83" s="29"/>
      <c r="B83" s="29"/>
      <c r="C83" s="29"/>
      <c r="D83" s="29"/>
      <c r="E83" s="29"/>
      <c r="F83" s="30"/>
      <c r="G83" s="31"/>
      <c r="H83" s="30"/>
      <c r="I83" s="30"/>
      <c r="J83" s="30"/>
      <c r="K83" s="53"/>
      <c r="L83" s="82"/>
      <c r="M83" s="82"/>
      <c r="N83" s="82"/>
      <c r="O83" s="82"/>
      <c r="Q83" s="130">
        <f t="shared" si="10"/>
        <v>0</v>
      </c>
    </row>
    <row r="84" spans="1:17" x14ac:dyDescent="0.25">
      <c r="A84" s="29"/>
      <c r="B84" s="29"/>
      <c r="C84" s="29"/>
      <c r="D84" s="29"/>
      <c r="E84" s="29"/>
      <c r="F84" s="30"/>
      <c r="G84" s="31"/>
      <c r="H84" s="30"/>
      <c r="I84" s="30"/>
      <c r="J84" s="30"/>
      <c r="K84" s="53"/>
      <c r="L84" s="82"/>
      <c r="M84" s="82"/>
      <c r="N84" s="82"/>
      <c r="O84" s="82"/>
      <c r="Q84" s="130">
        <f t="shared" si="10"/>
        <v>0</v>
      </c>
    </row>
    <row r="85" spans="1:17" x14ac:dyDescent="0.25">
      <c r="A85" s="29"/>
      <c r="B85" s="29"/>
      <c r="C85" s="29"/>
      <c r="D85" s="29"/>
      <c r="E85" s="29"/>
      <c r="F85" s="30"/>
      <c r="G85" s="31"/>
      <c r="H85" s="30"/>
      <c r="I85" s="30"/>
      <c r="J85" s="30"/>
      <c r="K85" s="53"/>
      <c r="L85" s="82"/>
      <c r="M85" s="82"/>
      <c r="N85" s="82"/>
      <c r="O85" s="82"/>
      <c r="Q85" s="130">
        <f t="shared" si="10"/>
        <v>0</v>
      </c>
    </row>
    <row r="86" spans="1:17" x14ac:dyDescent="0.25">
      <c r="A86" s="29"/>
      <c r="B86" s="29"/>
      <c r="C86" s="29"/>
      <c r="D86" s="29"/>
      <c r="E86" s="29"/>
      <c r="F86" s="30"/>
      <c r="G86" s="31"/>
      <c r="H86" s="30"/>
      <c r="I86" s="30"/>
      <c r="J86" s="30"/>
      <c r="K86" s="53"/>
      <c r="L86" s="82"/>
      <c r="M86" s="82"/>
      <c r="N86" s="82"/>
      <c r="O86" s="82"/>
      <c r="Q86" s="130">
        <f t="shared" si="10"/>
        <v>0</v>
      </c>
    </row>
    <row r="87" spans="1:17" x14ac:dyDescent="0.25">
      <c r="A87" s="29"/>
      <c r="B87" s="29"/>
      <c r="C87" s="29"/>
      <c r="D87" s="29"/>
      <c r="E87" s="29"/>
      <c r="F87" s="30"/>
      <c r="G87" s="31"/>
      <c r="H87" s="30"/>
      <c r="I87" s="30"/>
      <c r="J87" s="30"/>
      <c r="K87" s="53"/>
      <c r="L87" s="82"/>
      <c r="M87" s="82"/>
      <c r="N87" s="82"/>
      <c r="O87" s="82"/>
      <c r="Q87" s="130">
        <f t="shared" si="10"/>
        <v>0</v>
      </c>
    </row>
    <row r="88" spans="1:17" x14ac:dyDescent="0.25">
      <c r="A88" s="29"/>
      <c r="B88" s="29"/>
      <c r="C88" s="29"/>
      <c r="D88" s="29"/>
      <c r="E88" s="29"/>
      <c r="F88" s="30"/>
      <c r="G88" s="31"/>
      <c r="H88" s="30"/>
      <c r="I88" s="30"/>
      <c r="J88" s="30"/>
      <c r="K88" s="53"/>
      <c r="L88" s="82"/>
      <c r="M88" s="82"/>
      <c r="N88" s="82"/>
      <c r="O88" s="82"/>
      <c r="Q88" s="130">
        <f t="shared" si="10"/>
        <v>0</v>
      </c>
    </row>
    <row r="89" spans="1:17" x14ac:dyDescent="0.25">
      <c r="A89" s="29"/>
      <c r="B89" s="29"/>
      <c r="C89" s="29"/>
      <c r="D89" s="29"/>
      <c r="E89" s="29"/>
      <c r="F89" s="30"/>
      <c r="G89" s="31"/>
      <c r="H89" s="30"/>
      <c r="I89" s="30"/>
      <c r="J89" s="30"/>
      <c r="K89" s="53"/>
      <c r="L89" s="82"/>
      <c r="M89" s="82"/>
      <c r="N89" s="82"/>
      <c r="O89" s="82"/>
      <c r="Q89" s="130">
        <f t="shared" si="10"/>
        <v>0</v>
      </c>
    </row>
    <row r="90" spans="1:17" x14ac:dyDescent="0.25">
      <c r="A90" s="29"/>
      <c r="B90" s="29"/>
      <c r="C90" s="29"/>
      <c r="D90" s="29"/>
      <c r="E90" s="29"/>
      <c r="F90" s="30"/>
      <c r="G90" s="31"/>
      <c r="H90" s="30"/>
      <c r="I90" s="30"/>
      <c r="J90" s="30"/>
      <c r="K90" s="53"/>
      <c r="L90" s="82"/>
      <c r="M90" s="82"/>
      <c r="N90" s="82"/>
      <c r="O90" s="82"/>
      <c r="Q90" s="130">
        <f t="shared" si="10"/>
        <v>0</v>
      </c>
    </row>
    <row r="91" spans="1:17" x14ac:dyDescent="0.25">
      <c r="A91" s="29"/>
      <c r="B91" s="29"/>
      <c r="C91" s="29"/>
      <c r="D91" s="29"/>
      <c r="E91" s="29"/>
      <c r="F91" s="30"/>
      <c r="G91" s="31"/>
      <c r="H91" s="30"/>
      <c r="I91" s="30"/>
      <c r="J91" s="30"/>
      <c r="K91" s="53"/>
      <c r="L91" s="82"/>
      <c r="M91" s="82"/>
      <c r="N91" s="82"/>
      <c r="O91" s="82"/>
      <c r="Q91" s="130">
        <f t="shared" si="10"/>
        <v>0</v>
      </c>
    </row>
    <row r="92" spans="1:17" x14ac:dyDescent="0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82"/>
      <c r="M92" s="82"/>
      <c r="N92" s="82"/>
      <c r="O92" s="82"/>
      <c r="Q92" s="130">
        <f t="shared" si="10"/>
        <v>0</v>
      </c>
    </row>
    <row r="93" spans="1:17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82"/>
      <c r="M93" s="82"/>
      <c r="N93" s="82"/>
      <c r="O93" s="82"/>
      <c r="Q93" s="130">
        <f t="shared" si="10"/>
        <v>0</v>
      </c>
    </row>
    <row r="94" spans="1:17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82"/>
      <c r="M94" s="82"/>
      <c r="N94" s="82"/>
      <c r="O94" s="82"/>
      <c r="Q94" s="130">
        <f t="shared" si="10"/>
        <v>0</v>
      </c>
    </row>
    <row r="95" spans="1:17" x14ac:dyDescent="0.2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82"/>
      <c r="M95" s="82"/>
      <c r="N95" s="82"/>
      <c r="O95" s="82"/>
      <c r="Q95" s="130">
        <f t="shared" si="10"/>
        <v>0</v>
      </c>
    </row>
    <row r="96" spans="1:17" x14ac:dyDescent="0.2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82"/>
      <c r="M96" s="82"/>
      <c r="N96" s="82"/>
      <c r="O96" s="82"/>
      <c r="Q96" s="130">
        <f t="shared" si="10"/>
        <v>0</v>
      </c>
    </row>
    <row r="97" spans="1:17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82"/>
      <c r="M97" s="82"/>
      <c r="N97" s="82"/>
      <c r="O97" s="82"/>
      <c r="Q97" s="130">
        <f t="shared" si="10"/>
        <v>0</v>
      </c>
    </row>
    <row r="98" spans="1:17" x14ac:dyDescent="0.2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82"/>
      <c r="M98" s="82"/>
      <c r="N98" s="82"/>
      <c r="O98" s="82"/>
      <c r="Q98" s="130">
        <f t="shared" si="10"/>
        <v>0</v>
      </c>
    </row>
    <row r="99" spans="1:17" x14ac:dyDescent="0.2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82"/>
      <c r="M99" s="82"/>
      <c r="N99" s="82"/>
      <c r="O99" s="82"/>
      <c r="Q99" s="130">
        <f t="shared" si="10"/>
        <v>0</v>
      </c>
    </row>
    <row r="100" spans="1:17" x14ac:dyDescent="0.2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82"/>
      <c r="M100" s="82"/>
      <c r="N100" s="82"/>
      <c r="O100" s="82"/>
      <c r="Q100" s="130">
        <f t="shared" si="10"/>
        <v>0</v>
      </c>
    </row>
  </sheetData>
  <autoFilter ref="A7:O68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5"/>
  <sheetViews>
    <sheetView zoomScale="80" zoomScaleNormal="80" workbookViewId="0">
      <selection activeCell="A13" sqref="A13:XFD13"/>
    </sheetView>
  </sheetViews>
  <sheetFormatPr defaultColWidth="9.140625" defaultRowHeight="12.75" x14ac:dyDescent="0.2"/>
  <cols>
    <col min="1" max="1" width="19.42578125" style="39" customWidth="1"/>
    <col min="2" max="2" width="14.42578125" style="39" customWidth="1"/>
    <col min="3" max="5" width="10.5703125" style="39" customWidth="1"/>
    <col min="6" max="6" width="14.5703125" style="39" customWidth="1"/>
    <col min="7" max="7" width="10.7109375" style="39" bestFit="1" customWidth="1"/>
    <col min="8" max="8" width="10.7109375" style="39" customWidth="1"/>
    <col min="9" max="9" width="16" style="40" customWidth="1"/>
    <col min="10" max="10" width="17.42578125" style="40" customWidth="1"/>
    <col min="11" max="11" width="11.85546875" style="39" customWidth="1"/>
    <col min="12" max="12" width="9.140625" style="39"/>
    <col min="13" max="13" width="11.85546875" style="39" customWidth="1"/>
    <col min="14" max="14" width="13.5703125" style="39" customWidth="1"/>
    <col min="15" max="15" width="12.5703125" style="39" customWidth="1"/>
    <col min="16" max="16" width="11.28515625" style="39" customWidth="1"/>
    <col min="17" max="17" width="9.42578125" style="39" customWidth="1"/>
    <col min="18" max="18" width="10" style="39" customWidth="1"/>
    <col min="19" max="19" width="14.5703125" style="39" customWidth="1"/>
    <col min="20" max="21" width="9.140625" style="39"/>
    <col min="22" max="22" width="14.85546875" style="39" customWidth="1"/>
    <col min="23" max="23" width="9.140625" style="39"/>
    <col min="24" max="24" width="10.28515625" style="39" bestFit="1" customWidth="1"/>
    <col min="25" max="29" width="9.140625" style="39"/>
    <col min="30" max="30" width="13.7109375" style="39" customWidth="1"/>
    <col min="31" max="31" width="9.140625" style="39"/>
    <col min="32" max="32" width="22.5703125" style="39" customWidth="1"/>
    <col min="33" max="16384" width="9.140625" style="39"/>
  </cols>
  <sheetData>
    <row r="1" spans="1:32" x14ac:dyDescent="0.2">
      <c r="H1" s="235" t="s">
        <v>110</v>
      </c>
      <c r="I1" s="236"/>
      <c r="J1" s="236"/>
      <c r="K1" s="237"/>
      <c r="M1" s="235" t="s">
        <v>110</v>
      </c>
      <c r="N1" s="236"/>
      <c r="O1" s="236"/>
      <c r="P1" s="237"/>
    </row>
    <row r="2" spans="1:32" ht="14.45" customHeight="1" x14ac:dyDescent="0.2">
      <c r="A2" s="233" t="s">
        <v>187</v>
      </c>
      <c r="B2" s="233"/>
      <c r="C2" s="233"/>
      <c r="D2" s="233"/>
      <c r="E2" s="233"/>
      <c r="F2" s="233"/>
      <c r="H2" s="235" t="s">
        <v>111</v>
      </c>
      <c r="I2" s="237"/>
      <c r="J2" s="87" t="s">
        <v>51</v>
      </c>
      <c r="K2" s="88">
        <v>0.75</v>
      </c>
      <c r="M2" s="235" t="s">
        <v>23</v>
      </c>
      <c r="N2" s="237"/>
      <c r="O2" s="87" t="s">
        <v>51</v>
      </c>
      <c r="P2" s="88">
        <v>1</v>
      </c>
      <c r="R2" s="234" t="s">
        <v>170</v>
      </c>
      <c r="S2" s="234"/>
      <c r="T2" s="234"/>
      <c r="U2" s="234"/>
      <c r="V2" s="234"/>
      <c r="W2" s="234"/>
      <c r="X2" s="234"/>
    </row>
    <row r="3" spans="1:32" ht="38.25" x14ac:dyDescent="0.2">
      <c r="A3" s="41" t="s">
        <v>52</v>
      </c>
      <c r="B3" s="41" t="s">
        <v>112</v>
      </c>
      <c r="C3" s="41" t="s">
        <v>53</v>
      </c>
      <c r="D3" s="41" t="s">
        <v>54</v>
      </c>
      <c r="E3" s="41" t="s">
        <v>55</v>
      </c>
      <c r="F3" s="41" t="s">
        <v>113</v>
      </c>
      <c r="G3" s="42"/>
      <c r="H3" s="41" t="s">
        <v>56</v>
      </c>
      <c r="I3" s="43" t="s">
        <v>57</v>
      </c>
      <c r="J3" s="43" t="s">
        <v>58</v>
      </c>
      <c r="K3" s="41" t="s">
        <v>46</v>
      </c>
      <c r="L3" s="42"/>
      <c r="M3" s="41" t="s">
        <v>56</v>
      </c>
      <c r="N3" s="43" t="s">
        <v>57</v>
      </c>
      <c r="O3" s="43" t="s">
        <v>58</v>
      </c>
      <c r="P3" s="41" t="s">
        <v>46</v>
      </c>
      <c r="R3" s="41" t="str">
        <f>B3</f>
        <v>Универсальная шкала</v>
      </c>
      <c r="S3" s="41" t="s">
        <v>56</v>
      </c>
      <c r="T3" s="43" t="s">
        <v>51</v>
      </c>
      <c r="U3" s="43"/>
      <c r="V3" s="41" t="s">
        <v>186</v>
      </c>
    </row>
    <row r="4" spans="1:32" x14ac:dyDescent="0.2">
      <c r="A4" s="44" t="s">
        <v>59</v>
      </c>
      <c r="B4" s="45" t="s">
        <v>60</v>
      </c>
      <c r="C4" s="46">
        <v>0</v>
      </c>
      <c r="D4" s="46">
        <v>1.2004801920768311E-3</v>
      </c>
      <c r="E4" s="46">
        <v>0</v>
      </c>
      <c r="F4" s="47">
        <v>1.0000000000000001E-5</v>
      </c>
      <c r="H4" s="46">
        <v>0.23994001499750031</v>
      </c>
      <c r="I4" s="48">
        <v>7.500000000000001E-6</v>
      </c>
      <c r="J4" s="48">
        <v>1.1895639320110399E-4</v>
      </c>
      <c r="K4" s="49">
        <v>1.26456393201104E-4</v>
      </c>
      <c r="M4" s="46">
        <v>0.23994001499750031</v>
      </c>
      <c r="N4" s="48">
        <v>1.0000000000000001E-5</v>
      </c>
      <c r="O4" s="48">
        <v>1.5860852426813866E-4</v>
      </c>
      <c r="P4" s="49">
        <v>1.6860852426813866E-4</v>
      </c>
      <c r="R4" s="45" t="str">
        <f>B4</f>
        <v>AAA</v>
      </c>
      <c r="S4" s="46">
        <f>0.06*((1-EXP(-50*F4)/(1-EXP(-50))))+0.12*(1-(1-EXP(-50*F4)/(1-EXP(-50))))</f>
        <v>0.11997000749875016</v>
      </c>
      <c r="T4" s="48">
        <f>1-0.90736*(1-F4^0.30224)^4.5948</f>
        <v>0.21419364827164478</v>
      </c>
      <c r="U4" s="48">
        <f>(_xlfn.NORM.S.INV(F4)+S4^0.5*_xlfn.NORM.S.INV($X$6))/((1-S4)^0.5)</f>
        <v>-3.9696877074540788</v>
      </c>
      <c r="V4" s="121">
        <f>(_xlfn.NORM.S.DIST(U4,TRUE)-F4)*T4</f>
        <v>5.5654892477399891E-6</v>
      </c>
      <c r="X4" s="212">
        <f>_xlfn.NORM.DIST(-0.04,E31,E32,TRUE)</f>
        <v>5.9176263941502924E-2</v>
      </c>
      <c r="Y4" s="119" t="s">
        <v>185</v>
      </c>
      <c r="Z4" s="118" t="s">
        <v>195</v>
      </c>
      <c r="AF4" s="120"/>
    </row>
    <row r="5" spans="1:32" x14ac:dyDescent="0.2">
      <c r="A5" s="44" t="s">
        <v>61</v>
      </c>
      <c r="B5" s="45" t="s">
        <v>62</v>
      </c>
      <c r="C5" s="46">
        <v>0</v>
      </c>
      <c r="D5" s="46">
        <v>0</v>
      </c>
      <c r="E5" s="46">
        <v>0</v>
      </c>
      <c r="F5" s="47">
        <v>5.0000000000000002E-5</v>
      </c>
      <c r="H5" s="46">
        <v>0.2397003746876952</v>
      </c>
      <c r="I5" s="48">
        <v>3.7500000000000003E-5</v>
      </c>
      <c r="J5" s="48">
        <v>5.628953701183625E-4</v>
      </c>
      <c r="K5" s="49">
        <v>6.0039537011836249E-4</v>
      </c>
      <c r="M5" s="46">
        <v>0.2397003746876952</v>
      </c>
      <c r="N5" s="48">
        <v>5.0000000000000002E-5</v>
      </c>
      <c r="O5" s="48">
        <v>7.5052716015781655E-4</v>
      </c>
      <c r="P5" s="49">
        <v>8.0052716015781658E-4</v>
      </c>
      <c r="R5" s="45" t="str">
        <f t="shared" ref="R5:R26" si="0">B5</f>
        <v>AA+</v>
      </c>
      <c r="S5" s="46">
        <f>0.06*((1-EXP(-50*F5)/(1-EXP(-50))))+0.12*(1-(1-EXP(-50*F5)/(1-EXP(-50))))</f>
        <v>0.1198501873438476</v>
      </c>
      <c r="T5" s="48">
        <f t="shared" ref="T5:T24" si="1">1-0.90736*(1-F5^0.30224)^4.5948</f>
        <v>0.28359120437045782</v>
      </c>
      <c r="U5" s="48">
        <f t="shared" ref="U5:U24" si="2">(_xlfn.NORM.S.INV(F5)+S5^0.5*_xlfn.NORM.S.INV($X$6))/((1-S5)^0.5)</f>
        <v>-3.5707354765683732</v>
      </c>
      <c r="V5" s="121">
        <f t="shared" ref="V5:V24" si="3">(_xlfn.NORM.S.DIST(U5,TRUE)-F5)*T5</f>
        <v>3.6296875489130776E-5</v>
      </c>
      <c r="Z5" s="39" t="s">
        <v>196</v>
      </c>
      <c r="AF5" s="120"/>
    </row>
    <row r="6" spans="1:32" x14ac:dyDescent="0.2">
      <c r="A6" s="44" t="s">
        <v>63</v>
      </c>
      <c r="B6" s="45" t="s">
        <v>64</v>
      </c>
      <c r="C6" s="46">
        <v>2.0000000000000001E-4</v>
      </c>
      <c r="D6" s="46">
        <v>0</v>
      </c>
      <c r="E6" s="46">
        <v>0</v>
      </c>
      <c r="F6" s="50">
        <v>6.666666666666667E-5</v>
      </c>
      <c r="H6" s="46">
        <v>0.23960066592654278</v>
      </c>
      <c r="I6" s="48">
        <v>5.0000000000000002E-5</v>
      </c>
      <c r="J6" s="48">
        <v>7.3918043068642845E-4</v>
      </c>
      <c r="K6" s="49">
        <v>7.8918043068642847E-4</v>
      </c>
      <c r="M6" s="46">
        <v>0.23960066592654278</v>
      </c>
      <c r="N6" s="48">
        <v>6.666666666666667E-5</v>
      </c>
      <c r="O6" s="48">
        <v>9.855739075819046E-4</v>
      </c>
      <c r="P6" s="49">
        <v>1.0522405742485713E-3</v>
      </c>
      <c r="R6" s="45" t="str">
        <f t="shared" si="0"/>
        <v>AA</v>
      </c>
      <c r="S6" s="46">
        <f t="shared" ref="S6:S24" si="4">0.06*((1-EXP(-50*F6)/(1-EXP(-50))))+0.12*(1-(1-EXP(-50*F6)/(1-EXP(-50))))</f>
        <v>0.11980033296327139</v>
      </c>
      <c r="T6" s="48">
        <f t="shared" si="1"/>
        <v>0.29923555646084898</v>
      </c>
      <c r="U6" s="48">
        <f t="shared" si="2"/>
        <v>-3.4957447848214867</v>
      </c>
      <c r="V6" s="121">
        <f t="shared" si="3"/>
        <v>5.0781364397777653E-5</v>
      </c>
      <c r="X6" s="39">
        <f>1-X4</f>
        <v>0.94082373605849712</v>
      </c>
      <c r="AF6" s="120"/>
    </row>
    <row r="7" spans="1:32" x14ac:dyDescent="0.2">
      <c r="A7" s="44" t="s">
        <v>65</v>
      </c>
      <c r="B7" s="45" t="s">
        <v>66</v>
      </c>
      <c r="C7" s="46">
        <v>2.9999999999999997E-4</v>
      </c>
      <c r="D7" s="46">
        <v>8.3565459610027897E-4</v>
      </c>
      <c r="E7" s="46">
        <v>4.0000000000000002E-4</v>
      </c>
      <c r="F7" s="50">
        <v>2.9999999999999997E-4</v>
      </c>
      <c r="H7" s="46">
        <v>0.2382134327523675</v>
      </c>
      <c r="I7" s="48">
        <v>2.2499999999999999E-4</v>
      </c>
      <c r="J7" s="48">
        <v>2.9692034086054981E-3</v>
      </c>
      <c r="K7" s="49">
        <v>3.194203408605498E-3</v>
      </c>
      <c r="M7" s="46">
        <v>0.2382134327523675</v>
      </c>
      <c r="N7" s="48">
        <v>2.9999999999999997E-4</v>
      </c>
      <c r="O7" s="48">
        <v>3.9589378781406644E-3</v>
      </c>
      <c r="P7" s="49">
        <v>4.2589378781406643E-3</v>
      </c>
      <c r="R7" s="45" t="str">
        <f t="shared" si="0"/>
        <v>AA-</v>
      </c>
      <c r="S7" s="46">
        <f t="shared" si="4"/>
        <v>0.11910671637618375</v>
      </c>
      <c r="T7" s="48">
        <f t="shared" si="1"/>
        <v>0.40019222236216223</v>
      </c>
      <c r="U7" s="48">
        <f t="shared" si="2"/>
        <v>-3.0819943184425895</v>
      </c>
      <c r="V7" s="121">
        <f t="shared" si="3"/>
        <v>2.9137747990591909E-4</v>
      </c>
      <c r="AF7" s="120"/>
    </row>
    <row r="8" spans="1:32" x14ac:dyDescent="0.2">
      <c r="A8" s="44" t="s">
        <v>67</v>
      </c>
      <c r="B8" s="45" t="s">
        <v>68</v>
      </c>
      <c r="C8" s="46">
        <v>5.0000000000000001E-4</v>
      </c>
      <c r="D8" s="46">
        <v>0</v>
      </c>
      <c r="E8" s="46">
        <v>6.9999999999999999E-4</v>
      </c>
      <c r="F8" s="50">
        <v>4.0000000000000002E-4</v>
      </c>
      <c r="H8" s="46">
        <v>0.23762384079681062</v>
      </c>
      <c r="I8" s="48">
        <v>3.0000000000000003E-4</v>
      </c>
      <c r="J8" s="48">
        <v>3.843402011809249E-3</v>
      </c>
      <c r="K8" s="49">
        <v>4.1434020118092489E-3</v>
      </c>
      <c r="M8" s="46">
        <v>0.23762384079681062</v>
      </c>
      <c r="N8" s="48">
        <v>4.0000000000000002E-4</v>
      </c>
      <c r="O8" s="48">
        <v>5.124536015745665E-3</v>
      </c>
      <c r="P8" s="49">
        <v>5.5245360157456652E-3</v>
      </c>
      <c r="R8" s="45" t="str">
        <f t="shared" si="0"/>
        <v>A+</v>
      </c>
      <c r="S8" s="46">
        <f t="shared" si="4"/>
        <v>0.11881192039840531</v>
      </c>
      <c r="T8" s="48">
        <f t="shared" si="1"/>
        <v>0.42343262730130093</v>
      </c>
      <c r="U8" s="48">
        <f t="shared" si="2"/>
        <v>-2.9982243941949305</v>
      </c>
      <c r="V8" s="121">
        <f t="shared" si="3"/>
        <v>4.0555879062784139E-4</v>
      </c>
      <c r="AF8" s="120"/>
    </row>
    <row r="9" spans="1:32" x14ac:dyDescent="0.2">
      <c r="A9" s="44" t="s">
        <v>69</v>
      </c>
      <c r="B9" s="45" t="s">
        <v>70</v>
      </c>
      <c r="C9" s="46">
        <v>5.0000000000000001E-4</v>
      </c>
      <c r="D9" s="46">
        <v>7.4217010538815502E-4</v>
      </c>
      <c r="E9" s="46">
        <v>5.0000000000000001E-4</v>
      </c>
      <c r="F9" s="50">
        <v>5.8072336846271835E-4</v>
      </c>
      <c r="H9" s="46">
        <v>0.23656575966003007</v>
      </c>
      <c r="I9" s="48">
        <v>4.3554252634703879E-4</v>
      </c>
      <c r="J9" s="48">
        <v>5.3440207873148736E-3</v>
      </c>
      <c r="K9" s="49">
        <v>5.7795633136619121E-3</v>
      </c>
      <c r="M9" s="46">
        <v>0.23656575966003007</v>
      </c>
      <c r="N9" s="48">
        <v>5.8072336846271835E-4</v>
      </c>
      <c r="O9" s="48">
        <v>7.1253610497531645E-3</v>
      </c>
      <c r="P9" s="49">
        <v>7.7060844182158831E-3</v>
      </c>
      <c r="R9" s="45" t="str">
        <f t="shared" si="0"/>
        <v>A</v>
      </c>
      <c r="S9" s="46">
        <f t="shared" si="4"/>
        <v>0.11828287983001504</v>
      </c>
      <c r="T9" s="48">
        <f t="shared" si="1"/>
        <v>0.45548489943008452</v>
      </c>
      <c r="U9" s="48">
        <f t="shared" si="2"/>
        <v>-2.8871943203373296</v>
      </c>
      <c r="V9" s="121">
        <f t="shared" si="3"/>
        <v>6.2071071862416951E-4</v>
      </c>
      <c r="AF9" s="120"/>
    </row>
    <row r="10" spans="1:32" x14ac:dyDescent="0.2">
      <c r="A10" s="44" t="s">
        <v>71</v>
      </c>
      <c r="B10" s="45" t="s">
        <v>72</v>
      </c>
      <c r="C10" s="46">
        <v>5.9999999999999995E-4</v>
      </c>
      <c r="D10" s="46">
        <v>6.2140748796022988E-4</v>
      </c>
      <c r="E10" s="46">
        <v>5.9999999999999995E-4</v>
      </c>
      <c r="F10" s="50">
        <v>6.0713582932007655E-4</v>
      </c>
      <c r="H10" s="46">
        <v>0.23641192183506024</v>
      </c>
      <c r="I10" s="48">
        <v>4.5535187199005742E-4</v>
      </c>
      <c r="J10" s="48">
        <v>5.5561470338647513E-3</v>
      </c>
      <c r="K10" s="49">
        <v>6.0114989058548084E-3</v>
      </c>
      <c r="M10" s="46">
        <v>0.23641192183506024</v>
      </c>
      <c r="N10" s="48">
        <v>6.0713582932007655E-4</v>
      </c>
      <c r="O10" s="48">
        <v>7.4081960451530017E-3</v>
      </c>
      <c r="P10" s="49">
        <v>8.0153318744730778E-3</v>
      </c>
      <c r="R10" s="45" t="str">
        <f t="shared" si="0"/>
        <v>A-</v>
      </c>
      <c r="S10" s="46">
        <f t="shared" si="4"/>
        <v>0.11820596091753012</v>
      </c>
      <c r="T10" s="48">
        <f t="shared" si="1"/>
        <v>0.45945372419296093</v>
      </c>
      <c r="U10" s="48">
        <f t="shared" si="2"/>
        <v>-2.8737551819882592</v>
      </c>
      <c r="V10" s="121">
        <f t="shared" si="3"/>
        <v>6.5287474728778212E-4</v>
      </c>
      <c r="AF10" s="120"/>
    </row>
    <row r="11" spans="1:32" x14ac:dyDescent="0.2">
      <c r="A11" s="44" t="s">
        <v>73</v>
      </c>
      <c r="B11" s="45" t="s">
        <v>74</v>
      </c>
      <c r="C11" s="46">
        <v>1E-3</v>
      </c>
      <c r="D11" s="46">
        <v>8.8170462894930201E-4</v>
      </c>
      <c r="E11" s="46">
        <v>1.1999999999999999E-3</v>
      </c>
      <c r="F11" s="50">
        <v>1.0272348763164338E-3</v>
      </c>
      <c r="G11" s="51"/>
      <c r="H11" s="46">
        <v>0.23399219703223448</v>
      </c>
      <c r="I11" s="48">
        <v>7.7042615723732543E-4</v>
      </c>
      <c r="J11" s="48">
        <v>8.738288689531035E-3</v>
      </c>
      <c r="K11" s="49">
        <v>9.50871484676836E-3</v>
      </c>
      <c r="M11" s="46">
        <v>0.23399219703223448</v>
      </c>
      <c r="N11" s="48">
        <v>1.0272348763164338E-3</v>
      </c>
      <c r="O11" s="48">
        <v>1.1651051586041379E-2</v>
      </c>
      <c r="P11" s="49">
        <v>1.2678286462357814E-2</v>
      </c>
      <c r="R11" s="45" t="str">
        <f t="shared" si="0"/>
        <v>BBB+</v>
      </c>
      <c r="S11" s="46">
        <f t="shared" si="4"/>
        <v>0.11699609851611724</v>
      </c>
      <c r="T11" s="48">
        <f t="shared" si="1"/>
        <v>0.50865584221063065</v>
      </c>
      <c r="U11" s="48">
        <f t="shared" si="2"/>
        <v>-2.7116164099938045</v>
      </c>
      <c r="V11" s="121">
        <f t="shared" si="3"/>
        <v>1.1803696704200633E-3</v>
      </c>
      <c r="AF11" s="120"/>
    </row>
    <row r="12" spans="1:32" x14ac:dyDescent="0.2">
      <c r="A12" s="44" t="s">
        <v>75</v>
      </c>
      <c r="B12" s="45" t="s">
        <v>76</v>
      </c>
      <c r="C12" s="46">
        <v>1.6000000000000001E-3</v>
      </c>
      <c r="D12" s="46">
        <v>5.5317383487761031E-4</v>
      </c>
      <c r="E12" s="46">
        <v>1.6000000000000001E-3</v>
      </c>
      <c r="F12" s="50">
        <v>1.2510579449592034E-3</v>
      </c>
      <c r="G12" s="51"/>
      <c r="H12" s="46">
        <v>0.23272360461144317</v>
      </c>
      <c r="I12" s="48">
        <v>9.3829345871940251E-4</v>
      </c>
      <c r="J12" s="48">
        <v>1.0313455987455649E-2</v>
      </c>
      <c r="K12" s="49">
        <v>1.1251749446175052E-2</v>
      </c>
      <c r="M12" s="46">
        <v>0.23272360461144317</v>
      </c>
      <c r="N12" s="48">
        <v>1.2510579449592034E-3</v>
      </c>
      <c r="O12" s="48">
        <v>1.3751274649940866E-2</v>
      </c>
      <c r="P12" s="49">
        <v>1.5002332594900069E-2</v>
      </c>
      <c r="R12" s="45" t="str">
        <f t="shared" si="0"/>
        <v>BBB</v>
      </c>
      <c r="S12" s="46">
        <f t="shared" si="4"/>
        <v>0.11636180230572159</v>
      </c>
      <c r="T12" s="48">
        <f t="shared" si="1"/>
        <v>0.52813959279338296</v>
      </c>
      <c r="U12" s="48">
        <f t="shared" si="2"/>
        <v>-2.6492532074067903</v>
      </c>
      <c r="V12" s="121">
        <f t="shared" si="3"/>
        <v>1.4695142889074914E-3</v>
      </c>
      <c r="AF12" s="120"/>
    </row>
    <row r="13" spans="1:32" x14ac:dyDescent="0.2">
      <c r="A13" s="44" t="s">
        <v>77</v>
      </c>
      <c r="B13" s="45" t="s">
        <v>78</v>
      </c>
      <c r="C13" s="46">
        <v>2.5000000000000001E-3</v>
      </c>
      <c r="D13" s="46">
        <v>2.6096884684390798E-3</v>
      </c>
      <c r="E13" s="46">
        <v>2.2000000000000001E-3</v>
      </c>
      <c r="F13" s="50">
        <v>2.4365628228130271E-3</v>
      </c>
      <c r="G13" s="51"/>
      <c r="H13" s="46">
        <v>0.22623606025967719</v>
      </c>
      <c r="I13" s="48">
        <v>1.8274221171097702E-3</v>
      </c>
      <c r="J13" s="48">
        <v>1.7696424651275265E-2</v>
      </c>
      <c r="K13" s="49">
        <v>1.9523846768385034E-2</v>
      </c>
      <c r="M13" s="46">
        <v>0.22623606025967719</v>
      </c>
      <c r="N13" s="48">
        <v>2.4365628228130271E-3</v>
      </c>
      <c r="O13" s="48">
        <v>2.3595232868367018E-2</v>
      </c>
      <c r="P13" s="49">
        <v>2.6031795691180044E-2</v>
      </c>
      <c r="R13" s="45" t="str">
        <f t="shared" si="0"/>
        <v>BBB-</v>
      </c>
      <c r="S13" s="46">
        <f t="shared" si="4"/>
        <v>0.11311803012983859</v>
      </c>
      <c r="T13" s="48">
        <f t="shared" si="1"/>
        <v>0.5977367783555928</v>
      </c>
      <c r="U13" s="48">
        <f t="shared" si="2"/>
        <v>-2.4317086889248167</v>
      </c>
      <c r="V13" s="121">
        <f t="shared" si="3"/>
        <v>3.0349077055335737E-3</v>
      </c>
      <c r="AF13" s="120"/>
    </row>
    <row r="14" spans="1:32" x14ac:dyDescent="0.2">
      <c r="A14" s="44" t="s">
        <v>79</v>
      </c>
      <c r="B14" s="45" t="s">
        <v>80</v>
      </c>
      <c r="C14" s="46">
        <v>3.0999999999999999E-3</v>
      </c>
      <c r="D14" s="46">
        <v>2.9585798816568047E-3</v>
      </c>
      <c r="E14" s="46">
        <v>4.1999999999999997E-3</v>
      </c>
      <c r="F14" s="50">
        <v>3.4195266272189343E-3</v>
      </c>
      <c r="G14" s="51"/>
      <c r="H14" s="46">
        <v>0.22114098265767679</v>
      </c>
      <c r="I14" s="48">
        <v>2.5646449704142009E-3</v>
      </c>
      <c r="J14" s="48">
        <v>2.2936734592060654E-2</v>
      </c>
      <c r="K14" s="49">
        <v>2.5501379562474856E-2</v>
      </c>
      <c r="M14" s="46">
        <v>0.22114098265767679</v>
      </c>
      <c r="N14" s="48">
        <v>3.4195266272189343E-3</v>
      </c>
      <c r="O14" s="48">
        <v>3.0582312789414208E-2</v>
      </c>
      <c r="P14" s="49">
        <v>3.4001839416633144E-2</v>
      </c>
      <c r="R14" s="45" t="str">
        <f t="shared" si="0"/>
        <v>BB+</v>
      </c>
      <c r="S14" s="46">
        <f t="shared" si="4"/>
        <v>0.11057049132883839</v>
      </c>
      <c r="T14" s="48">
        <f t="shared" si="1"/>
        <v>0.63492436583847955</v>
      </c>
      <c r="U14" s="48">
        <f t="shared" si="2"/>
        <v>-2.3171284883013246</v>
      </c>
      <c r="V14" s="121">
        <f t="shared" si="3"/>
        <v>4.3357970051944063E-3</v>
      </c>
      <c r="AF14" s="120"/>
    </row>
    <row r="15" spans="1:32" x14ac:dyDescent="0.2">
      <c r="A15" s="44" t="s">
        <v>81</v>
      </c>
      <c r="B15" s="45" t="s">
        <v>82</v>
      </c>
      <c r="C15" s="46">
        <v>5.1000000000000004E-3</v>
      </c>
      <c r="D15" s="46">
        <v>5.6667925953910094E-3</v>
      </c>
      <c r="E15" s="46">
        <v>7.1000000000000004E-3</v>
      </c>
      <c r="F15" s="50">
        <v>5.9555975317970031E-3</v>
      </c>
      <c r="G15" s="51"/>
      <c r="H15" s="46">
        <v>0.20909577067622515</v>
      </c>
      <c r="I15" s="48">
        <v>4.4666981488477525E-3</v>
      </c>
      <c r="J15" s="48">
        <v>3.4072562022427498E-2</v>
      </c>
      <c r="K15" s="49">
        <v>3.853926017127525E-2</v>
      </c>
      <c r="M15" s="46">
        <v>0.20909577067622515</v>
      </c>
      <c r="N15" s="48">
        <v>5.9555975317970031E-3</v>
      </c>
      <c r="O15" s="48">
        <v>4.543008269657E-2</v>
      </c>
      <c r="P15" s="49">
        <v>5.1385680228367002E-2</v>
      </c>
      <c r="R15" s="45" t="str">
        <f t="shared" si="0"/>
        <v>BB</v>
      </c>
      <c r="S15" s="46">
        <f t="shared" si="4"/>
        <v>0.10454788533811257</v>
      </c>
      <c r="T15" s="48">
        <f t="shared" si="1"/>
        <v>0.69737491910567517</v>
      </c>
      <c r="U15" s="48">
        <f t="shared" si="2"/>
        <v>-2.1238861069938051</v>
      </c>
      <c r="V15" s="121">
        <f t="shared" si="3"/>
        <v>7.5903936638634425E-3</v>
      </c>
      <c r="AF15" s="120"/>
    </row>
    <row r="16" spans="1:32" x14ac:dyDescent="0.2">
      <c r="A16" s="44" t="s">
        <v>83</v>
      </c>
      <c r="B16" s="45" t="s">
        <v>84</v>
      </c>
      <c r="C16" s="46">
        <v>9.1000000000000004E-3</v>
      </c>
      <c r="D16" s="46">
        <v>1.0659297275957359E-2</v>
      </c>
      <c r="E16" s="46">
        <v>1.3299999999999999E-2</v>
      </c>
      <c r="F16" s="50">
        <v>1.1019765758652452E-2</v>
      </c>
      <c r="G16" s="51"/>
      <c r="H16" s="46">
        <v>0.18916558794114763</v>
      </c>
      <c r="I16" s="48">
        <v>8.2648243189893389E-3</v>
      </c>
      <c r="J16" s="48">
        <v>5.0182031432826797E-2</v>
      </c>
      <c r="K16" s="49">
        <v>5.8446855751816136E-2</v>
      </c>
      <c r="M16" s="46">
        <v>0.18916558794114763</v>
      </c>
      <c r="N16" s="48">
        <v>1.1019765758652452E-2</v>
      </c>
      <c r="O16" s="48">
        <v>6.6909375243769068E-2</v>
      </c>
      <c r="P16" s="49">
        <v>7.7929141002421515E-2</v>
      </c>
      <c r="R16" s="45" t="str">
        <f t="shared" si="0"/>
        <v>BB-</v>
      </c>
      <c r="S16" s="46">
        <f t="shared" si="4"/>
        <v>9.4582793970573814E-2</v>
      </c>
      <c r="T16" s="48">
        <f t="shared" si="1"/>
        <v>0.76684672787939467</v>
      </c>
      <c r="U16" s="48">
        <f t="shared" si="2"/>
        <v>-1.9015478886004622</v>
      </c>
      <c r="V16" s="121">
        <f t="shared" si="3"/>
        <v>1.3492957532832712E-2</v>
      </c>
      <c r="AF16" s="120"/>
    </row>
    <row r="17" spans="1:32" x14ac:dyDescent="0.2">
      <c r="A17" s="44" t="s">
        <v>85</v>
      </c>
      <c r="B17" s="45" t="s">
        <v>86</v>
      </c>
      <c r="C17" s="46">
        <v>1.9800000000000002E-2</v>
      </c>
      <c r="D17" s="46">
        <v>1.192579505300353E-2</v>
      </c>
      <c r="E17" s="46">
        <v>1.9300000000000001E-2</v>
      </c>
      <c r="F17" s="50">
        <v>1.7008598351001176E-2</v>
      </c>
      <c r="G17" s="51"/>
      <c r="H17" s="46">
        <v>0.1712677461914428</v>
      </c>
      <c r="I17" s="48">
        <v>1.2756448763250883E-2</v>
      </c>
      <c r="J17" s="48">
        <v>6.3631723578514487E-2</v>
      </c>
      <c r="K17" s="49">
        <v>7.638817234176537E-2</v>
      </c>
      <c r="M17" s="46">
        <v>0.1712677461914428</v>
      </c>
      <c r="N17" s="48">
        <v>1.7008598351001176E-2</v>
      </c>
      <c r="O17" s="48">
        <v>8.4842298104685979E-2</v>
      </c>
      <c r="P17" s="49">
        <v>0.10185089645568715</v>
      </c>
      <c r="R17" s="45" t="str">
        <f t="shared" si="0"/>
        <v>B+</v>
      </c>
      <c r="S17" s="46">
        <f t="shared" si="4"/>
        <v>8.5633873095721402E-2</v>
      </c>
      <c r="T17" s="48">
        <f t="shared" si="1"/>
        <v>0.81422456520301534</v>
      </c>
      <c r="U17" s="48">
        <f t="shared" si="2"/>
        <v>-1.7389796736585788</v>
      </c>
      <c r="V17" s="121">
        <f t="shared" si="3"/>
        <v>1.9549996587929819E-2</v>
      </c>
      <c r="AF17" s="120"/>
    </row>
    <row r="18" spans="1:32" x14ac:dyDescent="0.2">
      <c r="A18" s="44" t="s">
        <v>87</v>
      </c>
      <c r="B18" s="45" t="s">
        <v>88</v>
      </c>
      <c r="C18" s="46">
        <v>3.2000000000000001E-2</v>
      </c>
      <c r="D18" s="46">
        <v>2.0662935858803268E-2</v>
      </c>
      <c r="E18" s="46">
        <v>2.9700000000000001E-2</v>
      </c>
      <c r="F18" s="50">
        <v>2.7454311952934424E-2</v>
      </c>
      <c r="G18" s="51"/>
      <c r="H18" s="46">
        <v>0.15041014120752227</v>
      </c>
      <c r="I18" s="48">
        <v>2.0590733964700819E-2</v>
      </c>
      <c r="J18" s="48">
        <v>8.054466491723189E-2</v>
      </c>
      <c r="K18" s="49">
        <v>0.10113539888193271</v>
      </c>
      <c r="M18" s="46">
        <v>0.15041014120752227</v>
      </c>
      <c r="N18" s="48">
        <v>2.7454311952934424E-2</v>
      </c>
      <c r="O18" s="48">
        <v>0.1073928865563092</v>
      </c>
      <c r="P18" s="49">
        <v>0.13484719850924362</v>
      </c>
      <c r="R18" s="45" t="str">
        <f t="shared" si="0"/>
        <v>B</v>
      </c>
      <c r="S18" s="46">
        <f t="shared" si="4"/>
        <v>7.5205070603761137E-2</v>
      </c>
      <c r="T18" s="48">
        <f t="shared" si="1"/>
        <v>0.8630365391394258</v>
      </c>
      <c r="U18" s="48">
        <f t="shared" si="2"/>
        <v>-1.5507704803866962</v>
      </c>
      <c r="V18" s="121">
        <f t="shared" si="3"/>
        <v>2.8500950314098057E-2</v>
      </c>
      <c r="AF18" s="120"/>
    </row>
    <row r="19" spans="1:32" x14ac:dyDescent="0.2">
      <c r="A19" s="44" t="s">
        <v>89</v>
      </c>
      <c r="B19" s="45" t="s">
        <v>90</v>
      </c>
      <c r="C19" s="46">
        <v>6.4899999999999999E-2</v>
      </c>
      <c r="D19" s="46">
        <v>2.9546946815495731E-2</v>
      </c>
      <c r="E19" s="46">
        <v>4.6699999999999998E-2</v>
      </c>
      <c r="F19" s="50">
        <v>4.7048982271831907E-2</v>
      </c>
      <c r="G19" s="51"/>
      <c r="H19" s="46">
        <v>0.13141630537084986</v>
      </c>
      <c r="I19" s="48">
        <v>3.528673670387393E-2</v>
      </c>
      <c r="J19" s="48">
        <v>0.10446674843518945</v>
      </c>
      <c r="K19" s="49">
        <v>0.13975348513906338</v>
      </c>
      <c r="M19" s="46">
        <v>0.13141630537084986</v>
      </c>
      <c r="N19" s="48">
        <v>4.7048982271831907E-2</v>
      </c>
      <c r="O19" s="48">
        <v>0.13928899791358593</v>
      </c>
      <c r="P19" s="49">
        <v>0.18633798018541783</v>
      </c>
      <c r="R19" s="45" t="str">
        <f t="shared" si="0"/>
        <v>B-</v>
      </c>
      <c r="S19" s="46">
        <f t="shared" si="4"/>
        <v>6.5708152685424931E-2</v>
      </c>
      <c r="T19" s="48">
        <f t="shared" si="1"/>
        <v>0.91120707528193767</v>
      </c>
      <c r="U19" s="48">
        <f t="shared" si="2"/>
        <v>-1.3178725395227362</v>
      </c>
      <c r="V19" s="121">
        <f t="shared" si="3"/>
        <v>4.2575401175896414E-2</v>
      </c>
      <c r="AF19" s="120"/>
    </row>
    <row r="20" spans="1:32" x14ac:dyDescent="0.2">
      <c r="A20" s="44" t="s">
        <v>91</v>
      </c>
      <c r="B20" s="44" t="s">
        <v>92</v>
      </c>
      <c r="C20" s="46">
        <v>0.16785</v>
      </c>
      <c r="D20" s="46">
        <v>0.1253554839897584</v>
      </c>
      <c r="E20" s="46">
        <v>6.1700000000000005E-2</v>
      </c>
      <c r="F20" s="50">
        <v>0.11830182799658613</v>
      </c>
      <c r="H20" s="46">
        <v>0.12032380957836952</v>
      </c>
      <c r="I20" s="48">
        <v>8.8726370997439602E-2</v>
      </c>
      <c r="J20" s="48">
        <v>0.16929594537354656</v>
      </c>
      <c r="K20" s="49">
        <v>0.25802231637098616</v>
      </c>
      <c r="M20" s="46">
        <v>0.12032380957836952</v>
      </c>
      <c r="N20" s="48">
        <v>0.11830182799658613</v>
      </c>
      <c r="O20" s="48">
        <v>0.22572792716472873</v>
      </c>
      <c r="P20" s="49">
        <v>0.34402975516131484</v>
      </c>
      <c r="R20" s="45" t="str">
        <f t="shared" si="0"/>
        <v>CCC+</v>
      </c>
      <c r="S20" s="46">
        <f t="shared" si="4"/>
        <v>6.0161904789184761E-2</v>
      </c>
      <c r="T20" s="48">
        <f t="shared" si="1"/>
        <v>0.97021700296582292</v>
      </c>
      <c r="U20" s="48">
        <f t="shared" si="2"/>
        <v>-0.82568222211515208</v>
      </c>
      <c r="V20" s="121">
        <f t="shared" si="3"/>
        <v>8.3623354523764862E-2</v>
      </c>
      <c r="AF20" s="120"/>
    </row>
    <row r="21" spans="1:32" x14ac:dyDescent="0.2">
      <c r="A21" s="44" t="s">
        <v>93</v>
      </c>
      <c r="B21" s="44" t="s">
        <v>94</v>
      </c>
      <c r="C21" s="52">
        <v>0.27079999999999999</v>
      </c>
      <c r="D21" s="52">
        <v>0.22116402116402109</v>
      </c>
      <c r="E21" s="46">
        <v>7.6700000000000004E-2</v>
      </c>
      <c r="F21" s="50">
        <v>0.18955467372134036</v>
      </c>
      <c r="H21" s="46">
        <v>0.12000918446376808</v>
      </c>
      <c r="I21" s="48">
        <v>0.14216600529100526</v>
      </c>
      <c r="J21" s="48">
        <v>0.20937100048136048</v>
      </c>
      <c r="K21" s="49">
        <v>0.35153700577236574</v>
      </c>
      <c r="M21" s="46">
        <v>0.12000918446376808</v>
      </c>
      <c r="N21" s="48">
        <v>0.18955467372134036</v>
      </c>
      <c r="O21" s="48">
        <v>0.27916133397514731</v>
      </c>
      <c r="P21" s="49">
        <v>0.46871600769648769</v>
      </c>
      <c r="R21" s="45" t="str">
        <f t="shared" si="0"/>
        <v>CCC</v>
      </c>
      <c r="S21" s="46">
        <f t="shared" si="4"/>
        <v>6.0004592231884042E-2</v>
      </c>
      <c r="T21" s="48">
        <f t="shared" si="1"/>
        <v>0.98727680454789868</v>
      </c>
      <c r="U21" s="48">
        <f t="shared" si="2"/>
        <v>-0.51259769735408267</v>
      </c>
      <c r="V21" s="121">
        <f t="shared" si="3"/>
        <v>0.11310411740292581</v>
      </c>
      <c r="AF21" s="120"/>
    </row>
    <row r="22" spans="1:32" x14ac:dyDescent="0.2">
      <c r="A22" s="44" t="s">
        <v>114</v>
      </c>
      <c r="B22" s="44" t="s">
        <v>95</v>
      </c>
      <c r="C22" s="52">
        <v>0.27079999999999999</v>
      </c>
      <c r="D22" s="52">
        <v>0.22116402116402109</v>
      </c>
      <c r="E22" s="46">
        <v>0.19905</v>
      </c>
      <c r="F22" s="50">
        <v>0.23033800705467367</v>
      </c>
      <c r="H22" s="46">
        <v>0.12000119523960197</v>
      </c>
      <c r="I22" s="48">
        <v>0.17275350529100525</v>
      </c>
      <c r="J22" s="48">
        <v>0.22396116374969949</v>
      </c>
      <c r="K22" s="49">
        <v>0.39671466904070474</v>
      </c>
      <c r="M22" s="46">
        <v>0.12000119523960197</v>
      </c>
      <c r="N22" s="48">
        <v>0.23033800705467367</v>
      </c>
      <c r="O22" s="48">
        <v>0.29861488499959932</v>
      </c>
      <c r="P22" s="49">
        <v>0.52895289205427298</v>
      </c>
      <c r="R22" s="45" t="str">
        <f t="shared" si="0"/>
        <v>CCC-</v>
      </c>
      <c r="S22" s="46">
        <f t="shared" si="4"/>
        <v>6.0000597619800984E-2</v>
      </c>
      <c r="T22" s="48">
        <f t="shared" si="1"/>
        <v>0.99187076510544225</v>
      </c>
      <c r="U22" s="48">
        <f t="shared" si="2"/>
        <v>-0.36634964035122058</v>
      </c>
      <c r="V22" s="121">
        <f t="shared" si="3"/>
        <v>0.12568400067795277</v>
      </c>
      <c r="AF22" s="120"/>
    </row>
    <row r="23" spans="1:32" x14ac:dyDescent="0.2">
      <c r="A23" s="45" t="s">
        <v>115</v>
      </c>
      <c r="B23" s="45" t="s">
        <v>96</v>
      </c>
      <c r="C23" s="46">
        <v>0.27079999999999999</v>
      </c>
      <c r="D23" s="46">
        <v>0.22116402116402109</v>
      </c>
      <c r="E23" s="46">
        <v>0.32140000000000002</v>
      </c>
      <c r="F23" s="50">
        <v>0.271121340388007</v>
      </c>
      <c r="H23" s="46">
        <v>0.12000015554503149</v>
      </c>
      <c r="I23" s="48">
        <v>0.20334100529100524</v>
      </c>
      <c r="J23" s="48">
        <v>0.2338615340345222</v>
      </c>
      <c r="K23" s="49">
        <v>0.43720253932552744</v>
      </c>
      <c r="M23" s="46">
        <v>0.12000015554503149</v>
      </c>
      <c r="N23" s="48">
        <v>0.271121340388007</v>
      </c>
      <c r="O23" s="48">
        <v>0.31181537871269621</v>
      </c>
      <c r="P23" s="49">
        <v>0.58293671910070322</v>
      </c>
      <c r="R23" s="45" t="str">
        <f t="shared" si="0"/>
        <v>СС</v>
      </c>
      <c r="S23" s="46">
        <f t="shared" si="4"/>
        <v>6.0000077772515745E-2</v>
      </c>
      <c r="T23" s="48">
        <f t="shared" si="1"/>
        <v>0.99474071637365336</v>
      </c>
      <c r="U23" s="48">
        <f t="shared" si="2"/>
        <v>-0.23401059761785384</v>
      </c>
      <c r="V23" s="121">
        <f t="shared" si="3"/>
        <v>0.13564984237457231</v>
      </c>
      <c r="AF23" s="120"/>
    </row>
    <row r="24" spans="1:32" x14ac:dyDescent="0.2">
      <c r="A24" s="45" t="s">
        <v>99</v>
      </c>
      <c r="B24" s="45" t="s">
        <v>116</v>
      </c>
      <c r="C24" s="46">
        <v>0.63539999999999996</v>
      </c>
      <c r="D24" s="46">
        <v>0.61058201058201056</v>
      </c>
      <c r="E24" s="46">
        <v>0.66070000000000007</v>
      </c>
      <c r="F24" s="50">
        <v>0.63556067019400353</v>
      </c>
      <c r="H24" s="46">
        <v>0.1200000000000019</v>
      </c>
      <c r="I24" s="48">
        <v>0.47667050264550265</v>
      </c>
      <c r="J24" s="48">
        <v>0.19111518809856071</v>
      </c>
      <c r="K24" s="49">
        <v>0.66778569074406335</v>
      </c>
      <c r="M24" s="46">
        <v>0.1200000000000019</v>
      </c>
      <c r="N24" s="48">
        <v>0.63556067019400353</v>
      </c>
      <c r="O24" s="48">
        <v>0.25482025079808102</v>
      </c>
      <c r="P24" s="49">
        <v>0.89038092099208455</v>
      </c>
      <c r="R24" s="45" t="str">
        <f t="shared" si="0"/>
        <v>С</v>
      </c>
      <c r="S24" s="46">
        <f t="shared" si="4"/>
        <v>6.0000000000000948E-2</v>
      </c>
      <c r="T24" s="48">
        <f t="shared" si="1"/>
        <v>0.99992823533544228</v>
      </c>
      <c r="U24" s="48">
        <f t="shared" si="2"/>
        <v>0.75207189526184859</v>
      </c>
      <c r="V24" s="121">
        <f t="shared" si="3"/>
        <v>0.13842548291639858</v>
      </c>
      <c r="AF24" s="120"/>
    </row>
    <row r="25" spans="1:32" x14ac:dyDescent="0.2">
      <c r="A25" s="45" t="s">
        <v>99</v>
      </c>
      <c r="B25" s="45" t="s">
        <v>133</v>
      </c>
      <c r="C25" s="46">
        <v>1</v>
      </c>
      <c r="D25" s="46">
        <v>1</v>
      </c>
      <c r="E25" s="46">
        <v>1</v>
      </c>
      <c r="F25" s="50">
        <v>1</v>
      </c>
      <c r="H25" s="46"/>
      <c r="I25" s="48"/>
      <c r="J25" s="48"/>
      <c r="K25" s="49">
        <f>F25</f>
        <v>1</v>
      </c>
      <c r="M25" s="88"/>
      <c r="N25" s="88"/>
      <c r="O25" s="88"/>
      <c r="P25" s="122">
        <f>F25</f>
        <v>1</v>
      </c>
      <c r="R25" s="45" t="str">
        <f t="shared" si="0"/>
        <v>RD</v>
      </c>
      <c r="S25" s="46"/>
      <c r="T25" s="48"/>
      <c r="U25" s="48"/>
      <c r="V25" s="121">
        <f>F25</f>
        <v>1</v>
      </c>
      <c r="AF25" s="120"/>
    </row>
    <row r="26" spans="1:32" x14ac:dyDescent="0.2">
      <c r="A26" s="45" t="s">
        <v>116</v>
      </c>
      <c r="B26" s="45" t="s">
        <v>117</v>
      </c>
      <c r="C26" s="46">
        <v>1</v>
      </c>
      <c r="D26" s="46">
        <v>1</v>
      </c>
      <c r="E26" s="46">
        <v>1</v>
      </c>
      <c r="F26" s="50">
        <v>1</v>
      </c>
      <c r="H26" s="46"/>
      <c r="I26" s="48"/>
      <c r="J26" s="48"/>
      <c r="K26" s="49">
        <f>F26</f>
        <v>1</v>
      </c>
      <c r="M26" s="88"/>
      <c r="N26" s="88"/>
      <c r="O26" s="88"/>
      <c r="P26" s="122">
        <f>F26</f>
        <v>1</v>
      </c>
      <c r="R26" s="45" t="str">
        <f t="shared" si="0"/>
        <v>D</v>
      </c>
      <c r="S26" s="46"/>
      <c r="T26" s="48"/>
      <c r="U26" s="48"/>
      <c r="V26" s="121">
        <f>F26</f>
        <v>1</v>
      </c>
    </row>
    <row r="30" spans="1:32" ht="15" customHeight="1" x14ac:dyDescent="0.2">
      <c r="A30" s="232" t="s">
        <v>171</v>
      </c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</row>
    <row r="31" spans="1:32" ht="15" x14ac:dyDescent="0.25">
      <c r="A31" s="111"/>
      <c r="B31" s="111"/>
      <c r="C31" s="111"/>
      <c r="D31" s="115" t="s">
        <v>172</v>
      </c>
      <c r="E31" s="117">
        <f>AVERAGE(C45:C230)</f>
        <v>2.5883678797359835E-2</v>
      </c>
      <c r="F31" s="116"/>
      <c r="G31" s="116">
        <v>0.999</v>
      </c>
      <c r="H31" s="117">
        <f>_xlfn.NORM.INV(1-G31,$E$31,$E$32)</f>
        <v>-0.10448224958041735</v>
      </c>
      <c r="I31" s="116">
        <f>COUNTIF(C48:C230,"&lt;=" &amp;H31)</f>
        <v>0</v>
      </c>
      <c r="J31" s="111"/>
    </row>
    <row r="32" spans="1:32" ht="15" x14ac:dyDescent="0.25">
      <c r="A32" s="111" t="s">
        <v>173</v>
      </c>
      <c r="B32" s="111"/>
      <c r="C32" s="111"/>
      <c r="D32" s="115" t="s">
        <v>174</v>
      </c>
      <c r="E32" s="117">
        <f>_xlfn.STDEV.S(C45:C230)</f>
        <v>4.218644925741636E-2</v>
      </c>
      <c r="F32" s="116"/>
      <c r="G32" s="116">
        <v>0.995</v>
      </c>
      <c r="H32" s="117">
        <f t="shared" ref="H32:H35" si="5">_xlfn.NORM.INV(1-G32,$E$31,$E$32)</f>
        <v>-8.2781413412571947E-2</v>
      </c>
      <c r="I32" s="116">
        <f>COUNTIF(C48:C230,"&lt;=" &amp;H32)</f>
        <v>1</v>
      </c>
      <c r="J32" s="111"/>
    </row>
    <row r="33" spans="1:10" ht="15" x14ac:dyDescent="0.25">
      <c r="A33" s="111" t="s">
        <v>175</v>
      </c>
      <c r="B33" s="111"/>
      <c r="C33" s="111"/>
      <c r="D33" s="116"/>
      <c r="E33" s="116"/>
      <c r="F33" s="116"/>
      <c r="G33" s="116">
        <v>0.99</v>
      </c>
      <c r="H33" s="117">
        <f t="shared" si="5"/>
        <v>-7.2256677745962519E-2</v>
      </c>
      <c r="I33" s="116">
        <f>COUNTIF(C48:C230,"&lt;=" &amp;H33)</f>
        <v>3</v>
      </c>
      <c r="J33" s="111"/>
    </row>
    <row r="34" spans="1:10" ht="15" x14ac:dyDescent="0.25">
      <c r="A34" s="111" t="s">
        <v>176</v>
      </c>
      <c r="B34" s="111"/>
      <c r="C34" s="111"/>
      <c r="D34" s="116"/>
      <c r="E34" s="116"/>
      <c r="F34" s="116"/>
      <c r="G34" s="116">
        <v>0.95</v>
      </c>
      <c r="H34" s="117">
        <f t="shared" si="5"/>
        <v>-4.3506855271905676E-2</v>
      </c>
      <c r="I34" s="116">
        <f>COUNTIF(C48:C230,"&lt;=" &amp;H34)</f>
        <v>4</v>
      </c>
      <c r="J34" s="111"/>
    </row>
    <row r="35" spans="1:10" ht="15" x14ac:dyDescent="0.25">
      <c r="A35" s="111" t="s">
        <v>177</v>
      </c>
      <c r="B35" s="111"/>
      <c r="C35" s="111"/>
      <c r="D35" s="116"/>
      <c r="E35" s="116"/>
      <c r="F35" s="116"/>
      <c r="G35" s="116">
        <v>0.9</v>
      </c>
      <c r="H35" s="117">
        <f t="shared" si="5"/>
        <v>-2.8180431293249954E-2</v>
      </c>
      <c r="I35" s="116">
        <f>COUNTIF(C48:C230,"&lt;=" &amp;H35)</f>
        <v>7</v>
      </c>
      <c r="J35" s="111"/>
    </row>
    <row r="36" spans="1:10" ht="15" x14ac:dyDescent="0.25">
      <c r="A36" s="111" t="s">
        <v>178</v>
      </c>
      <c r="B36" s="111"/>
      <c r="C36" s="111"/>
      <c r="D36" s="111"/>
      <c r="E36" s="111"/>
      <c r="F36" s="111"/>
      <c r="G36" s="111"/>
      <c r="H36" s="111"/>
      <c r="I36" s="111"/>
      <c r="J36" s="111"/>
    </row>
    <row r="37" spans="1:10" ht="15" x14ac:dyDescent="0.25">
      <c r="A37" s="111" t="s">
        <v>179</v>
      </c>
      <c r="B37" s="111" t="s">
        <v>180</v>
      </c>
      <c r="C37" s="111"/>
      <c r="D37" s="111"/>
      <c r="E37" s="111"/>
      <c r="F37" s="111"/>
      <c r="G37" s="111"/>
      <c r="H37" s="111"/>
      <c r="I37" s="111"/>
      <c r="J37" s="111"/>
    </row>
    <row r="38" spans="1:10" ht="15" x14ac:dyDescent="0.25">
      <c r="A38" s="131" t="s">
        <v>183</v>
      </c>
      <c r="B38" s="114"/>
      <c r="C38" s="111"/>
      <c r="D38" s="111"/>
      <c r="E38" s="111"/>
      <c r="F38" s="111"/>
      <c r="G38" s="111"/>
      <c r="H38" s="111"/>
      <c r="I38" s="111"/>
      <c r="J38" s="111"/>
    </row>
    <row r="39" spans="1:10" ht="15" x14ac:dyDescent="0.25">
      <c r="A39" s="113"/>
      <c r="B39" s="114"/>
      <c r="C39" s="111"/>
      <c r="D39" s="111"/>
      <c r="E39" s="111"/>
      <c r="F39" s="111"/>
      <c r="G39" s="111"/>
      <c r="H39" s="111"/>
      <c r="I39" s="111"/>
      <c r="J39" s="111"/>
    </row>
    <row r="40" spans="1:10" ht="15" x14ac:dyDescent="0.25">
      <c r="A40" s="113"/>
      <c r="B40" s="114" t="s">
        <v>184</v>
      </c>
      <c r="C40" s="111"/>
      <c r="D40" s="111"/>
      <c r="E40" s="111"/>
      <c r="F40" s="111"/>
      <c r="G40" s="111"/>
      <c r="H40" s="111"/>
      <c r="I40" s="111"/>
      <c r="J40" s="111"/>
    </row>
    <row r="41" spans="1:10" ht="15" x14ac:dyDescent="0.25">
      <c r="A41" s="111"/>
      <c r="B41" s="111"/>
      <c r="C41" s="111"/>
      <c r="D41" s="111"/>
      <c r="E41" s="111"/>
      <c r="F41" s="111"/>
      <c r="G41" s="111"/>
      <c r="H41" s="111"/>
      <c r="I41" s="111"/>
      <c r="J41" s="111"/>
    </row>
    <row r="42" spans="1:10" ht="15" x14ac:dyDescent="0.25">
      <c r="A42" s="111" t="s">
        <v>181</v>
      </c>
      <c r="B42" s="111"/>
      <c r="C42" s="111"/>
      <c r="D42" s="111"/>
      <c r="E42" s="111"/>
      <c r="F42" s="111"/>
      <c r="G42" s="111"/>
      <c r="H42" s="111"/>
      <c r="I42" s="111"/>
      <c r="J42" s="111"/>
    </row>
    <row r="43" spans="1:10" ht="15" x14ac:dyDescent="0.25">
      <c r="A43" s="111" t="s">
        <v>182</v>
      </c>
      <c r="B43" s="111" t="s">
        <v>179</v>
      </c>
      <c r="C43" s="111"/>
      <c r="D43" s="111"/>
      <c r="E43" s="111"/>
      <c r="F43" s="111"/>
      <c r="G43" s="111"/>
      <c r="H43" s="111"/>
      <c r="I43" s="111"/>
      <c r="J43" s="111"/>
    </row>
    <row r="44" spans="1:10" ht="15" x14ac:dyDescent="0.25">
      <c r="A44" s="112">
        <v>37622</v>
      </c>
      <c r="B44" s="211">
        <v>65.512628317237699</v>
      </c>
      <c r="C44" s="211"/>
      <c r="D44" s="211"/>
      <c r="E44" s="211"/>
      <c r="F44" s="111"/>
      <c r="G44" s="111"/>
      <c r="H44" s="111"/>
      <c r="I44" s="111"/>
      <c r="J44" s="111"/>
    </row>
    <row r="45" spans="1:10" ht="15" x14ac:dyDescent="0.25">
      <c r="A45" s="112">
        <v>37712</v>
      </c>
      <c r="B45" s="211">
        <v>66.243380112972901</v>
      </c>
      <c r="C45" s="211"/>
      <c r="D45" s="211"/>
      <c r="E45" s="211"/>
      <c r="F45" s="111"/>
      <c r="G45" s="111"/>
      <c r="H45" s="111"/>
      <c r="I45" s="111"/>
      <c r="J45" s="111"/>
    </row>
    <row r="46" spans="1:10" ht="15" x14ac:dyDescent="0.25">
      <c r="A46" s="112">
        <v>37803</v>
      </c>
      <c r="B46" s="211">
        <v>67.361679117407604</v>
      </c>
      <c r="C46" s="211"/>
      <c r="D46" s="211"/>
      <c r="E46" s="211"/>
      <c r="F46" s="111"/>
      <c r="G46" s="111"/>
      <c r="H46" s="111"/>
      <c r="I46" s="111"/>
      <c r="J46" s="111"/>
    </row>
    <row r="47" spans="1:10" ht="15" x14ac:dyDescent="0.25">
      <c r="A47" s="112">
        <v>37895</v>
      </c>
      <c r="B47" s="211">
        <v>68.590234064309399</v>
      </c>
      <c r="C47" s="211"/>
      <c r="D47" s="211"/>
      <c r="E47" s="211"/>
      <c r="F47" s="111"/>
      <c r="G47" s="111"/>
      <c r="H47" s="111"/>
      <c r="I47" s="111"/>
      <c r="J47" s="111"/>
    </row>
    <row r="48" spans="1:10" ht="15" x14ac:dyDescent="0.25">
      <c r="A48" s="112">
        <v>37987</v>
      </c>
      <c r="B48" s="211">
        <v>69.878816109722706</v>
      </c>
      <c r="C48" s="211">
        <f>LN(B48/B44)</f>
        <v>6.4519620566704391E-2</v>
      </c>
      <c r="D48" s="211">
        <f>(C48-$E$31)/$E$32</f>
        <v>0.91583772631806337</v>
      </c>
      <c r="E48" s="211">
        <f>_xlfn.NORM.DIST(C48,$E$31,$E$32,TRUE)</f>
        <v>0.82012399351554865</v>
      </c>
      <c r="F48" s="111"/>
      <c r="G48" s="111"/>
      <c r="H48" s="111"/>
      <c r="I48" s="111"/>
      <c r="J48" s="111"/>
    </row>
    <row r="49" spans="1:10" ht="15" x14ac:dyDescent="0.25">
      <c r="A49" s="112">
        <v>38078</v>
      </c>
      <c r="B49" s="211">
        <v>71.225509502001998</v>
      </c>
      <c r="C49" s="211">
        <f t="shared" ref="C49:C112" si="6">LN(B49/B45)</f>
        <v>7.2515496722984824E-2</v>
      </c>
      <c r="D49" s="211">
        <f t="shared" ref="D49:D112" si="7">(C49-$E$31)/$E$32</f>
        <v>1.1053743262696405</v>
      </c>
      <c r="E49" s="211">
        <f t="shared" ref="E49:E112" si="8">_xlfn.NORM.DIST(C49,$E$31,$E$32,TRUE)</f>
        <v>0.86550128816071248</v>
      </c>
      <c r="F49" s="111"/>
      <c r="G49" s="111"/>
      <c r="H49" s="111"/>
      <c r="I49" s="111"/>
      <c r="J49" s="111"/>
    </row>
    <row r="50" spans="1:10" ht="15" x14ac:dyDescent="0.25">
      <c r="A50" s="112">
        <v>38169</v>
      </c>
      <c r="B50" s="211">
        <v>72.304244910508203</v>
      </c>
      <c r="C50" s="211">
        <f t="shared" si="6"/>
        <v>7.0806542758027793E-2</v>
      </c>
      <c r="D50" s="211">
        <f t="shared" si="7"/>
        <v>1.0648647788903574</v>
      </c>
      <c r="E50" s="211">
        <f t="shared" si="8"/>
        <v>0.85653143719636771</v>
      </c>
      <c r="F50" s="111"/>
      <c r="G50" s="111"/>
      <c r="H50" s="111"/>
      <c r="I50" s="111"/>
      <c r="J50" s="111"/>
    </row>
    <row r="51" spans="1:10" ht="15" x14ac:dyDescent="0.25">
      <c r="A51" s="112">
        <v>38261</v>
      </c>
      <c r="B51" s="211">
        <v>73.112729852532496</v>
      </c>
      <c r="C51" s="211">
        <f t="shared" si="6"/>
        <v>6.3852330565072793E-2</v>
      </c>
      <c r="D51" s="211">
        <f t="shared" si="7"/>
        <v>0.90002008787307652</v>
      </c>
      <c r="E51" s="211">
        <f t="shared" si="8"/>
        <v>0.81594521969165079</v>
      </c>
      <c r="F51" s="111"/>
      <c r="G51" s="111"/>
      <c r="H51" s="111"/>
      <c r="I51" s="111"/>
      <c r="J51" s="111"/>
    </row>
    <row r="52" spans="1:10" ht="15" x14ac:dyDescent="0.25">
      <c r="A52" s="112">
        <v>38353</v>
      </c>
      <c r="B52" s="211">
        <v>74.390800365642704</v>
      </c>
      <c r="C52" s="211">
        <f t="shared" si="6"/>
        <v>6.2569739833128801E-2</v>
      </c>
      <c r="D52" s="211">
        <f t="shared" si="7"/>
        <v>0.86961717996021126</v>
      </c>
      <c r="E52" s="211">
        <f t="shared" si="8"/>
        <v>0.8077451770337587</v>
      </c>
      <c r="F52" s="111"/>
      <c r="G52" s="111"/>
      <c r="H52" s="111"/>
      <c r="I52" s="111"/>
      <c r="J52" s="111"/>
    </row>
    <row r="53" spans="1:10" ht="15" x14ac:dyDescent="0.25">
      <c r="A53" s="112">
        <v>38443</v>
      </c>
      <c r="B53" s="211">
        <v>75.523247927736307</v>
      </c>
      <c r="C53" s="211">
        <f t="shared" si="6"/>
        <v>5.8589494656495295E-2</v>
      </c>
      <c r="D53" s="211">
        <f t="shared" si="7"/>
        <v>0.77526827772512252</v>
      </c>
      <c r="E53" s="211">
        <f t="shared" si="8"/>
        <v>0.78090942498696281</v>
      </c>
      <c r="F53" s="111"/>
      <c r="G53" s="111"/>
      <c r="H53" s="111"/>
      <c r="I53" s="111"/>
      <c r="J53" s="111"/>
    </row>
    <row r="54" spans="1:10" ht="15" x14ac:dyDescent="0.25">
      <c r="A54" s="112">
        <v>38534</v>
      </c>
      <c r="B54" s="211">
        <v>76.854122337821906</v>
      </c>
      <c r="C54" s="211">
        <f t="shared" si="6"/>
        <v>6.1026270000555112E-2</v>
      </c>
      <c r="D54" s="211">
        <f t="shared" si="7"/>
        <v>0.8330303171229142</v>
      </c>
      <c r="E54" s="211">
        <f t="shared" si="8"/>
        <v>0.79758618438325735</v>
      </c>
      <c r="F54" s="111"/>
      <c r="G54" s="111"/>
      <c r="H54" s="111"/>
      <c r="I54" s="111"/>
      <c r="J54" s="111"/>
    </row>
    <row r="55" spans="1:10" ht="15" x14ac:dyDescent="0.25">
      <c r="A55" s="112">
        <v>38626</v>
      </c>
      <c r="B55" s="211">
        <v>78.439500279154899</v>
      </c>
      <c r="C55" s="211">
        <f t="shared" si="6"/>
        <v>7.0325135983755449E-2</v>
      </c>
      <c r="D55" s="211">
        <f t="shared" si="7"/>
        <v>1.0534533711339269</v>
      </c>
      <c r="E55" s="211">
        <f t="shared" si="8"/>
        <v>0.8539333728383256</v>
      </c>
      <c r="F55" s="111"/>
      <c r="G55" s="111"/>
      <c r="H55" s="111"/>
      <c r="I55" s="111"/>
      <c r="J55" s="111"/>
    </row>
    <row r="56" spans="1:10" ht="15" x14ac:dyDescent="0.25">
      <c r="A56" s="112">
        <v>38718</v>
      </c>
      <c r="B56" s="211">
        <v>79.953857354179803</v>
      </c>
      <c r="C56" s="211">
        <f t="shared" si="6"/>
        <v>7.2117402003578746E-2</v>
      </c>
      <c r="D56" s="211">
        <f t="shared" si="7"/>
        <v>1.0959377719633761</v>
      </c>
      <c r="E56" s="211">
        <f t="shared" si="8"/>
        <v>0.86344699611419518</v>
      </c>
      <c r="F56" s="111"/>
      <c r="G56" s="111"/>
      <c r="H56" s="111"/>
      <c r="I56" s="111"/>
      <c r="J56" s="111"/>
    </row>
    <row r="57" spans="1:10" ht="15" x14ac:dyDescent="0.25">
      <c r="A57" s="112">
        <v>38808</v>
      </c>
      <c r="B57" s="211">
        <v>81.4930522232263</v>
      </c>
      <c r="C57" s="211">
        <f t="shared" si="6"/>
        <v>7.607723938801951E-2</v>
      </c>
      <c r="D57" s="211">
        <f t="shared" si="7"/>
        <v>1.1898029218905088</v>
      </c>
      <c r="E57" s="211">
        <f t="shared" si="8"/>
        <v>0.88293806954687115</v>
      </c>
      <c r="F57" s="111"/>
      <c r="G57" s="111"/>
      <c r="H57" s="111"/>
      <c r="I57" s="111"/>
      <c r="J57" s="111"/>
    </row>
    <row r="58" spans="1:10" ht="15" x14ac:dyDescent="0.25">
      <c r="A58" s="112">
        <v>38899</v>
      </c>
      <c r="B58" s="211">
        <v>83.364237963255505</v>
      </c>
      <c r="C58" s="211">
        <f t="shared" si="6"/>
        <v>8.1310306106349692E-2</v>
      </c>
      <c r="D58" s="211">
        <f t="shared" si="7"/>
        <v>1.3138490743978857</v>
      </c>
      <c r="E58" s="211">
        <f t="shared" si="8"/>
        <v>0.90555150041346877</v>
      </c>
      <c r="F58" s="111"/>
      <c r="G58" s="111"/>
      <c r="H58" s="111"/>
      <c r="I58" s="111"/>
      <c r="J58" s="111"/>
    </row>
    <row r="59" spans="1:10" ht="15" x14ac:dyDescent="0.25">
      <c r="A59" s="112">
        <v>38991</v>
      </c>
      <c r="B59" s="211">
        <v>84.947525344130895</v>
      </c>
      <c r="C59" s="211">
        <f t="shared" si="6"/>
        <v>7.9706086391588216E-2</v>
      </c>
      <c r="D59" s="211">
        <f t="shared" si="7"/>
        <v>1.2758221784870036</v>
      </c>
      <c r="E59" s="211">
        <f t="shared" si="8"/>
        <v>0.89899080717185254</v>
      </c>
      <c r="F59" s="111"/>
      <c r="G59" s="111"/>
      <c r="H59" s="111"/>
      <c r="I59" s="111"/>
      <c r="J59" s="111"/>
    </row>
    <row r="60" spans="1:10" ht="15" x14ac:dyDescent="0.25">
      <c r="A60" s="112">
        <v>39083</v>
      </c>
      <c r="B60" s="211">
        <v>86.488176930452994</v>
      </c>
      <c r="C60" s="211">
        <f t="shared" si="6"/>
        <v>7.8558036513156529E-2</v>
      </c>
      <c r="D60" s="211">
        <f t="shared" si="7"/>
        <v>1.2486084665335175</v>
      </c>
      <c r="E60" s="211">
        <f t="shared" si="8"/>
        <v>0.89409584292501121</v>
      </c>
      <c r="F60" s="111"/>
      <c r="G60" s="111"/>
      <c r="H60" s="111"/>
      <c r="I60" s="111"/>
      <c r="J60" s="111"/>
    </row>
    <row r="61" spans="1:10" ht="15" x14ac:dyDescent="0.25">
      <c r="A61" s="112">
        <v>39173</v>
      </c>
      <c r="B61" s="211">
        <v>88.670963974094704</v>
      </c>
      <c r="C61" s="211">
        <f t="shared" si="6"/>
        <v>8.4414716994242689E-2</v>
      </c>
      <c r="D61" s="211">
        <f t="shared" si="7"/>
        <v>1.3874369430746325</v>
      </c>
      <c r="E61" s="211">
        <f t="shared" si="8"/>
        <v>0.91734571673685572</v>
      </c>
      <c r="F61" s="111"/>
      <c r="G61" s="111"/>
      <c r="H61" s="111"/>
      <c r="I61" s="111"/>
      <c r="J61" s="111"/>
    </row>
    <row r="62" spans="1:10" ht="15" x14ac:dyDescent="0.25">
      <c r="A62" s="112">
        <v>39264</v>
      </c>
      <c r="B62" s="211">
        <v>90.626256604610802</v>
      </c>
      <c r="C62" s="211">
        <f t="shared" si="6"/>
        <v>8.3524563057342308E-2</v>
      </c>
      <c r="D62" s="211">
        <f t="shared" si="7"/>
        <v>1.3663364723649793</v>
      </c>
      <c r="E62" s="211">
        <f t="shared" si="8"/>
        <v>0.9140833108330626</v>
      </c>
      <c r="F62" s="111"/>
      <c r="G62" s="111"/>
      <c r="H62" s="111"/>
      <c r="I62" s="111"/>
      <c r="J62" s="111"/>
    </row>
    <row r="63" spans="1:10" ht="15" x14ac:dyDescent="0.25">
      <c r="A63" s="112">
        <v>39356</v>
      </c>
      <c r="B63" s="211">
        <v>93.520707134506793</v>
      </c>
      <c r="C63" s="211">
        <f t="shared" si="6"/>
        <v>9.6149161494286678E-2</v>
      </c>
      <c r="D63" s="211">
        <f t="shared" si="7"/>
        <v>1.6655936665391244</v>
      </c>
      <c r="E63" s="211">
        <f t="shared" si="8"/>
        <v>0.95210281326571122</v>
      </c>
      <c r="F63" s="111"/>
      <c r="G63" s="111"/>
      <c r="H63" s="111"/>
      <c r="I63" s="111"/>
      <c r="J63" s="111"/>
    </row>
    <row r="64" spans="1:10" ht="15" x14ac:dyDescent="0.25">
      <c r="A64" s="112">
        <v>39448</v>
      </c>
      <c r="B64" s="211">
        <v>96.001972183673104</v>
      </c>
      <c r="C64" s="211">
        <f t="shared" si="6"/>
        <v>0.10436101312580764</v>
      </c>
      <c r="D64" s="211">
        <f t="shared" si="7"/>
        <v>1.860249812673</v>
      </c>
      <c r="E64" s="211">
        <f t="shared" si="8"/>
        <v>0.96857490476085228</v>
      </c>
      <c r="F64" s="111"/>
      <c r="G64" s="111"/>
      <c r="H64" s="111"/>
      <c r="I64" s="111"/>
      <c r="J64" s="111"/>
    </row>
    <row r="65" spans="1:10" ht="15" x14ac:dyDescent="0.25">
      <c r="A65" s="112">
        <v>39539</v>
      </c>
      <c r="B65" s="211">
        <v>96.598722741289706</v>
      </c>
      <c r="C65" s="211">
        <f t="shared" si="6"/>
        <v>8.5633034178795558E-2</v>
      </c>
      <c r="D65" s="211">
        <f t="shared" si="7"/>
        <v>1.4163162919176424</v>
      </c>
      <c r="E65" s="211">
        <f t="shared" si="8"/>
        <v>0.92165854004383452</v>
      </c>
      <c r="F65" s="111"/>
      <c r="G65" s="111"/>
      <c r="H65" s="111"/>
      <c r="I65" s="111"/>
      <c r="J65" s="111"/>
    </row>
    <row r="66" spans="1:10" ht="15" x14ac:dyDescent="0.25">
      <c r="A66" s="112">
        <v>39630</v>
      </c>
      <c r="B66" s="211">
        <v>95.158755916311193</v>
      </c>
      <c r="C66" s="211">
        <f t="shared" si="6"/>
        <v>4.8802632689593575E-2</v>
      </c>
      <c r="D66" s="211">
        <f t="shared" si="7"/>
        <v>0.54327762339952324</v>
      </c>
      <c r="E66" s="211">
        <f t="shared" si="8"/>
        <v>0.70653066573800039</v>
      </c>
      <c r="F66" s="111"/>
      <c r="G66" s="111"/>
      <c r="H66" s="111"/>
      <c r="I66" s="111"/>
      <c r="J66" s="111"/>
    </row>
    <row r="67" spans="1:10" ht="15" x14ac:dyDescent="0.25">
      <c r="A67" s="112">
        <v>39722</v>
      </c>
      <c r="B67" s="211">
        <v>92.063991928419199</v>
      </c>
      <c r="C67" s="211">
        <f t="shared" si="6"/>
        <v>-1.5698978758183581E-2</v>
      </c>
      <c r="D67" s="211">
        <f t="shared" si="7"/>
        <v>-0.98568754392699209</v>
      </c>
      <c r="E67" s="211">
        <f t="shared" si="8"/>
        <v>0.16214323186432572</v>
      </c>
      <c r="F67" s="111"/>
      <c r="G67" s="111"/>
      <c r="H67" s="111"/>
      <c r="I67" s="111"/>
      <c r="J67" s="111"/>
    </row>
    <row r="68" spans="1:10" ht="15" x14ac:dyDescent="0.25">
      <c r="A68" s="112">
        <v>39814</v>
      </c>
      <c r="B68" s="211">
        <v>88.816911727374205</v>
      </c>
      <c r="C68" s="211">
        <f t="shared" si="6"/>
        <v>-7.7791655591083586E-2</v>
      </c>
      <c r="D68" s="211">
        <f t="shared" si="7"/>
        <v>-2.4575506166880672</v>
      </c>
      <c r="E68" s="211">
        <f t="shared" si="8"/>
        <v>6.9944048064393268E-3</v>
      </c>
      <c r="F68" s="111"/>
      <c r="G68" s="111"/>
      <c r="H68" s="111"/>
      <c r="I68" s="111"/>
      <c r="J68" s="111"/>
    </row>
    <row r="69" spans="1:10" ht="15" x14ac:dyDescent="0.25">
      <c r="A69" s="112">
        <v>39904</v>
      </c>
      <c r="B69" s="211">
        <v>87.521196634943294</v>
      </c>
      <c r="C69" s="211">
        <f t="shared" si="6"/>
        <v>-9.8684507708266173E-2</v>
      </c>
      <c r="D69" s="211">
        <f t="shared" si="7"/>
        <v>-2.9528009277464133</v>
      </c>
      <c r="E69" s="211">
        <f t="shared" si="8"/>
        <v>1.5745248457822267E-3</v>
      </c>
      <c r="F69" s="111"/>
      <c r="G69" s="111"/>
      <c r="H69" s="111"/>
      <c r="I69" s="111"/>
      <c r="J69" s="111"/>
    </row>
    <row r="70" spans="1:10" ht="15" x14ac:dyDescent="0.25">
      <c r="A70" s="112">
        <v>39995</v>
      </c>
      <c r="B70" s="211">
        <v>87.8804056472582</v>
      </c>
      <c r="C70" s="211">
        <f t="shared" si="6"/>
        <v>-7.9569748322083175E-2</v>
      </c>
      <c r="D70" s="211">
        <f t="shared" si="7"/>
        <v>-2.4996990497109528</v>
      </c>
      <c r="E70" s="211">
        <f t="shared" si="8"/>
        <v>6.2149424577405826E-3</v>
      </c>
      <c r="F70" s="111"/>
      <c r="G70" s="111"/>
      <c r="H70" s="111"/>
      <c r="I70" s="111"/>
      <c r="J70" s="111"/>
    </row>
    <row r="71" spans="1:10" ht="15" x14ac:dyDescent="0.25">
      <c r="A71" s="112">
        <v>40087</v>
      </c>
      <c r="B71" s="211">
        <v>88.831015425949403</v>
      </c>
      <c r="C71" s="211">
        <f t="shared" si="6"/>
        <v>-3.5748037864230614E-2</v>
      </c>
      <c r="D71" s="211">
        <f t="shared" si="7"/>
        <v>-1.4609363372945074</v>
      </c>
      <c r="E71" s="211">
        <f t="shared" si="8"/>
        <v>7.2016456662110581E-2</v>
      </c>
      <c r="F71" s="111"/>
      <c r="G71" s="111"/>
      <c r="H71" s="111"/>
      <c r="I71" s="111"/>
      <c r="J71" s="111"/>
    </row>
    <row r="72" spans="1:10" ht="15" x14ac:dyDescent="0.25">
      <c r="A72" s="112">
        <v>40179</v>
      </c>
      <c r="B72" s="211">
        <v>90.730632954025694</v>
      </c>
      <c r="C72" s="211">
        <f t="shared" si="6"/>
        <v>2.131796014900977E-2</v>
      </c>
      <c r="D72" s="211">
        <f t="shared" si="7"/>
        <v>-0.10822713759317901</v>
      </c>
      <c r="E72" s="211">
        <f t="shared" si="8"/>
        <v>0.45690775934906536</v>
      </c>
      <c r="F72" s="111"/>
      <c r="G72" s="111"/>
      <c r="H72" s="111"/>
      <c r="I72" s="111"/>
      <c r="J72" s="111"/>
    </row>
    <row r="73" spans="1:10" ht="15" x14ac:dyDescent="0.25">
      <c r="A73" s="112">
        <v>40269</v>
      </c>
      <c r="B73" s="211">
        <v>91.592663846418304</v>
      </c>
      <c r="C73" s="211">
        <f t="shared" si="6"/>
        <v>4.5470168176953006E-2</v>
      </c>
      <c r="D73" s="211">
        <f t="shared" si="7"/>
        <v>0.46428390453244595</v>
      </c>
      <c r="E73" s="211">
        <f t="shared" si="8"/>
        <v>0.67877782294487554</v>
      </c>
      <c r="F73" s="111"/>
      <c r="G73" s="111"/>
      <c r="H73" s="111"/>
      <c r="I73" s="111"/>
      <c r="J73" s="111"/>
    </row>
    <row r="74" spans="1:10" ht="15" x14ac:dyDescent="0.25">
      <c r="A74" s="112">
        <v>40360</v>
      </c>
      <c r="B74" s="211">
        <v>92.072162913634301</v>
      </c>
      <c r="C74" s="211">
        <f t="shared" si="6"/>
        <v>4.6595785652107417E-2</v>
      </c>
      <c r="D74" s="211">
        <f t="shared" si="7"/>
        <v>0.49096587220140131</v>
      </c>
      <c r="E74" s="211">
        <f t="shared" si="8"/>
        <v>0.68827470720710338</v>
      </c>
      <c r="F74" s="111"/>
      <c r="G74" s="111"/>
      <c r="H74" s="111"/>
      <c r="I74" s="111"/>
      <c r="J74" s="111"/>
    </row>
    <row r="75" spans="1:10" ht="15" x14ac:dyDescent="0.25">
      <c r="A75" s="112">
        <v>40452</v>
      </c>
      <c r="B75" s="211">
        <v>93.229491614269193</v>
      </c>
      <c r="C75" s="211">
        <f t="shared" si="6"/>
        <v>4.8328243435161927E-2</v>
      </c>
      <c r="D75" s="211">
        <f t="shared" si="7"/>
        <v>0.53203256099721041</v>
      </c>
      <c r="E75" s="211">
        <f t="shared" si="8"/>
        <v>0.70264827801567187</v>
      </c>
      <c r="F75" s="111"/>
      <c r="G75" s="111"/>
      <c r="H75" s="111"/>
      <c r="I75" s="111"/>
      <c r="J75" s="111"/>
    </row>
    <row r="76" spans="1:10" ht="15" x14ac:dyDescent="0.25">
      <c r="A76" s="112">
        <v>40544</v>
      </c>
      <c r="B76" s="211">
        <v>94.165657394337899</v>
      </c>
      <c r="C76" s="211">
        <f t="shared" si="6"/>
        <v>3.716050453003953E-2</v>
      </c>
      <c r="D76" s="211">
        <f t="shared" si="7"/>
        <v>0.26730919361973166</v>
      </c>
      <c r="E76" s="211">
        <f t="shared" si="8"/>
        <v>0.6053844456213322</v>
      </c>
      <c r="F76" s="111"/>
      <c r="G76" s="111"/>
      <c r="H76" s="111"/>
      <c r="I76" s="111"/>
      <c r="J76" s="111"/>
    </row>
    <row r="77" spans="1:10" ht="15" x14ac:dyDescent="0.25">
      <c r="A77" s="112">
        <v>40634</v>
      </c>
      <c r="B77" s="211">
        <v>95.171650018798502</v>
      </c>
      <c r="C77" s="211">
        <f t="shared" si="6"/>
        <v>3.8330924067833706E-2</v>
      </c>
      <c r="D77" s="211">
        <f t="shared" si="7"/>
        <v>0.29505316255753977</v>
      </c>
      <c r="E77" s="211">
        <f t="shared" si="8"/>
        <v>0.61602336572123984</v>
      </c>
      <c r="F77" s="111"/>
      <c r="G77" s="111"/>
      <c r="H77" s="111"/>
      <c r="I77" s="111"/>
      <c r="J77" s="111"/>
    </row>
    <row r="78" spans="1:10" ht="15" x14ac:dyDescent="0.25">
      <c r="A78" s="112">
        <v>40725</v>
      </c>
      <c r="B78" s="211">
        <v>96.361658784881897</v>
      </c>
      <c r="C78" s="211">
        <f t="shared" si="6"/>
        <v>4.5535742973246522E-2</v>
      </c>
      <c r="D78" s="211">
        <f t="shared" si="7"/>
        <v>0.46583830878897359</v>
      </c>
      <c r="E78" s="211">
        <f t="shared" si="8"/>
        <v>0.67933437911923367</v>
      </c>
      <c r="F78" s="111"/>
      <c r="G78" s="111"/>
      <c r="H78" s="111"/>
      <c r="I78" s="111"/>
      <c r="J78" s="111"/>
    </row>
    <row r="79" spans="1:10" ht="15" x14ac:dyDescent="0.25">
      <c r="A79" s="112">
        <v>40817</v>
      </c>
      <c r="B79" s="211">
        <v>97.563096564995405</v>
      </c>
      <c r="C79" s="211">
        <f t="shared" si="6"/>
        <v>4.5435207686135466E-2</v>
      </c>
      <c r="D79" s="211">
        <f t="shared" si="7"/>
        <v>0.46345519077641928</v>
      </c>
      <c r="E79" s="211">
        <f t="shared" si="8"/>
        <v>0.67848093678270882</v>
      </c>
      <c r="F79" s="111"/>
      <c r="G79" s="111"/>
      <c r="H79" s="111"/>
      <c r="I79" s="111"/>
      <c r="J79" s="111"/>
    </row>
    <row r="80" spans="1:10" ht="15" x14ac:dyDescent="0.25">
      <c r="A80" s="112">
        <v>40909</v>
      </c>
      <c r="B80" s="211">
        <v>99.001211374891099</v>
      </c>
      <c r="C80" s="211">
        <f t="shared" si="6"/>
        <v>5.007654224502673E-2</v>
      </c>
      <c r="D80" s="211">
        <f t="shared" si="7"/>
        <v>0.57347475015128935</v>
      </c>
      <c r="E80" s="211">
        <f t="shared" si="8"/>
        <v>0.71683835466807833</v>
      </c>
      <c r="F80" s="111"/>
      <c r="G80" s="111"/>
      <c r="H80" s="111"/>
      <c r="I80" s="111"/>
      <c r="J80" s="111"/>
    </row>
    <row r="81" spans="1:10" ht="15" x14ac:dyDescent="0.25">
      <c r="A81" s="112">
        <v>41000</v>
      </c>
      <c r="B81" s="211">
        <v>99.412537823451203</v>
      </c>
      <c r="C81" s="211">
        <f t="shared" si="6"/>
        <v>4.3596137225231667E-2</v>
      </c>
      <c r="D81" s="211">
        <f t="shared" si="7"/>
        <v>0.4198613237106697</v>
      </c>
      <c r="E81" s="211">
        <f t="shared" si="8"/>
        <v>0.66270661840468847</v>
      </c>
      <c r="F81" s="111"/>
      <c r="G81" s="111"/>
      <c r="H81" s="111"/>
      <c r="I81" s="111"/>
      <c r="J81" s="111"/>
    </row>
    <row r="82" spans="1:10" ht="15" x14ac:dyDescent="0.25">
      <c r="A82" s="112">
        <v>41091</v>
      </c>
      <c r="B82" s="211">
        <v>99.924729016531003</v>
      </c>
      <c r="C82" s="211">
        <f t="shared" si="6"/>
        <v>3.630880067163475E-2</v>
      </c>
      <c r="D82" s="211">
        <f t="shared" si="7"/>
        <v>0.24712015487869446</v>
      </c>
      <c r="E82" s="211">
        <f t="shared" si="8"/>
        <v>0.59759238198260867</v>
      </c>
      <c r="F82" s="111"/>
      <c r="G82" s="111"/>
      <c r="H82" s="111"/>
      <c r="I82" s="111"/>
      <c r="J82" s="111"/>
    </row>
    <row r="83" spans="1:10" ht="15" x14ac:dyDescent="0.25">
      <c r="A83" s="112">
        <v>41183</v>
      </c>
      <c r="B83" s="211">
        <v>99.991549900426804</v>
      </c>
      <c r="C83" s="211">
        <f t="shared" si="6"/>
        <v>2.4586368469332209E-2</v>
      </c>
      <c r="D83" s="211">
        <f t="shared" si="7"/>
        <v>-3.0751825547383767E-2</v>
      </c>
      <c r="E83" s="211">
        <f t="shared" si="8"/>
        <v>0.48773372993711289</v>
      </c>
      <c r="F83" s="111"/>
      <c r="G83" s="111"/>
      <c r="H83" s="111"/>
      <c r="I83" s="111"/>
      <c r="J83" s="111"/>
    </row>
    <row r="84" spans="1:10" ht="15" x14ac:dyDescent="0.25">
      <c r="A84" s="112">
        <v>41275</v>
      </c>
      <c r="B84" s="211">
        <v>100.732108291909</v>
      </c>
      <c r="C84" s="211">
        <f t="shared" si="6"/>
        <v>1.7332513694964424E-2</v>
      </c>
      <c r="D84" s="211">
        <f t="shared" si="7"/>
        <v>-0.20269933243770497</v>
      </c>
      <c r="E84" s="211">
        <f t="shared" si="8"/>
        <v>0.41968502249177464</v>
      </c>
      <c r="F84" s="111"/>
      <c r="G84" s="111"/>
      <c r="H84" s="111"/>
      <c r="I84" s="111"/>
      <c r="J84" s="111"/>
    </row>
    <row r="85" spans="1:10" ht="15" x14ac:dyDescent="0.25">
      <c r="A85" s="112">
        <v>41365</v>
      </c>
      <c r="B85" s="211">
        <v>101.075161742562</v>
      </c>
      <c r="C85" s="211">
        <f t="shared" si="6"/>
        <v>1.6586174995821424E-2</v>
      </c>
      <c r="D85" s="211">
        <f t="shared" si="7"/>
        <v>-0.22039076445628838</v>
      </c>
      <c r="E85" s="211">
        <f t="shared" si="8"/>
        <v>0.41278341874805335</v>
      </c>
      <c r="F85" s="111"/>
      <c r="G85" s="111"/>
      <c r="H85" s="111"/>
      <c r="I85" s="111"/>
      <c r="J85" s="111"/>
    </row>
    <row r="86" spans="1:10" ht="15" x14ac:dyDescent="0.25">
      <c r="A86" s="112">
        <v>41456</v>
      </c>
      <c r="B86" s="211">
        <v>101.116114765489</v>
      </c>
      <c r="C86" s="211">
        <f t="shared" si="6"/>
        <v>1.1852314916781225E-2</v>
      </c>
      <c r="D86" s="211">
        <f t="shared" si="7"/>
        <v>-0.33260357597201434</v>
      </c>
      <c r="E86" s="211">
        <f t="shared" si="8"/>
        <v>0.36971677184412144</v>
      </c>
      <c r="F86" s="111"/>
      <c r="G86" s="111"/>
      <c r="H86" s="111"/>
      <c r="I86" s="111"/>
      <c r="J86" s="111"/>
    </row>
    <row r="87" spans="1:10" ht="15" x14ac:dyDescent="0.25">
      <c r="A87" s="112">
        <v>41548</v>
      </c>
      <c r="B87" s="211">
        <v>101.70010361321</v>
      </c>
      <c r="C87" s="211">
        <f t="shared" si="6"/>
        <v>1.6942640444337173E-2</v>
      </c>
      <c r="D87" s="211">
        <f t="shared" si="7"/>
        <v>-0.21194100263014742</v>
      </c>
      <c r="E87" s="211">
        <f t="shared" si="8"/>
        <v>0.41607653083575163</v>
      </c>
      <c r="F87" s="111"/>
      <c r="G87" s="111"/>
      <c r="H87" s="111"/>
      <c r="I87" s="111"/>
      <c r="J87" s="111"/>
    </row>
    <row r="88" spans="1:10" ht="15" x14ac:dyDescent="0.25">
      <c r="A88" s="112">
        <v>41640</v>
      </c>
      <c r="B88" s="211">
        <v>101.69317610112201</v>
      </c>
      <c r="C88" s="211">
        <f t="shared" si="6"/>
        <v>9.4956026212322745E-3</v>
      </c>
      <c r="D88" s="211">
        <f t="shared" si="7"/>
        <v>-0.38846777732180299</v>
      </c>
      <c r="E88" s="211">
        <f t="shared" si="8"/>
        <v>0.34883494768067186</v>
      </c>
      <c r="F88" s="111"/>
      <c r="G88" s="111"/>
      <c r="H88" s="111"/>
      <c r="I88" s="111"/>
      <c r="J88" s="111"/>
    </row>
    <row r="89" spans="1:10" ht="15" x14ac:dyDescent="0.25">
      <c r="A89" s="112">
        <v>41730</v>
      </c>
      <c r="B89" s="211">
        <v>102.18341828267801</v>
      </c>
      <c r="C89" s="211">
        <f t="shared" si="6"/>
        <v>1.0905001133936472E-2</v>
      </c>
      <c r="D89" s="211">
        <f t="shared" si="7"/>
        <v>-0.35505898048032847</v>
      </c>
      <c r="E89" s="211">
        <f t="shared" si="8"/>
        <v>0.36127270296475633</v>
      </c>
      <c r="F89" s="111"/>
      <c r="G89" s="111"/>
      <c r="H89" s="111"/>
      <c r="I89" s="111"/>
      <c r="J89" s="111"/>
    </row>
    <row r="90" spans="1:10" ht="15" x14ac:dyDescent="0.25">
      <c r="A90" s="112">
        <v>41821</v>
      </c>
      <c r="B90" s="211">
        <v>101.858499054238</v>
      </c>
      <c r="C90" s="211">
        <f t="shared" si="6"/>
        <v>7.3150783264316066E-3</v>
      </c>
      <c r="D90" s="211">
        <f t="shared" si="7"/>
        <v>-0.44015556648593446</v>
      </c>
      <c r="E90" s="211">
        <f t="shared" si="8"/>
        <v>0.32991221953776595</v>
      </c>
      <c r="F90" s="111"/>
      <c r="G90" s="111"/>
      <c r="H90" s="111"/>
      <c r="I90" s="111"/>
      <c r="J90" s="111"/>
    </row>
    <row r="91" spans="1:10" ht="15" x14ac:dyDescent="0.25">
      <c r="A91" s="112">
        <v>41913</v>
      </c>
      <c r="B91" s="211">
        <v>101.61785065343</v>
      </c>
      <c r="C91" s="211">
        <f t="shared" si="6"/>
        <v>-8.0910674675983016E-4</v>
      </c>
      <c r="D91" s="211">
        <f t="shared" si="7"/>
        <v>-0.6327336387389153</v>
      </c>
      <c r="E91" s="211">
        <f t="shared" si="8"/>
        <v>0.26345379945419556</v>
      </c>
      <c r="F91" s="111"/>
      <c r="G91" s="111"/>
      <c r="H91" s="111"/>
      <c r="I91" s="111"/>
      <c r="J91" s="111"/>
    </row>
    <row r="92" spans="1:10" ht="15" x14ac:dyDescent="0.25">
      <c r="A92" s="112">
        <v>42005</v>
      </c>
      <c r="B92" s="211">
        <v>100.582635574455</v>
      </c>
      <c r="C92" s="211">
        <f t="shared" si="6"/>
        <v>-1.0980568322704795E-2</v>
      </c>
      <c r="D92" s="211">
        <f t="shared" si="7"/>
        <v>-0.873840955305901</v>
      </c>
      <c r="E92" s="211">
        <f t="shared" si="8"/>
        <v>0.19110243663338944</v>
      </c>
      <c r="F92" s="111"/>
      <c r="G92" s="111"/>
      <c r="H92" s="111"/>
      <c r="I92" s="111"/>
      <c r="J92" s="111"/>
    </row>
    <row r="93" spans="1:10" ht="15" x14ac:dyDescent="0.25">
      <c r="A93" s="112">
        <v>42095</v>
      </c>
      <c r="B93" s="211">
        <v>99.907959091498697</v>
      </c>
      <c r="C93" s="211">
        <f t="shared" si="6"/>
        <v>-2.2520063816163366E-2</v>
      </c>
      <c r="D93" s="211">
        <f t="shared" si="7"/>
        <v>-1.1473765501848641</v>
      </c>
      <c r="E93" s="211">
        <f t="shared" si="8"/>
        <v>0.12561301428093224</v>
      </c>
      <c r="F93" s="111"/>
      <c r="G93" s="111"/>
      <c r="H93" s="111"/>
      <c r="I93" s="111"/>
      <c r="J93" s="111"/>
    </row>
    <row r="94" spans="1:10" ht="15" x14ac:dyDescent="0.25">
      <c r="A94" s="112">
        <v>42186</v>
      </c>
      <c r="B94" s="211">
        <v>100.101297158148</v>
      </c>
      <c r="C94" s="211">
        <f t="shared" si="6"/>
        <v>-1.7401941108261765E-2</v>
      </c>
      <c r="D94" s="211">
        <f t="shared" si="7"/>
        <v>-1.0260550643050863</v>
      </c>
      <c r="E94" s="211">
        <f t="shared" si="8"/>
        <v>0.15243281479475473</v>
      </c>
      <c r="F94" s="111"/>
      <c r="G94" s="111"/>
      <c r="H94" s="111"/>
      <c r="I94" s="111"/>
      <c r="J94" s="111"/>
    </row>
    <row r="95" spans="1:10" ht="15" x14ac:dyDescent="0.25">
      <c r="A95" s="112">
        <v>42278</v>
      </c>
      <c r="B95" s="211">
        <v>99.843570818054005</v>
      </c>
      <c r="C95" s="211">
        <f t="shared" si="6"/>
        <v>-1.7614545732787507E-2</v>
      </c>
      <c r="D95" s="211">
        <f t="shared" si="7"/>
        <v>-1.0310947068506926</v>
      </c>
      <c r="E95" s="211">
        <f t="shared" si="8"/>
        <v>0.15124820487755819</v>
      </c>
      <c r="F95" s="111"/>
      <c r="G95" s="111"/>
      <c r="H95" s="111"/>
      <c r="I95" s="111"/>
      <c r="J95" s="111"/>
    </row>
    <row r="96" spans="1:10" ht="15" x14ac:dyDescent="0.25">
      <c r="A96" s="112">
        <v>42370</v>
      </c>
      <c r="B96" s="211">
        <v>100.033343689923</v>
      </c>
      <c r="C96" s="211">
        <f t="shared" si="6"/>
        <v>-5.476066853639658E-3</v>
      </c>
      <c r="D96" s="211">
        <f t="shared" si="7"/>
        <v>-0.74336063363963867</v>
      </c>
      <c r="E96" s="211">
        <f t="shared" si="8"/>
        <v>0.22863168557838046</v>
      </c>
      <c r="F96" s="111"/>
      <c r="G96" s="111"/>
      <c r="H96" s="111"/>
      <c r="I96" s="111"/>
      <c r="J96" s="111"/>
    </row>
    <row r="97" spans="1:10" ht="15" x14ac:dyDescent="0.25">
      <c r="A97" s="112">
        <v>42461</v>
      </c>
      <c r="B97" s="211">
        <v>100.087096998851</v>
      </c>
      <c r="C97" s="211">
        <f t="shared" si="6"/>
        <v>1.7914238357852005E-3</v>
      </c>
      <c r="D97" s="211">
        <f t="shared" si="7"/>
        <v>-0.57108989700855717</v>
      </c>
      <c r="E97" s="211">
        <f t="shared" si="8"/>
        <v>0.28396935332987994</v>
      </c>
      <c r="F97" s="111"/>
      <c r="G97" s="111"/>
      <c r="H97" s="111"/>
      <c r="I97" s="111"/>
      <c r="J97" s="111"/>
    </row>
    <row r="98" spans="1:10" ht="15" x14ac:dyDescent="0.25">
      <c r="A98" s="112">
        <v>42552</v>
      </c>
      <c r="B98" s="211">
        <v>100.188040900225</v>
      </c>
      <c r="C98" s="211">
        <f t="shared" si="6"/>
        <v>8.661843744793066E-4</v>
      </c>
      <c r="D98" s="211">
        <f t="shared" si="7"/>
        <v>-0.59302204530717795</v>
      </c>
      <c r="E98" s="211">
        <f t="shared" si="8"/>
        <v>0.27658319939961795</v>
      </c>
      <c r="F98" s="111"/>
      <c r="G98" s="111"/>
      <c r="H98" s="111"/>
      <c r="I98" s="111"/>
      <c r="J98" s="111"/>
    </row>
    <row r="99" spans="1:10" ht="15" x14ac:dyDescent="0.25">
      <c r="A99" s="112">
        <v>42644</v>
      </c>
      <c r="B99" s="211">
        <v>101.015012690837</v>
      </c>
      <c r="C99" s="211">
        <f t="shared" si="6"/>
        <v>1.1664476911952052E-2</v>
      </c>
      <c r="D99" s="211">
        <f t="shared" si="7"/>
        <v>-0.33705614328060696</v>
      </c>
      <c r="E99" s="211">
        <f t="shared" si="8"/>
        <v>0.36803728874160124</v>
      </c>
      <c r="F99" s="111"/>
      <c r="G99" s="111"/>
      <c r="H99" s="111"/>
      <c r="I99" s="111"/>
      <c r="J99" s="111"/>
    </row>
    <row r="100" spans="1:10" ht="15" x14ac:dyDescent="0.25">
      <c r="A100" s="112">
        <v>42736</v>
      </c>
      <c r="B100" s="211">
        <v>101.219087301172</v>
      </c>
      <c r="C100" s="211">
        <f t="shared" si="6"/>
        <v>1.1783781454575711E-2</v>
      </c>
      <c r="D100" s="211">
        <f t="shared" si="7"/>
        <v>-0.33422811331544733</v>
      </c>
      <c r="E100" s="211">
        <f t="shared" si="8"/>
        <v>0.36910371562154642</v>
      </c>
      <c r="F100" s="111"/>
      <c r="G100" s="111"/>
      <c r="H100" s="111"/>
      <c r="I100" s="111"/>
      <c r="J100" s="111"/>
    </row>
    <row r="101" spans="1:10" ht="15" x14ac:dyDescent="0.25">
      <c r="A101" s="112">
        <v>42826</v>
      </c>
      <c r="B101" s="211">
        <v>101.918127945721</v>
      </c>
      <c r="C101" s="211">
        <f t="shared" si="6"/>
        <v>1.8129046873324953E-2</v>
      </c>
      <c r="D101" s="211">
        <f t="shared" si="7"/>
        <v>-0.18381807572182957</v>
      </c>
      <c r="E101" s="211">
        <f t="shared" si="8"/>
        <v>0.42707808769344091</v>
      </c>
      <c r="F101" s="111"/>
      <c r="G101" s="111"/>
      <c r="H101" s="111"/>
      <c r="I101" s="111"/>
      <c r="J101" s="111"/>
    </row>
    <row r="102" spans="1:10" ht="15" x14ac:dyDescent="0.25">
      <c r="A102" s="112">
        <v>42917</v>
      </c>
      <c r="B102" s="211">
        <v>102.61050466910299</v>
      </c>
      <c r="C102" s="211">
        <f t="shared" si="6"/>
        <v>2.3891482950278528E-2</v>
      </c>
      <c r="D102" s="211">
        <f t="shared" si="7"/>
        <v>-4.7223596253033295E-2</v>
      </c>
      <c r="E102" s="211">
        <f t="shared" si="8"/>
        <v>0.48116751070415864</v>
      </c>
      <c r="F102" s="111"/>
      <c r="G102" s="111"/>
      <c r="H102" s="111"/>
      <c r="I102" s="111"/>
      <c r="J102" s="111"/>
    </row>
    <row r="103" spans="1:10" ht="15" x14ac:dyDescent="0.25">
      <c r="A103" s="112">
        <v>43009</v>
      </c>
      <c r="B103" s="211">
        <v>102.63217492304599</v>
      </c>
      <c r="C103" s="211">
        <f t="shared" si="6"/>
        <v>1.588233301830019E-2</v>
      </c>
      <c r="D103" s="211">
        <f t="shared" si="7"/>
        <v>-0.23707484168749784</v>
      </c>
      <c r="E103" s="211">
        <f t="shared" si="8"/>
        <v>0.40629936474071221</v>
      </c>
      <c r="F103" s="111"/>
      <c r="G103" s="111"/>
      <c r="H103" s="111"/>
      <c r="I103" s="111"/>
      <c r="J103" s="111"/>
    </row>
    <row r="104" spans="1:10" ht="15" x14ac:dyDescent="0.25">
      <c r="A104" s="112">
        <v>43101</v>
      </c>
      <c r="B104" s="211">
        <v>104.024481132112</v>
      </c>
      <c r="C104" s="211">
        <f t="shared" si="6"/>
        <v>2.7338918177107534E-2</v>
      </c>
      <c r="D104" s="211">
        <f t="shared" si="7"/>
        <v>3.4495422235420029E-2</v>
      </c>
      <c r="E104" s="211">
        <f t="shared" si="8"/>
        <v>0.5137589536477617</v>
      </c>
      <c r="F104" s="111"/>
      <c r="G104" s="111"/>
      <c r="H104" s="111"/>
      <c r="I104" s="111"/>
      <c r="J104" s="111"/>
    </row>
    <row r="105" spans="1:10" ht="15" x14ac:dyDescent="0.25">
      <c r="A105" s="112">
        <v>43191</v>
      </c>
      <c r="B105" s="211">
        <v>104.605317467981</v>
      </c>
      <c r="C105" s="211">
        <f t="shared" si="6"/>
        <v>2.6024562777015297E-2</v>
      </c>
      <c r="D105" s="211">
        <f t="shared" si="7"/>
        <v>3.3395552869549682E-3</v>
      </c>
      <c r="E105" s="211">
        <f t="shared" si="8"/>
        <v>0.50133228732528612</v>
      </c>
      <c r="F105" s="111"/>
      <c r="G105" s="111"/>
      <c r="H105" s="111"/>
      <c r="I105" s="111"/>
      <c r="J105" s="111"/>
    </row>
    <row r="106" spans="1:10" ht="15" x14ac:dyDescent="0.25">
      <c r="A106" s="112">
        <v>43282</v>
      </c>
      <c r="B106" s="211">
        <v>104.85749931743899</v>
      </c>
      <c r="C106" s="211">
        <f t="shared" si="6"/>
        <v>2.1661966853709438E-2</v>
      </c>
      <c r="D106" s="211">
        <f t="shared" si="7"/>
        <v>-0.10007270149450233</v>
      </c>
      <c r="E106" s="211">
        <f t="shared" si="8"/>
        <v>0.4601433037844529</v>
      </c>
      <c r="F106" s="111"/>
      <c r="G106" s="111"/>
      <c r="H106" s="111"/>
      <c r="I106" s="111"/>
      <c r="J106" s="111"/>
    </row>
    <row r="107" spans="1:10" ht="15" x14ac:dyDescent="0.25">
      <c r="A107" s="112">
        <v>43374</v>
      </c>
      <c r="B107" s="211">
        <v>105.55343608642799</v>
      </c>
      <c r="C107" s="211">
        <f t="shared" si="6"/>
        <v>2.8065848558577994E-2</v>
      </c>
      <c r="D107" s="211">
        <f t="shared" si="7"/>
        <v>5.1726793784014298E-2</v>
      </c>
      <c r="E107" s="211">
        <f t="shared" si="8"/>
        <v>0.52062680626928792</v>
      </c>
      <c r="F107" s="111"/>
      <c r="G107" s="111"/>
      <c r="H107" s="111"/>
      <c r="I107" s="111"/>
      <c r="J107" s="111"/>
    </row>
    <row r="108" spans="1:10" ht="15" x14ac:dyDescent="0.25">
      <c r="A108" s="112">
        <v>43466</v>
      </c>
      <c r="B108" s="211">
        <v>105.514999231012</v>
      </c>
      <c r="C108" s="211">
        <f t="shared" si="6"/>
        <v>1.4226848675050885E-2</v>
      </c>
      <c r="D108" s="211">
        <f t="shared" si="7"/>
        <v>-0.27631692942870001</v>
      </c>
      <c r="E108" s="211">
        <f t="shared" si="8"/>
        <v>0.3911523270507905</v>
      </c>
      <c r="F108" s="111"/>
      <c r="G108" s="111"/>
      <c r="H108" s="111"/>
      <c r="I108" s="111"/>
      <c r="J108" s="111"/>
    </row>
    <row r="109" spans="1:10" ht="15" x14ac:dyDescent="0.25">
      <c r="A109" s="112">
        <v>43556</v>
      </c>
      <c r="B109" s="211">
        <v>107.90342934399401</v>
      </c>
      <c r="C109" s="211">
        <f t="shared" si="6"/>
        <v>3.1042267819834424E-2</v>
      </c>
      <c r="D109" s="211">
        <f t="shared" si="7"/>
        <v>0.12228071130133598</v>
      </c>
      <c r="E109" s="211">
        <f t="shared" si="8"/>
        <v>0.54866164624805247</v>
      </c>
      <c r="F109" s="111"/>
      <c r="G109" s="111"/>
      <c r="H109" s="111"/>
      <c r="I109" s="111"/>
      <c r="J109" s="111"/>
    </row>
    <row r="110" spans="1:10" ht="15" x14ac:dyDescent="0.25">
      <c r="A110" s="112">
        <v>43647</v>
      </c>
      <c r="B110" s="211">
        <v>106.848387649589</v>
      </c>
      <c r="C110" s="211">
        <f t="shared" si="6"/>
        <v>1.8808612763342194E-2</v>
      </c>
      <c r="D110" s="211">
        <f t="shared" si="7"/>
        <v>-0.16770944600827828</v>
      </c>
      <c r="E110" s="211">
        <f t="shared" si="8"/>
        <v>0.43340593230508162</v>
      </c>
      <c r="F110" s="111"/>
      <c r="G110" s="111"/>
      <c r="H110" s="111"/>
      <c r="I110" s="111"/>
      <c r="J110" s="111"/>
    </row>
    <row r="111" spans="1:10" ht="15" x14ac:dyDescent="0.25">
      <c r="A111" s="112">
        <v>43739</v>
      </c>
      <c r="B111" s="211">
        <v>106.335728536982</v>
      </c>
      <c r="C111" s="211">
        <f t="shared" si="6"/>
        <v>7.384011413635181E-3</v>
      </c>
      <c r="D111" s="211">
        <f t="shared" si="7"/>
        <v>-0.43852155631401996</v>
      </c>
      <c r="E111" s="211">
        <f t="shared" si="8"/>
        <v>0.33050412367523135</v>
      </c>
      <c r="F111" s="111"/>
      <c r="G111" s="111"/>
      <c r="H111" s="111"/>
      <c r="I111" s="111"/>
      <c r="J111" s="111"/>
    </row>
    <row r="112" spans="1:10" ht="15" x14ac:dyDescent="0.25">
      <c r="A112" s="112">
        <v>43831</v>
      </c>
      <c r="B112" s="211">
        <v>105.731022500702</v>
      </c>
      <c r="C112" s="211">
        <f t="shared" si="6"/>
        <v>2.0452299477225953E-3</v>
      </c>
      <c r="D112" s="211">
        <f t="shared" si="7"/>
        <v>-0.56507360228821468</v>
      </c>
      <c r="E112" s="211">
        <f t="shared" si="8"/>
        <v>0.28601185135951751</v>
      </c>
      <c r="F112" s="111"/>
      <c r="G112" s="111"/>
      <c r="H112" s="111"/>
      <c r="I112" s="111"/>
      <c r="J112" s="111"/>
    </row>
    <row r="113" spans="1:10" ht="15" x14ac:dyDescent="0.25">
      <c r="A113" s="112">
        <v>43922</v>
      </c>
      <c r="B113" s="211">
        <v>102.944801152791</v>
      </c>
      <c r="C113" s="211">
        <f t="shared" ref="C113:C114" si="9">LN(B113/B109)</f>
        <v>-4.7043720932522744E-2</v>
      </c>
      <c r="D113" s="211">
        <f t="shared" ref="D113:D114" si="10">(C113-$E$31)/$E$32</f>
        <v>-1.7286925307434347</v>
      </c>
      <c r="E113" s="211">
        <f t="shared" ref="E113:E114" si="11">_xlfn.NORM.DIST(C113,$E$31,$E$32,TRUE)</f>
        <v>4.1932069434580416E-2</v>
      </c>
      <c r="F113" s="111"/>
      <c r="G113" s="111"/>
      <c r="H113" s="111"/>
      <c r="I113" s="111"/>
      <c r="J113" s="111"/>
    </row>
    <row r="114" spans="1:10" ht="15" x14ac:dyDescent="0.25">
      <c r="A114" s="112">
        <v>44013</v>
      </c>
      <c r="B114" s="211">
        <v>103.605313146185</v>
      </c>
      <c r="C114" s="211">
        <f t="shared" si="9"/>
        <v>-3.0822278096701409E-2</v>
      </c>
      <c r="D114" s="211">
        <f t="shared" si="10"/>
        <v>-1.3441746791261975</v>
      </c>
      <c r="E114" s="211">
        <f t="shared" si="11"/>
        <v>8.9445953807453779E-2</v>
      </c>
      <c r="F114" s="111"/>
      <c r="G114" s="111"/>
      <c r="H114" s="111"/>
      <c r="I114" s="111"/>
      <c r="J114" s="111"/>
    </row>
    <row r="115" spans="1:10" ht="15" x14ac:dyDescent="0.25">
      <c r="A115" s="112">
        <v>44105</v>
      </c>
      <c r="B115" s="211">
        <v>103.359705060529</v>
      </c>
      <c r="C115" s="211">
        <f t="shared" ref="C115" si="12">LN(B115/B111)</f>
        <v>-2.8386152775537691E-2</v>
      </c>
      <c r="D115" s="211">
        <f t="shared" ref="D115" si="13">(C115-$E$31)/$E$32</f>
        <v>-1.2864280480623032</v>
      </c>
      <c r="E115" s="211">
        <f t="shared" ref="E115" si="14">_xlfn.NORM.DIST(C115,$E$31,$E$32,TRUE)</f>
        <v>9.9146857457423437E-2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6"/>
  <sheetViews>
    <sheetView topLeftCell="A9" zoomScale="90" zoomScaleNormal="90" workbookViewId="0">
      <selection activeCell="H54" sqref="H54"/>
    </sheetView>
  </sheetViews>
  <sheetFormatPr defaultColWidth="8.7109375" defaultRowHeight="12.75" x14ac:dyDescent="0.2"/>
  <cols>
    <col min="1" max="1" width="26.85546875" style="164" customWidth="1"/>
    <col min="2" max="2" width="32.28515625" style="145" customWidth="1"/>
    <col min="3" max="3" width="27.42578125" style="145" customWidth="1"/>
    <col min="4" max="4" width="13.85546875" style="145" customWidth="1"/>
    <col min="5" max="5" width="17" style="144" customWidth="1"/>
    <col min="6" max="6" width="33.42578125" style="145" customWidth="1"/>
    <col min="7" max="7" width="15.140625" style="145" customWidth="1"/>
    <col min="8" max="9" width="16.5703125" style="145" customWidth="1"/>
    <col min="10" max="10" width="27.85546875" style="145" bestFit="1" customWidth="1"/>
    <col min="11" max="11" width="15.28515625" style="145" customWidth="1"/>
    <col min="12" max="12" width="16.5703125" style="145" customWidth="1"/>
    <col min="13" max="13" width="16.140625" style="145" customWidth="1"/>
    <col min="14" max="14" width="17.28515625" style="145" customWidth="1"/>
    <col min="15" max="15" width="13.42578125" style="145" customWidth="1"/>
    <col min="16" max="16" width="7.5703125" style="145" customWidth="1"/>
    <col min="17" max="17" width="18.7109375" style="145" customWidth="1"/>
    <col min="18" max="18" width="12.5703125" style="145" customWidth="1"/>
    <col min="19" max="19" width="8.7109375" style="145" customWidth="1"/>
    <col min="20" max="20" width="12.42578125" style="145" customWidth="1"/>
    <col min="21" max="21" width="8.7109375" style="145"/>
    <col min="22" max="22" width="14.5703125" style="145" customWidth="1"/>
    <col min="23" max="16384" width="8.7109375" style="145"/>
  </cols>
  <sheetData>
    <row r="1" spans="1:18" ht="23.25" customHeight="1" x14ac:dyDescent="0.2">
      <c r="A1" s="172" t="str">
        <f>F25</f>
        <v>Отрасль</v>
      </c>
      <c r="B1" s="173" t="str">
        <f>D25</f>
        <v>Вложения (руб)</v>
      </c>
      <c r="C1" s="148" t="s">
        <v>289</v>
      </c>
      <c r="D1" s="144"/>
      <c r="E1" s="240" t="s">
        <v>288</v>
      </c>
      <c r="F1" s="240"/>
      <c r="G1" s="240"/>
      <c r="K1" s="239"/>
      <c r="L1" s="239"/>
      <c r="M1" s="239"/>
      <c r="N1" s="239"/>
    </row>
    <row r="2" spans="1:18" x14ac:dyDescent="0.2">
      <c r="A2" s="161" t="s">
        <v>206</v>
      </c>
      <c r="B2" s="142">
        <f>SUMIF(F26:$F$466,"Банк",D26:$D$466)</f>
        <v>22254127861.300003</v>
      </c>
      <c r="C2" s="143">
        <f t="shared" ref="C2:C18" si="0">B2/$B$19</f>
        <v>0.29756383349140508</v>
      </c>
      <c r="D2" s="144"/>
      <c r="E2" s="145"/>
      <c r="I2" s="238" t="s">
        <v>333</v>
      </c>
      <c r="J2" s="238"/>
    </row>
    <row r="3" spans="1:18" x14ac:dyDescent="0.2">
      <c r="A3" s="161" t="s">
        <v>341</v>
      </c>
      <c r="B3" s="142">
        <f>SUMIF(F26:$F$466,"Страны",D26:$D$466)</f>
        <v>425820922.92000002</v>
      </c>
      <c r="C3" s="143">
        <f t="shared" si="0"/>
        <v>5.6937259907304883E-3</v>
      </c>
      <c r="D3" s="144"/>
      <c r="E3" s="145"/>
      <c r="J3" s="153" t="str">
        <f>D25</f>
        <v>Вложения (руб)</v>
      </c>
    </row>
    <row r="4" spans="1:18" ht="25.5" x14ac:dyDescent="0.2">
      <c r="A4" s="161" t="s">
        <v>268</v>
      </c>
      <c r="B4" s="142">
        <f>SUMIF($F$26:$F$466,"Электроэнергетика и теплоэнергетика",$D$26:$D$466)</f>
        <v>1353562951.6700001</v>
      </c>
      <c r="C4" s="143">
        <f t="shared" si="0"/>
        <v>1.8098726819633645E-2</v>
      </c>
      <c r="D4" s="144"/>
      <c r="E4" s="145"/>
      <c r="I4" s="158" t="s">
        <v>72</v>
      </c>
      <c r="J4" s="142">
        <f>SUMIF($H$26:$H$246,I4,$D$26:$D$246)</f>
        <v>1553846367.25</v>
      </c>
      <c r="K4" s="198">
        <f>J4/$J$15</f>
        <v>2.0922042258209289E-2</v>
      </c>
    </row>
    <row r="5" spans="1:18" x14ac:dyDescent="0.2">
      <c r="A5" s="161" t="s">
        <v>225</v>
      </c>
      <c r="B5" s="142">
        <f>SUMIF($F$26:$F$466,"Топливная промышленность",$D$26:$D$466)</f>
        <v>17667173252.199997</v>
      </c>
      <c r="C5" s="143">
        <f t="shared" si="0"/>
        <v>0.23623086164718141</v>
      </c>
      <c r="D5" s="144"/>
      <c r="E5" s="145"/>
      <c r="I5" s="141" t="s">
        <v>74</v>
      </c>
      <c r="J5" s="142">
        <f t="shared" ref="J5:J14" si="1">SUMIF($H$26:$H$246,I5,$D$26:$D$246)</f>
        <v>0</v>
      </c>
      <c r="K5" s="198">
        <f t="shared" ref="K5:K14" si="2">J5/$J$15</f>
        <v>0</v>
      </c>
    </row>
    <row r="6" spans="1:18" x14ac:dyDescent="0.2">
      <c r="A6" s="161" t="s">
        <v>213</v>
      </c>
      <c r="B6" s="142">
        <f>SUMIF($F$26:$F$466,"Транспорт",$D$26:$D$466)</f>
        <v>2368097051.8200002</v>
      </c>
      <c r="C6" s="143">
        <f t="shared" si="0"/>
        <v>3.1664239605842283E-2</v>
      </c>
      <c r="D6" s="144"/>
      <c r="E6" s="145"/>
      <c r="I6" s="141" t="s">
        <v>76</v>
      </c>
      <c r="J6" s="142">
        <f t="shared" si="1"/>
        <v>15039383598.220001</v>
      </c>
      <c r="K6" s="198">
        <f t="shared" si="2"/>
        <v>0.20250046968044522</v>
      </c>
      <c r="L6" s="238" t="s">
        <v>337</v>
      </c>
      <c r="M6" s="238"/>
      <c r="N6" s="238"/>
      <c r="O6" s="156"/>
      <c r="P6" s="238" t="s">
        <v>338</v>
      </c>
      <c r="Q6" s="238"/>
      <c r="R6" s="238"/>
    </row>
    <row r="7" spans="1:18" x14ac:dyDescent="0.2">
      <c r="A7" s="161" t="s">
        <v>264</v>
      </c>
      <c r="B7" s="142">
        <f>SUMIF($F$26:$F$466,"Связь и телекоммуникации",$D$26:$D$466)</f>
        <v>542654090.09000003</v>
      </c>
      <c r="C7" s="143">
        <f t="shared" si="0"/>
        <v>7.2559226905393537E-3</v>
      </c>
      <c r="D7" s="144"/>
      <c r="E7" s="238" t="s">
        <v>336</v>
      </c>
      <c r="F7" s="238"/>
      <c r="G7" s="238"/>
      <c r="I7" s="141" t="s">
        <v>78</v>
      </c>
      <c r="J7" s="142">
        <f t="shared" si="1"/>
        <v>32230165298.52</v>
      </c>
      <c r="K7" s="198">
        <f t="shared" si="2"/>
        <v>0.43396882380213714</v>
      </c>
      <c r="M7" s="144" t="str">
        <f>D25</f>
        <v>Вложения (руб)</v>
      </c>
      <c r="N7" s="145" t="s">
        <v>197</v>
      </c>
      <c r="P7" s="152"/>
      <c r="Q7" s="153" t="str">
        <f>D25</f>
        <v>Вложения (руб)</v>
      </c>
      <c r="R7" s="152" t="str">
        <f>N7</f>
        <v>Доля</v>
      </c>
    </row>
    <row r="8" spans="1:18" ht="25.5" x14ac:dyDescent="0.2">
      <c r="A8" s="161" t="s">
        <v>269</v>
      </c>
      <c r="B8" s="142">
        <f>SUMIF($F$26:$F$466,"Горнодобывающая промышленность",$D$26:$D$466)</f>
        <v>1745178791.95</v>
      </c>
      <c r="C8" s="143">
        <f t="shared" si="0"/>
        <v>2.3335090671587684E-2</v>
      </c>
      <c r="D8" s="144"/>
      <c r="E8" s="145"/>
      <c r="F8" s="153" t="str">
        <f>D25</f>
        <v>Вложения (руб)</v>
      </c>
      <c r="G8" s="152" t="s">
        <v>290</v>
      </c>
      <c r="H8" s="152"/>
      <c r="I8" s="158" t="s">
        <v>80</v>
      </c>
      <c r="J8" s="142">
        <f t="shared" si="1"/>
        <v>11756922228.699999</v>
      </c>
      <c r="K8" s="198">
        <f t="shared" si="2"/>
        <v>0.15830318162707119</v>
      </c>
      <c r="L8" s="141">
        <v>1</v>
      </c>
      <c r="M8" s="142">
        <f>SUMIF($J$26:$J$285,L8,$D$26:$D$285)</f>
        <v>55281468952.610008</v>
      </c>
      <c r="N8" s="143">
        <f>M8/$M$12</f>
        <v>0.74434722370226736</v>
      </c>
      <c r="P8" s="141">
        <v>1</v>
      </c>
      <c r="Q8" s="142">
        <f>SUMIF($I$26:$I$285,P8,$D$26:$D$285)</f>
        <v>481854476.5</v>
      </c>
      <c r="R8" s="143">
        <f>Q8/$Q$11</f>
        <v>0.92779319426315898</v>
      </c>
    </row>
    <row r="9" spans="1:18" x14ac:dyDescent="0.2">
      <c r="A9" s="161" t="s">
        <v>249</v>
      </c>
      <c r="B9" s="142">
        <f>SUMIF($F$26:$F$466,"Финансовый лизинг",$D$26:$D$466)</f>
        <v>3364942929.2300005</v>
      </c>
      <c r="C9" s="143">
        <f t="shared" si="0"/>
        <v>4.4993240074023076E-2</v>
      </c>
      <c r="D9" s="144"/>
      <c r="E9" s="141" t="s">
        <v>286</v>
      </c>
      <c r="F9" s="142">
        <f>SUMIF($B$26:$B$246,"акции обыкновенные",D26:$D$246)+SUMIF($B$26:$B$246,"акции привилегированные",$D$26:$D$246)</f>
        <v>519355476.5</v>
      </c>
      <c r="G9" s="183">
        <f>F9/$F$11</f>
        <v>6.944392855801073E-3</v>
      </c>
      <c r="H9" s="155"/>
      <c r="I9" s="159" t="s">
        <v>82</v>
      </c>
      <c r="J9" s="142">
        <f t="shared" si="1"/>
        <v>2056080291.9200001</v>
      </c>
      <c r="K9" s="198">
        <f t="shared" si="2"/>
        <v>2.7684460742379444E-2</v>
      </c>
      <c r="L9" s="141">
        <v>2</v>
      </c>
      <c r="M9" s="142">
        <f>SUMIF($J$26:$J$285,L9,$D$26:$D$285)</f>
        <v>16042870372.929996</v>
      </c>
      <c r="N9" s="143">
        <f t="shared" ref="N9:N11" si="3">M9/$M$12</f>
        <v>0.21601209679400185</v>
      </c>
      <c r="P9" s="141">
        <v>2</v>
      </c>
      <c r="Q9" s="142">
        <f>SUMIF($I$26:$I$285,P9,$D$26:$D$285)</f>
        <v>20783000</v>
      </c>
      <c r="R9" s="143">
        <f>Q9/$Q$11</f>
        <v>4.0016907379237E-2</v>
      </c>
    </row>
    <row r="10" spans="1:18" x14ac:dyDescent="0.2">
      <c r="A10" s="161" t="s">
        <v>262</v>
      </c>
      <c r="B10" s="142">
        <f>SUMIF($F$26:$F$466,"Цветная и черная металлургия",$D$26:$D$466)</f>
        <v>1531778188.3999999</v>
      </c>
      <c r="C10" s="143">
        <f t="shared" si="0"/>
        <v>2.0481673900663813E-2</v>
      </c>
      <c r="D10" s="144"/>
      <c r="E10" s="141" t="s">
        <v>287</v>
      </c>
      <c r="F10" s="142">
        <f>SUMIF($B$26:$B$246,"корпоративные еврооблигации",D26:$D$246)+SUMIF($B$26:$B$246,"корпоративные рублевые облигации",D26:$D$246)+SUMIF($B$26:$B$246,"облигации РФ",D26:$D$246)+SUMIF($B$26:$B$246,"госеврооблигации",D26:$D$246)</f>
        <v>74268388720.050003</v>
      </c>
      <c r="G10" s="183">
        <f>F10/$F$11</f>
        <v>0.99305560714419894</v>
      </c>
      <c r="H10" s="155"/>
      <c r="I10" s="159" t="s">
        <v>84</v>
      </c>
      <c r="J10" s="142">
        <f t="shared" si="1"/>
        <v>10487032342.969999</v>
      </c>
      <c r="K10" s="198">
        <f t="shared" si="2"/>
        <v>0.14120452218911342</v>
      </c>
      <c r="L10" s="141">
        <v>3</v>
      </c>
      <c r="M10" s="142">
        <f t="shared" ref="M10:M11" si="4">SUMIF($J$26:$J$285,L10,$D$26:$D$285)</f>
        <v>1542410967.25</v>
      </c>
      <c r="N10" s="143">
        <f t="shared" si="3"/>
        <v>2.0768068270122578E-2</v>
      </c>
      <c r="P10" s="141">
        <v>3</v>
      </c>
      <c r="Q10" s="142">
        <f t="shared" ref="Q10" si="5">SUMIF($I$26:$I$285,P10,$D$26:$D$285)</f>
        <v>16718000</v>
      </c>
      <c r="R10" s="143">
        <f>Q10/$Q$11</f>
        <v>3.218989835760401E-2</v>
      </c>
    </row>
    <row r="11" spans="1:18" ht="25.5" x14ac:dyDescent="0.2">
      <c r="A11" s="161" t="s">
        <v>248</v>
      </c>
      <c r="B11" s="142">
        <f>SUMIF($F$26:$F$466,"Химическая и нефтехимическая промышленность",$D$26:$D$466)</f>
        <v>0</v>
      </c>
      <c r="C11" s="143">
        <f t="shared" si="0"/>
        <v>0</v>
      </c>
      <c r="D11" s="144"/>
      <c r="E11" s="145"/>
      <c r="F11" s="150">
        <f>SUM(F9:F10)</f>
        <v>74787744196.550003</v>
      </c>
      <c r="I11" s="158" t="s">
        <v>86</v>
      </c>
      <c r="J11" s="142">
        <f t="shared" si="1"/>
        <v>705967596.67999995</v>
      </c>
      <c r="K11" s="198">
        <f t="shared" si="2"/>
        <v>9.5056269409735054E-3</v>
      </c>
      <c r="L11" s="141">
        <v>4</v>
      </c>
      <c r="M11" s="142">
        <f t="shared" si="4"/>
        <v>1401638427.26</v>
      </c>
      <c r="N11" s="143">
        <f t="shared" si="3"/>
        <v>1.8872611233608252E-2</v>
      </c>
      <c r="Q11" s="150">
        <f>SUM(Q8:Q10)</f>
        <v>519355476.5</v>
      </c>
    </row>
    <row r="12" spans="1:18" x14ac:dyDescent="0.2">
      <c r="A12" s="161" t="s">
        <v>275</v>
      </c>
      <c r="B12" s="142">
        <f>SUMIF($F$26:$F$466,"Инвестиционная деятельность",$D$26:$D$466)</f>
        <v>9719876728.8100014</v>
      </c>
      <c r="C12" s="143">
        <f t="shared" si="0"/>
        <v>0.12996617070392108</v>
      </c>
      <c r="D12" s="144"/>
      <c r="E12" s="146" t="s">
        <v>14</v>
      </c>
      <c r="F12" s="147">
        <f>B19-F11</f>
        <v>0</v>
      </c>
      <c r="I12" s="158" t="s">
        <v>88</v>
      </c>
      <c r="J12" s="142">
        <f t="shared" si="1"/>
        <v>425820922.92000002</v>
      </c>
      <c r="K12" s="198">
        <f t="shared" si="2"/>
        <v>5.7335419585458512E-3</v>
      </c>
      <c r="M12" s="150">
        <f>SUM(M8:M11)</f>
        <v>74268388720.050003</v>
      </c>
      <c r="P12" s="157" t="s">
        <v>14</v>
      </c>
      <c r="Q12" s="151">
        <f>Q11-F9</f>
        <v>0</v>
      </c>
    </row>
    <row r="13" spans="1:18" x14ac:dyDescent="0.2">
      <c r="A13" s="161" t="s">
        <v>254</v>
      </c>
      <c r="B13" s="142">
        <f>SUMIF($F$26:$F$466,"Строительство жилых зданий",$D$26:$D$466)</f>
        <v>957419670.16999996</v>
      </c>
      <c r="C13" s="143">
        <f t="shared" si="0"/>
        <v>1.280182575976354E-2</v>
      </c>
      <c r="D13" s="144"/>
      <c r="E13" s="145"/>
      <c r="I13" s="158" t="s">
        <v>90</v>
      </c>
      <c r="J13" s="142">
        <f t="shared" si="1"/>
        <v>0</v>
      </c>
      <c r="K13" s="198">
        <f t="shared" si="2"/>
        <v>0</v>
      </c>
      <c r="L13" s="146" t="s">
        <v>14</v>
      </c>
      <c r="M13" s="145">
        <f>F10-M12</f>
        <v>0</v>
      </c>
    </row>
    <row r="14" spans="1:18" x14ac:dyDescent="0.2">
      <c r="A14" s="161" t="s">
        <v>220</v>
      </c>
      <c r="B14" s="142">
        <f>SUMIF($F$26:$F$466,"ОФЗ",$D$26:$D$466)</f>
        <v>12158793082.410002</v>
      </c>
      <c r="C14" s="143">
        <f t="shared" si="0"/>
        <v>0.16257734757255712</v>
      </c>
      <c r="D14" s="144"/>
      <c r="E14" s="145"/>
      <c r="F14" s="144"/>
      <c r="I14" s="158" t="s">
        <v>117</v>
      </c>
      <c r="J14" s="142">
        <f t="shared" si="1"/>
        <v>13170072.870000005</v>
      </c>
      <c r="K14" s="198">
        <f t="shared" si="2"/>
        <v>1.773308011251431E-4</v>
      </c>
    </row>
    <row r="15" spans="1:18" ht="38.25" x14ac:dyDescent="0.2">
      <c r="A15" s="161" t="s">
        <v>259</v>
      </c>
      <c r="B15" s="142">
        <f>SUMIF($F$26:$F$466,"Лесная и лесоперерабатывающая промышленность",$D$26:$D$466)</f>
        <v>620179925.57999992</v>
      </c>
      <c r="C15" s="143">
        <f t="shared" si="0"/>
        <v>8.2925341878223036E-3</v>
      </c>
      <c r="D15" s="144"/>
      <c r="E15" s="145"/>
      <c r="F15" s="144"/>
      <c r="I15" s="184"/>
      <c r="J15" s="150">
        <f>SUM(J4:J14)</f>
        <v>74268388720.049988</v>
      </c>
    </row>
    <row r="16" spans="1:18" ht="25.5" x14ac:dyDescent="0.2">
      <c r="A16" s="161" t="s">
        <v>263</v>
      </c>
      <c r="B16" s="142">
        <f>SUMIF($F$26:$F$466,"Профессиональные услуги, сервис",$D$26:$D$466)</f>
        <v>44488350</v>
      </c>
      <c r="C16" s="143">
        <f t="shared" si="0"/>
        <v>5.9486150408655149E-4</v>
      </c>
      <c r="D16" s="144"/>
      <c r="E16" s="145"/>
      <c r="F16" s="144"/>
      <c r="I16" s="146" t="s">
        <v>14</v>
      </c>
      <c r="J16" s="147">
        <f>J15-F10</f>
        <v>0</v>
      </c>
    </row>
    <row r="17" spans="1:14" x14ac:dyDescent="0.2">
      <c r="A17" s="161" t="s">
        <v>258</v>
      </c>
      <c r="B17" s="142">
        <f>SUMIF($F$26:$F$466,"Розничная торговля",$D$26:$D$466)</f>
        <v>0</v>
      </c>
      <c r="C17" s="143">
        <f t="shared" si="0"/>
        <v>0</v>
      </c>
      <c r="D17" s="144"/>
      <c r="E17" s="145"/>
      <c r="F17" s="144"/>
      <c r="I17" s="146"/>
    </row>
    <row r="18" spans="1:14" x14ac:dyDescent="0.2">
      <c r="A18" s="161" t="s">
        <v>229</v>
      </c>
      <c r="B18" s="142">
        <f>SUMIF($F$26:$F$466,"Прочее",$D$26:$D$466)</f>
        <v>33650400</v>
      </c>
      <c r="C18" s="143">
        <f t="shared" si="0"/>
        <v>4.4994538024255998E-4</v>
      </c>
      <c r="D18" s="144"/>
      <c r="E18" s="145"/>
      <c r="F18" s="144"/>
      <c r="I18" s="146"/>
    </row>
    <row r="19" spans="1:14" x14ac:dyDescent="0.2">
      <c r="A19" s="162"/>
      <c r="B19" s="176">
        <f>SUM(B2:B18)</f>
        <v>74787744196.550003</v>
      </c>
      <c r="C19" s="181">
        <f>SUM(C2:C18)</f>
        <v>0.99999999999999978</v>
      </c>
      <c r="D19" s="144"/>
      <c r="E19" s="145"/>
    </row>
    <row r="20" spans="1:14" x14ac:dyDescent="0.2">
      <c r="A20" s="163" t="s">
        <v>14</v>
      </c>
      <c r="B20" s="147">
        <f>SUM(D26:D154)-B19</f>
        <v>0</v>
      </c>
      <c r="D20" s="144"/>
      <c r="E20" s="146"/>
      <c r="F20" s="151"/>
      <c r="J20" s="150"/>
    </row>
    <row r="21" spans="1:14" x14ac:dyDescent="0.2">
      <c r="D21" s="144"/>
      <c r="E21" s="145"/>
      <c r="J21" s="147"/>
    </row>
    <row r="22" spans="1:14" x14ac:dyDescent="0.2">
      <c r="D22" s="144"/>
      <c r="E22" s="145"/>
      <c r="I22" s="146"/>
      <c r="J22" s="147"/>
    </row>
    <row r="23" spans="1:14" x14ac:dyDescent="0.2">
      <c r="D23" s="144"/>
      <c r="E23" s="145"/>
      <c r="I23" s="146"/>
      <c r="J23" s="146"/>
    </row>
    <row r="24" spans="1:14" x14ac:dyDescent="0.2">
      <c r="D24" s="144"/>
      <c r="E24" s="145"/>
    </row>
    <row r="25" spans="1:14" x14ac:dyDescent="0.2">
      <c r="A25" s="160" t="s">
        <v>107</v>
      </c>
      <c r="B25" s="141" t="s">
        <v>223</v>
      </c>
      <c r="C25" s="141" t="s">
        <v>44</v>
      </c>
      <c r="D25" s="142" t="s">
        <v>108</v>
      </c>
      <c r="E25" s="141" t="s">
        <v>103</v>
      </c>
      <c r="F25" s="141" t="s">
        <v>208</v>
      </c>
      <c r="G25" s="148" t="s">
        <v>284</v>
      </c>
      <c r="H25" s="154" t="s">
        <v>166</v>
      </c>
      <c r="I25" s="154" t="s">
        <v>334</v>
      </c>
      <c r="J25" s="154" t="s">
        <v>335</v>
      </c>
      <c r="L25" s="154" t="str">
        <f>E25</f>
        <v>Эмитент</v>
      </c>
      <c r="M25" s="154" t="s">
        <v>285</v>
      </c>
      <c r="N25" s="154" t="s">
        <v>291</v>
      </c>
    </row>
    <row r="26" spans="1:14" x14ac:dyDescent="0.2">
      <c r="A26" s="165" t="s">
        <v>593</v>
      </c>
      <c r="B26" s="166" t="s">
        <v>625</v>
      </c>
      <c r="C26" s="166" t="s">
        <v>224</v>
      </c>
      <c r="D26" s="167">
        <v>131418000.00000003</v>
      </c>
      <c r="E26" s="166" t="s">
        <v>154</v>
      </c>
      <c r="F26" s="171" t="str">
        <f>VLOOKUP(E26,'Справочник отрасли'!$A:$D,4,0)</f>
        <v>Банк</v>
      </c>
      <c r="G26" s="169">
        <f t="shared" ref="G26:G57" si="6">D26/$B$19</f>
        <v>1.7572130489003626E-3</v>
      </c>
      <c r="H26" s="168"/>
      <c r="I26" s="170">
        <f>VLOOKUP(C26,'Справочник отрасли'!$J$6:$K$24,2,0)</f>
        <v>1</v>
      </c>
      <c r="J26" s="170" t="str">
        <f>VLOOKUP(A26,'Эшелоны результат'!$A$3:$H$283,8,FALSE)</f>
        <v>Ошибка, не численные значения</v>
      </c>
      <c r="L26" s="141" t="s">
        <v>154</v>
      </c>
      <c r="M26" s="174">
        <f>SUMIF($E$26:$E$422,L26,$D$26:$D$422)</f>
        <v>939460002.48000002</v>
      </c>
      <c r="N26" s="175">
        <f>M26/$M$77</f>
        <v>1.2561683903862657E-2</v>
      </c>
    </row>
    <row r="27" spans="1:14" x14ac:dyDescent="0.2">
      <c r="A27" s="165" t="s">
        <v>594</v>
      </c>
      <c r="B27" s="166" t="s">
        <v>625</v>
      </c>
      <c r="C27" s="166" t="s">
        <v>227</v>
      </c>
      <c r="D27" s="167">
        <v>20344500</v>
      </c>
      <c r="E27" s="166" t="s">
        <v>105</v>
      </c>
      <c r="F27" s="171" t="str">
        <f>VLOOKUP(E27,'Справочник отрасли'!$A:$D,4,0)</f>
        <v>Топливная промышленность</v>
      </c>
      <c r="G27" s="169">
        <f t="shared" si="6"/>
        <v>2.7202986556905005E-4</v>
      </c>
      <c r="H27" s="168"/>
      <c r="I27" s="170">
        <f>VLOOKUP(C27,'Справочник отрасли'!$J$6:$K$24,2,0)</f>
        <v>1</v>
      </c>
      <c r="J27" s="170" t="str">
        <f>VLOOKUP(A27,'Эшелоны результат'!$A$3:$H$283,8,FALSE)</f>
        <v>Ошибка, не численные значения</v>
      </c>
      <c r="L27" s="141" t="s">
        <v>105</v>
      </c>
      <c r="M27" s="174">
        <f t="shared" ref="M27:M76" si="7">SUMIF($E$26:$E$422,L27,$D$26:$D$422)</f>
        <v>3160002719.5800004</v>
      </c>
      <c r="N27" s="175">
        <f t="shared" ref="N27:N76" si="8">M27/$M$77</f>
        <v>4.2252948708750772E-2</v>
      </c>
    </row>
    <row r="28" spans="1:14" x14ac:dyDescent="0.2">
      <c r="A28" s="165" t="s">
        <v>595</v>
      </c>
      <c r="B28" s="166" t="s">
        <v>625</v>
      </c>
      <c r="C28" s="166" t="s">
        <v>344</v>
      </c>
      <c r="D28" s="167">
        <v>147650576.5</v>
      </c>
      <c r="E28" s="166" t="s">
        <v>247</v>
      </c>
      <c r="F28" s="171" t="str">
        <f>VLOOKUP(E28,'Справочник отрасли'!$A:$D,4,0)</f>
        <v>Топливная промышленность</v>
      </c>
      <c r="G28" s="169">
        <f t="shared" si="6"/>
        <v>1.9742616666169107E-3</v>
      </c>
      <c r="H28" s="168"/>
      <c r="I28" s="170">
        <f>VLOOKUP(C28,'Справочник отрасли'!$J$6:$K$24,2,0)</f>
        <v>1</v>
      </c>
      <c r="J28" s="170" t="str">
        <f>VLOOKUP(A28,'Эшелоны результат'!$A$3:$H$283,8,FALSE)</f>
        <v>Ошибка, не численные значения</v>
      </c>
      <c r="L28" s="141" t="s">
        <v>247</v>
      </c>
      <c r="M28" s="174">
        <f t="shared" si="7"/>
        <v>147650576.5</v>
      </c>
      <c r="N28" s="175">
        <f t="shared" si="8"/>
        <v>1.9742616666169107E-3</v>
      </c>
    </row>
    <row r="29" spans="1:14" x14ac:dyDescent="0.2">
      <c r="A29" s="165" t="s">
        <v>596</v>
      </c>
      <c r="B29" s="166" t="s">
        <v>625</v>
      </c>
      <c r="C29" s="166" t="s">
        <v>414</v>
      </c>
      <c r="D29" s="167">
        <v>33650400</v>
      </c>
      <c r="E29" s="166" t="s">
        <v>417</v>
      </c>
      <c r="F29" s="171" t="str">
        <f>VLOOKUP(E29,'Справочник отрасли'!$A:$D,4,0)</f>
        <v>Прочее</v>
      </c>
      <c r="G29" s="169">
        <f t="shared" si="6"/>
        <v>4.4994538024255998E-4</v>
      </c>
      <c r="H29" s="168"/>
      <c r="I29" s="170">
        <f>VLOOKUP(C29,'Справочник отрасли'!$J$6:$K$24,2,0)</f>
        <v>1</v>
      </c>
      <c r="J29" s="170" t="str">
        <f>VLOOKUP(A29,'Эшелоны результат'!$A$3:$H$283,8,FALSE)</f>
        <v>Ошибка, не численные значения</v>
      </c>
      <c r="L29" s="141" t="s">
        <v>417</v>
      </c>
      <c r="M29" s="174">
        <f t="shared" si="7"/>
        <v>33650400</v>
      </c>
      <c r="N29" s="175">
        <f t="shared" si="8"/>
        <v>4.4994538024255998E-4</v>
      </c>
    </row>
    <row r="30" spans="1:14" x14ac:dyDescent="0.2">
      <c r="A30" s="165" t="s">
        <v>597</v>
      </c>
      <c r="B30" s="166" t="s">
        <v>625</v>
      </c>
      <c r="C30" s="166" t="s">
        <v>415</v>
      </c>
      <c r="D30" s="167">
        <v>136682800</v>
      </c>
      <c r="E30" s="166" t="s">
        <v>136</v>
      </c>
      <c r="F30" s="171" t="str">
        <f>VLOOKUP(E30,'Справочник отрасли'!$A:$D,4,0)</f>
        <v>Горнодобывающая промышленность</v>
      </c>
      <c r="G30" s="169">
        <f t="shared" si="6"/>
        <v>1.8276096099487014E-3</v>
      </c>
      <c r="H30" s="168"/>
      <c r="I30" s="170">
        <f>VLOOKUP(C30,'Справочник отрасли'!$J$6:$K$24,2,0)</f>
        <v>1</v>
      </c>
      <c r="J30" s="170" t="str">
        <f>VLOOKUP(A30,'Эшелоны результат'!$A$3:$H$283,8,FALSE)</f>
        <v>Ошибка, не численные значения</v>
      </c>
      <c r="L30" s="141" t="s">
        <v>136</v>
      </c>
      <c r="M30" s="174">
        <f t="shared" si="7"/>
        <v>981453502.82000005</v>
      </c>
      <c r="N30" s="175">
        <f t="shared" si="8"/>
        <v>1.3123186337063967E-2</v>
      </c>
    </row>
    <row r="31" spans="1:14" x14ac:dyDescent="0.2">
      <c r="A31" s="165" t="s">
        <v>597</v>
      </c>
      <c r="B31" s="166" t="s">
        <v>625</v>
      </c>
      <c r="C31" s="166" t="s">
        <v>415</v>
      </c>
      <c r="D31" s="167">
        <v>-11783000</v>
      </c>
      <c r="E31" s="166" t="s">
        <v>136</v>
      </c>
      <c r="F31" s="171" t="str">
        <f>VLOOKUP(E31,'Справочник отрасли'!$A:$D,4,0)</f>
        <v>Горнодобывающая промышленность</v>
      </c>
      <c r="G31" s="169">
        <f t="shared" si="6"/>
        <v>-1.575525525817846E-4</v>
      </c>
      <c r="H31" s="168"/>
      <c r="I31" s="170">
        <f>VLOOKUP(C31,'Справочник отрасли'!$J$6:$K$24,2,0)</f>
        <v>1</v>
      </c>
      <c r="J31" s="170" t="str">
        <f>VLOOKUP(A31,'Эшелоны результат'!$A$3:$H$283,8,FALSE)</f>
        <v>Ошибка, не численные значения</v>
      </c>
      <c r="L31" s="141" t="s">
        <v>123</v>
      </c>
      <c r="M31" s="174">
        <f t="shared" si="7"/>
        <v>23891200</v>
      </c>
      <c r="N31" s="175">
        <f t="shared" si="8"/>
        <v>3.1945341120613867E-4</v>
      </c>
    </row>
    <row r="32" spans="1:14" x14ac:dyDescent="0.2">
      <c r="A32" s="165" t="s">
        <v>598</v>
      </c>
      <c r="B32" s="166" t="s">
        <v>625</v>
      </c>
      <c r="C32" s="166" t="s">
        <v>237</v>
      </c>
      <c r="D32" s="167">
        <v>23891200</v>
      </c>
      <c r="E32" s="166" t="s">
        <v>123</v>
      </c>
      <c r="F32" s="171" t="str">
        <f>VLOOKUP(E32,'Справочник отрасли'!$A:$D,4,0)</f>
        <v>Топливная промышленность</v>
      </c>
      <c r="G32" s="169">
        <f t="shared" si="6"/>
        <v>3.1945341120613867E-4</v>
      </c>
      <c r="H32" s="168"/>
      <c r="I32" s="170">
        <f>VLOOKUP(C32,'Справочник отрасли'!$J$6:$K$24,2,0)</f>
        <v>1</v>
      </c>
      <c r="J32" s="170" t="str">
        <f>VLOOKUP(A32,'Эшелоны результат'!$A$3:$H$283,8,FALSE)</f>
        <v>Ошибка, не численные значения</v>
      </c>
      <c r="L32" s="141" t="s">
        <v>146</v>
      </c>
      <c r="M32" s="174">
        <f t="shared" si="7"/>
        <v>3913872702.5599999</v>
      </c>
      <c r="N32" s="175">
        <f t="shared" si="8"/>
        <v>5.2333076022107759E-2</v>
      </c>
    </row>
    <row r="33" spans="1:14" x14ac:dyDescent="0.2">
      <c r="A33" s="165" t="s">
        <v>493</v>
      </c>
      <c r="B33" s="166" t="s">
        <v>473</v>
      </c>
      <c r="C33" s="166" t="s">
        <v>492</v>
      </c>
      <c r="D33" s="167">
        <v>399502484.77999997</v>
      </c>
      <c r="E33" s="166" t="s">
        <v>146</v>
      </c>
      <c r="F33" s="171" t="str">
        <f>VLOOKUP(E33,'Справочник отрасли'!$A:$D,4,0)</f>
        <v>Банк</v>
      </c>
      <c r="G33" s="169">
        <f t="shared" si="6"/>
        <v>5.3418175540910244E-3</v>
      </c>
      <c r="H33" s="168" t="s">
        <v>80</v>
      </c>
      <c r="I33" s="170" t="e">
        <f>VLOOKUP(C33,'Справочник отрасли'!$J$6:$K$24,2,0)</f>
        <v>#N/A</v>
      </c>
      <c r="J33" s="170">
        <f>VLOOKUP(A33,'Эшелоны результат'!$A$3:$H$283,8,FALSE)</f>
        <v>1</v>
      </c>
      <c r="L33" s="141" t="s">
        <v>106</v>
      </c>
      <c r="M33" s="174">
        <f t="shared" si="7"/>
        <v>475825292.61000001</v>
      </c>
      <c r="N33" s="175">
        <f t="shared" si="8"/>
        <v>6.3623431582517246E-3</v>
      </c>
    </row>
    <row r="34" spans="1:14" x14ac:dyDescent="0.2">
      <c r="A34" s="165" t="s">
        <v>584</v>
      </c>
      <c r="B34" s="166" t="s">
        <v>473</v>
      </c>
      <c r="C34" s="166" t="s">
        <v>583</v>
      </c>
      <c r="D34" s="167">
        <v>475825292.61000001</v>
      </c>
      <c r="E34" s="166" t="s">
        <v>106</v>
      </c>
      <c r="F34" s="171" t="str">
        <f>VLOOKUP(E34,'Справочник отрасли'!$A:$D,4,0)</f>
        <v>Топливная промышленность</v>
      </c>
      <c r="G34" s="169">
        <f t="shared" si="6"/>
        <v>6.3623431582517246E-3</v>
      </c>
      <c r="H34" s="168" t="s">
        <v>76</v>
      </c>
      <c r="I34" s="170" t="e">
        <f>VLOOKUP(C34,'Справочник отрасли'!$J$6:$K$24,2,0)</f>
        <v>#N/A</v>
      </c>
      <c r="J34" s="170">
        <f>VLOOKUP(A34,'Эшелоны результат'!$A$3:$H$283,8,FALSE)</f>
        <v>1</v>
      </c>
      <c r="L34" s="141" t="s">
        <v>148</v>
      </c>
      <c r="M34" s="174">
        <f t="shared" si="7"/>
        <v>1028621595.12</v>
      </c>
      <c r="N34" s="175">
        <f t="shared" si="8"/>
        <v>1.3753879143843075E-2</v>
      </c>
    </row>
    <row r="35" spans="1:14" x14ac:dyDescent="0.2">
      <c r="A35" s="165" t="s">
        <v>599</v>
      </c>
      <c r="B35" s="166" t="s">
        <v>473</v>
      </c>
      <c r="C35" s="166" t="s">
        <v>628</v>
      </c>
      <c r="D35" s="167">
        <v>151253952.42000005</v>
      </c>
      <c r="E35" s="166" t="s">
        <v>136</v>
      </c>
      <c r="F35" s="171" t="str">
        <f>VLOOKUP(E35,'Справочник отрасли'!$A:$D,4,0)</f>
        <v>Горнодобывающая промышленность</v>
      </c>
      <c r="G35" s="169">
        <f t="shared" si="6"/>
        <v>2.0224430358868543E-3</v>
      </c>
      <c r="H35" s="168" t="s">
        <v>78</v>
      </c>
      <c r="I35" s="170" t="e">
        <f>VLOOKUP(C35,'Справочник отрасли'!$J$6:$K$24,2,0)</f>
        <v>#N/A</v>
      </c>
      <c r="J35" s="170">
        <f>VLOOKUP(A35,'Эшелоны результат'!$A$3:$H$283,8,FALSE)</f>
        <v>1</v>
      </c>
      <c r="L35" s="141" t="s">
        <v>144</v>
      </c>
      <c r="M35" s="174">
        <f t="shared" si="7"/>
        <v>300655848.07000005</v>
      </c>
      <c r="N35" s="175">
        <f t="shared" si="8"/>
        <v>4.0201218969761286E-3</v>
      </c>
    </row>
    <row r="36" spans="1:14" x14ac:dyDescent="0.2">
      <c r="A36" s="165" t="s">
        <v>600</v>
      </c>
      <c r="B36" s="166" t="s">
        <v>473</v>
      </c>
      <c r="C36" s="166" t="s">
        <v>629</v>
      </c>
      <c r="D36" s="167">
        <v>2340075526.9400001</v>
      </c>
      <c r="E36" s="166" t="s">
        <v>105</v>
      </c>
      <c r="F36" s="171" t="str">
        <f>VLOOKUP(E36,'Справочник отрасли'!$A:$D,4,0)</f>
        <v>Топливная промышленность</v>
      </c>
      <c r="G36" s="169">
        <f t="shared" si="6"/>
        <v>3.1289558898715236E-2</v>
      </c>
      <c r="H36" s="168" t="s">
        <v>76</v>
      </c>
      <c r="I36" s="170" t="e">
        <f>VLOOKUP(C36,'Справочник отрасли'!$J$6:$K$24,2,0)</f>
        <v>#N/A</v>
      </c>
      <c r="J36" s="170">
        <f>VLOOKUP(A36,'Эшелоны результат'!$A$3:$H$283,8,FALSE)</f>
        <v>1</v>
      </c>
      <c r="L36" s="141" t="s">
        <v>134</v>
      </c>
      <c r="M36" s="174">
        <f t="shared" si="7"/>
        <v>3101228417.8000002</v>
      </c>
      <c r="N36" s="175">
        <f t="shared" si="8"/>
        <v>4.1467067246334477E-2</v>
      </c>
    </row>
    <row r="37" spans="1:14" x14ac:dyDescent="0.2">
      <c r="A37" s="165" t="s">
        <v>601</v>
      </c>
      <c r="B37" s="166" t="s">
        <v>473</v>
      </c>
      <c r="C37" s="166" t="s">
        <v>630</v>
      </c>
      <c r="D37" s="167">
        <v>1028621595.12</v>
      </c>
      <c r="E37" s="166" t="s">
        <v>148</v>
      </c>
      <c r="F37" s="171" t="str">
        <f>VLOOKUP(E37,'Справочник отрасли'!$A:$D,4,0)</f>
        <v>Банк</v>
      </c>
      <c r="G37" s="169">
        <f t="shared" si="6"/>
        <v>1.3753879143843075E-2</v>
      </c>
      <c r="H37" s="168" t="s">
        <v>78</v>
      </c>
      <c r="I37" s="170" t="e">
        <f>VLOOKUP(C37,'Справочник отрасли'!$J$6:$K$24,2,0)</f>
        <v>#N/A</v>
      </c>
      <c r="J37" s="170">
        <f>VLOOKUP(A37,'Эшелоны результат'!$A$3:$H$283,8,FALSE)</f>
        <v>1</v>
      </c>
      <c r="L37" s="141" t="s">
        <v>137</v>
      </c>
      <c r="M37" s="174">
        <f t="shared" si="7"/>
        <v>349880026.95000005</v>
      </c>
      <c r="N37" s="175">
        <f t="shared" si="8"/>
        <v>4.6783069968052357E-3</v>
      </c>
    </row>
    <row r="38" spans="1:14" x14ac:dyDescent="0.2">
      <c r="A38" s="165" t="s">
        <v>602</v>
      </c>
      <c r="B38" s="166" t="s">
        <v>473</v>
      </c>
      <c r="C38" s="166" t="s">
        <v>631</v>
      </c>
      <c r="D38" s="167">
        <v>300655848.07000005</v>
      </c>
      <c r="E38" s="166" t="s">
        <v>144</v>
      </c>
      <c r="F38" s="171" t="str">
        <f>VLOOKUP(E38,'Справочник отрасли'!$A:$D,4,0)</f>
        <v>Связь и телекоммуникации</v>
      </c>
      <c r="G38" s="169">
        <f t="shared" si="6"/>
        <v>4.0201218969761286E-3</v>
      </c>
      <c r="H38" s="168" t="s">
        <v>80</v>
      </c>
      <c r="I38" s="170" t="e">
        <f>VLOOKUP(C38,'Справочник отрасли'!$J$6:$K$24,2,0)</f>
        <v>#N/A</v>
      </c>
      <c r="J38" s="170">
        <f>VLOOKUP(A38,'Эшелоны результат'!$A$3:$H$283,8,FALSE)</f>
        <v>1</v>
      </c>
      <c r="L38" s="141" t="s">
        <v>138</v>
      </c>
      <c r="M38" s="174">
        <f t="shared" si="7"/>
        <v>2073814189.2100003</v>
      </c>
      <c r="N38" s="175">
        <f t="shared" si="8"/>
        <v>2.7729332011402832E-2</v>
      </c>
    </row>
    <row r="39" spans="1:14" x14ac:dyDescent="0.2">
      <c r="A39" s="165" t="s">
        <v>477</v>
      </c>
      <c r="B39" s="166" t="s">
        <v>473</v>
      </c>
      <c r="C39" s="166" t="s">
        <v>476</v>
      </c>
      <c r="D39" s="167">
        <v>76680198.359999999</v>
      </c>
      <c r="E39" s="166" t="s">
        <v>134</v>
      </c>
      <c r="F39" s="171" t="str">
        <f>VLOOKUP(E39,'Справочник отрасли'!$A:$D,4,0)</f>
        <v>Финансовый лизинг</v>
      </c>
      <c r="G39" s="169">
        <f t="shared" si="6"/>
        <v>1.0253043354065666E-3</v>
      </c>
      <c r="H39" s="168" t="s">
        <v>82</v>
      </c>
      <c r="I39" s="170" t="e">
        <f>VLOOKUP(C39,'Справочник отрасли'!$J$6:$K$24,2,0)</f>
        <v>#N/A</v>
      </c>
      <c r="J39" s="170">
        <f>VLOOKUP(A39,'Эшелоны результат'!$A$3:$H$283,8,FALSE)</f>
        <v>2</v>
      </c>
      <c r="L39" s="141" t="s">
        <v>140</v>
      </c>
      <c r="M39" s="174">
        <f t="shared" si="7"/>
        <v>705967596.67999995</v>
      </c>
      <c r="N39" s="175">
        <f t="shared" si="8"/>
        <v>9.439616133154697E-3</v>
      </c>
    </row>
    <row r="40" spans="1:14" x14ac:dyDescent="0.2">
      <c r="A40" s="165" t="s">
        <v>479</v>
      </c>
      <c r="B40" s="166" t="s">
        <v>473</v>
      </c>
      <c r="C40" s="166" t="s">
        <v>478</v>
      </c>
      <c r="D40" s="167">
        <v>349880026.95000005</v>
      </c>
      <c r="E40" s="166" t="s">
        <v>137</v>
      </c>
      <c r="F40" s="171" t="str">
        <f>VLOOKUP(E40,'Справочник отрасли'!$A:$D,4,0)</f>
        <v>Транспорт</v>
      </c>
      <c r="G40" s="169">
        <f t="shared" si="6"/>
        <v>4.6783069968052357E-3</v>
      </c>
      <c r="H40" s="168" t="s">
        <v>82</v>
      </c>
      <c r="I40" s="170" t="e">
        <f>VLOOKUP(C40,'Справочник отрасли'!$J$6:$K$24,2,0)</f>
        <v>#N/A</v>
      </c>
      <c r="J40" s="170">
        <f>VLOOKUP(A40,'Эшелоны результат'!$A$3:$H$283,8,FALSE)</f>
        <v>2</v>
      </c>
      <c r="L40" s="141" t="s">
        <v>102</v>
      </c>
      <c r="M40" s="174">
        <f t="shared" si="7"/>
        <v>241998242.02000001</v>
      </c>
      <c r="N40" s="175">
        <f t="shared" si="8"/>
        <v>3.2358007935632256E-3</v>
      </c>
    </row>
    <row r="41" spans="1:14" x14ac:dyDescent="0.2">
      <c r="A41" s="165" t="s">
        <v>481</v>
      </c>
      <c r="B41" s="166" t="s">
        <v>473</v>
      </c>
      <c r="C41" s="166" t="s">
        <v>480</v>
      </c>
      <c r="D41" s="167">
        <v>1890895858.2800002</v>
      </c>
      <c r="E41" s="166" t="s">
        <v>138</v>
      </c>
      <c r="F41" s="171" t="str">
        <f>VLOOKUP(E41,'Справочник отрасли'!$A:$D,4,0)</f>
        <v>Банк</v>
      </c>
      <c r="G41" s="169">
        <f t="shared" si="6"/>
        <v>2.5283499035758165E-2</v>
      </c>
      <c r="H41" s="168" t="s">
        <v>84</v>
      </c>
      <c r="I41" s="170" t="e">
        <f>VLOOKUP(C41,'Справочник отрасли'!$J$6:$K$24,2,0)</f>
        <v>#N/A</v>
      </c>
      <c r="J41" s="170">
        <f>VLOOKUP(A41,'Эшелоны результат'!$A$3:$H$283,8,FALSE)</f>
        <v>2</v>
      </c>
      <c r="L41" s="141" t="s">
        <v>141</v>
      </c>
      <c r="M41" s="174">
        <f t="shared" si="7"/>
        <v>577207556.67999995</v>
      </c>
      <c r="N41" s="175">
        <f t="shared" si="8"/>
        <v>7.7179431320062043E-3</v>
      </c>
    </row>
    <row r="42" spans="1:14" x14ac:dyDescent="0.2">
      <c r="A42" s="165" t="s">
        <v>483</v>
      </c>
      <c r="B42" s="166" t="s">
        <v>473</v>
      </c>
      <c r="C42" s="166" t="s">
        <v>482</v>
      </c>
      <c r="D42" s="167">
        <v>67241151.790000007</v>
      </c>
      <c r="E42" s="166" t="s">
        <v>140</v>
      </c>
      <c r="F42" s="171" t="str">
        <f>VLOOKUP(E42,'Справочник отрасли'!$A:$D,4,0)</f>
        <v>Цветная и черная металлургия</v>
      </c>
      <c r="G42" s="169">
        <f t="shared" si="6"/>
        <v>8.9909319384314141E-4</v>
      </c>
      <c r="H42" s="168" t="s">
        <v>86</v>
      </c>
      <c r="I42" s="170" t="e">
        <f>VLOOKUP(C42,'Справочник отрасли'!$J$6:$K$24,2,0)</f>
        <v>#N/A</v>
      </c>
      <c r="J42" s="170">
        <f>VLOOKUP(A42,'Эшелоны результат'!$A$3:$H$283,8,FALSE)</f>
        <v>2</v>
      </c>
      <c r="L42" s="141" t="s">
        <v>142</v>
      </c>
      <c r="M42" s="174">
        <f t="shared" si="7"/>
        <v>302083927.87</v>
      </c>
      <c r="N42" s="175">
        <f t="shared" si="8"/>
        <v>4.0392170015997797E-3</v>
      </c>
    </row>
    <row r="43" spans="1:14" x14ac:dyDescent="0.2">
      <c r="A43" s="165" t="s">
        <v>485</v>
      </c>
      <c r="B43" s="166" t="s">
        <v>473</v>
      </c>
      <c r="C43" s="166" t="s">
        <v>484</v>
      </c>
      <c r="D43" s="167">
        <v>241998242.02000001</v>
      </c>
      <c r="E43" s="166" t="s">
        <v>102</v>
      </c>
      <c r="F43" s="171" t="str">
        <f>VLOOKUP(E43,'Справочник отрасли'!$A:$D,4,0)</f>
        <v>Связь и телекоммуникации</v>
      </c>
      <c r="G43" s="169">
        <f t="shared" si="6"/>
        <v>3.2358007935632256E-3</v>
      </c>
      <c r="H43" s="168" t="s">
        <v>82</v>
      </c>
      <c r="I43" s="170" t="e">
        <f>VLOOKUP(C43,'Справочник отрасли'!$J$6:$K$24,2,0)</f>
        <v>#N/A</v>
      </c>
      <c r="J43" s="170">
        <f>VLOOKUP(A43,'Эшелоны результат'!$A$3:$H$283,8,FALSE)</f>
        <v>2</v>
      </c>
      <c r="L43" s="141" t="s">
        <v>147</v>
      </c>
      <c r="M43" s="174">
        <f t="shared" si="7"/>
        <v>1213996692.4000001</v>
      </c>
      <c r="N43" s="175">
        <f t="shared" si="8"/>
        <v>1.6232561971778289E-2</v>
      </c>
    </row>
    <row r="44" spans="1:14" x14ac:dyDescent="0.2">
      <c r="A44" s="165" t="s">
        <v>487</v>
      </c>
      <c r="B44" s="166" t="s">
        <v>473</v>
      </c>
      <c r="C44" s="166" t="s">
        <v>486</v>
      </c>
      <c r="D44" s="167">
        <v>577207556.67999995</v>
      </c>
      <c r="E44" s="166" t="s">
        <v>141</v>
      </c>
      <c r="F44" s="171" t="str">
        <f>VLOOKUP(E44,'Справочник отрасли'!$A:$D,4,0)</f>
        <v>Транспорт</v>
      </c>
      <c r="G44" s="169">
        <f t="shared" si="6"/>
        <v>7.7179431320062043E-3</v>
      </c>
      <c r="H44" s="168" t="s">
        <v>82</v>
      </c>
      <c r="I44" s="170" t="e">
        <f>VLOOKUP(C44,'Справочник отрасли'!$J$6:$K$24,2,0)</f>
        <v>#N/A</v>
      </c>
      <c r="J44" s="170">
        <f>VLOOKUP(A44,'Эшелоны результат'!$A$3:$H$283,8,FALSE)</f>
        <v>2</v>
      </c>
      <c r="L44" s="141" t="s">
        <v>101</v>
      </c>
      <c r="M44" s="174">
        <f t="shared" si="7"/>
        <v>763725289.13</v>
      </c>
      <c r="N44" s="175">
        <f t="shared" si="8"/>
        <v>1.0211904334523719E-2</v>
      </c>
    </row>
    <row r="45" spans="1:14" x14ac:dyDescent="0.2">
      <c r="A45" s="165" t="s">
        <v>489</v>
      </c>
      <c r="B45" s="166" t="s">
        <v>473</v>
      </c>
      <c r="C45" s="166" t="s">
        <v>488</v>
      </c>
      <c r="D45" s="167">
        <v>302083927.87</v>
      </c>
      <c r="E45" s="166" t="s">
        <v>142</v>
      </c>
      <c r="F45" s="171" t="str">
        <f>VLOOKUP(E45,'Справочник отрасли'!$A:$D,4,0)</f>
        <v>Цветная и черная металлургия</v>
      </c>
      <c r="G45" s="169">
        <f t="shared" si="6"/>
        <v>4.0392170015997797E-3</v>
      </c>
      <c r="H45" s="168" t="s">
        <v>84</v>
      </c>
      <c r="I45" s="170" t="e">
        <f>VLOOKUP(C45,'Справочник отрасли'!$J$6:$K$24,2,0)</f>
        <v>#N/A</v>
      </c>
      <c r="J45" s="170">
        <f>VLOOKUP(A45,'Эшелоны результат'!$A$3:$H$283,8,FALSE)</f>
        <v>2</v>
      </c>
      <c r="L45" s="141" t="s">
        <v>150</v>
      </c>
      <c r="M45" s="174">
        <f t="shared" si="7"/>
        <v>6122979225.9300003</v>
      </c>
      <c r="N45" s="175">
        <f t="shared" si="8"/>
        <v>8.1871425481669452E-2</v>
      </c>
    </row>
    <row r="46" spans="1:14" x14ac:dyDescent="0.2">
      <c r="A46" s="165" t="s">
        <v>491</v>
      </c>
      <c r="B46" s="166" t="s">
        <v>473</v>
      </c>
      <c r="C46" s="166" t="s">
        <v>490</v>
      </c>
      <c r="D46" s="167">
        <v>765825917.90999997</v>
      </c>
      <c r="E46" s="166" t="s">
        <v>134</v>
      </c>
      <c r="F46" s="171" t="str">
        <f>VLOOKUP(E46,'Справочник отрасли'!$A:$D,4,0)</f>
        <v>Финансовый лизинг</v>
      </c>
      <c r="G46" s="169">
        <f t="shared" si="6"/>
        <v>1.0239992209115567E-2</v>
      </c>
      <c r="H46" s="168" t="s">
        <v>82</v>
      </c>
      <c r="I46" s="170" t="e">
        <f>VLOOKUP(C46,'Справочник отрасли'!$J$6:$K$24,2,0)</f>
        <v>#N/A</v>
      </c>
      <c r="J46" s="170">
        <f>VLOOKUP(A46,'Эшелоны результат'!$A$3:$H$283,8,FALSE)</f>
        <v>2</v>
      </c>
      <c r="L46" s="141" t="s">
        <v>151</v>
      </c>
      <c r="M46" s="174">
        <f t="shared" si="7"/>
        <v>4899032257.0799999</v>
      </c>
      <c r="N46" s="175">
        <f t="shared" si="8"/>
        <v>6.5505816624243027E-2</v>
      </c>
    </row>
    <row r="47" spans="1:14" x14ac:dyDescent="0.2">
      <c r="A47" s="165" t="s">
        <v>493</v>
      </c>
      <c r="B47" s="166" t="s">
        <v>473</v>
      </c>
      <c r="C47" s="166" t="s">
        <v>492</v>
      </c>
      <c r="D47" s="167">
        <v>1420284018.8599999</v>
      </c>
      <c r="E47" s="166" t="s">
        <v>146</v>
      </c>
      <c r="F47" s="171" t="str">
        <f>VLOOKUP(E47,'Справочник отрасли'!$A:$D,4,0)</f>
        <v>Банк</v>
      </c>
      <c r="G47" s="169">
        <f t="shared" si="6"/>
        <v>1.8990865871383218E-2</v>
      </c>
      <c r="H47" s="168" t="s">
        <v>80</v>
      </c>
      <c r="I47" s="170" t="e">
        <f>VLOOKUP(C47,'Справочник отрасли'!$J$6:$K$24,2,0)</f>
        <v>#N/A</v>
      </c>
      <c r="J47" s="170">
        <f>VLOOKUP(A47,'Эшелоны результат'!$A$3:$H$283,8,FALSE)</f>
        <v>1</v>
      </c>
      <c r="L47" s="141" t="s">
        <v>152</v>
      </c>
      <c r="M47" s="174">
        <f t="shared" si="7"/>
        <v>8223859206.0299988</v>
      </c>
      <c r="N47" s="175">
        <f t="shared" si="8"/>
        <v>0.10996265891396373</v>
      </c>
    </row>
    <row r="48" spans="1:14" x14ac:dyDescent="0.2">
      <c r="A48" s="165" t="s">
        <v>495</v>
      </c>
      <c r="B48" s="166" t="s">
        <v>473</v>
      </c>
      <c r="C48" s="166" t="s">
        <v>494</v>
      </c>
      <c r="D48" s="167">
        <v>908842439.14999998</v>
      </c>
      <c r="E48" s="166" t="s">
        <v>147</v>
      </c>
      <c r="F48" s="171" t="str">
        <f>VLOOKUP(E48,'Справочник отрасли'!$A:$D,4,0)</f>
        <v>Банк</v>
      </c>
      <c r="G48" s="169">
        <f t="shared" si="6"/>
        <v>1.2152291112852223E-2</v>
      </c>
      <c r="H48" s="168" t="s">
        <v>84</v>
      </c>
      <c r="I48" s="170" t="e">
        <f>VLOOKUP(C48,'Справочник отрасли'!$J$6:$K$24,2,0)</f>
        <v>#N/A</v>
      </c>
      <c r="J48" s="170">
        <f>VLOOKUP(A48,'Эшелоны результат'!$A$3:$H$283,8,FALSE)</f>
        <v>2</v>
      </c>
      <c r="L48" s="141" t="s">
        <v>339</v>
      </c>
      <c r="M48" s="174">
        <f t="shared" si="7"/>
        <v>425820922.92000002</v>
      </c>
      <c r="N48" s="175">
        <f t="shared" si="8"/>
        <v>5.6937259907304883E-3</v>
      </c>
    </row>
    <row r="49" spans="1:14" x14ac:dyDescent="0.2">
      <c r="A49" s="165" t="s">
        <v>497</v>
      </c>
      <c r="B49" s="166" t="s">
        <v>473</v>
      </c>
      <c r="C49" s="166" t="s">
        <v>496</v>
      </c>
      <c r="D49" s="167">
        <v>148507348.99000001</v>
      </c>
      <c r="E49" s="166" t="s">
        <v>105</v>
      </c>
      <c r="F49" s="171" t="str">
        <f>VLOOKUP(E49,'Справочник отрасли'!$A:$D,4,0)</f>
        <v>Топливная промышленность</v>
      </c>
      <c r="G49" s="169">
        <f t="shared" si="6"/>
        <v>1.9857177213382341E-3</v>
      </c>
      <c r="H49" s="168" t="s">
        <v>76</v>
      </c>
      <c r="I49" s="170" t="e">
        <f>VLOOKUP(C49,'Справочник отрасли'!$J$6:$K$24,2,0)</f>
        <v>#N/A</v>
      </c>
      <c r="J49" s="170">
        <f>VLOOKUP(A49,'Эшелоны результат'!$A$3:$H$283,8,FALSE)</f>
        <v>1</v>
      </c>
      <c r="L49" s="141" t="s">
        <v>139</v>
      </c>
      <c r="M49" s="174">
        <f t="shared" si="7"/>
        <v>2668310959.7200003</v>
      </c>
      <c r="N49" s="175">
        <f t="shared" si="8"/>
        <v>3.5678452243557451E-2</v>
      </c>
    </row>
    <row r="50" spans="1:14" x14ac:dyDescent="0.2">
      <c r="A50" s="165" t="s">
        <v>499</v>
      </c>
      <c r="B50" s="166" t="s">
        <v>473</v>
      </c>
      <c r="C50" s="166" t="s">
        <v>498</v>
      </c>
      <c r="D50" s="167">
        <v>237541639.38</v>
      </c>
      <c r="E50" s="166" t="s">
        <v>101</v>
      </c>
      <c r="F50" s="171" t="str">
        <f>VLOOKUP(E50,'Справочник отрасли'!$A:$D,4,0)</f>
        <v>Горнодобывающая промышленность</v>
      </c>
      <c r="G50" s="169">
        <f t="shared" si="6"/>
        <v>3.1762107806824038E-3</v>
      </c>
      <c r="H50" s="168" t="s">
        <v>76</v>
      </c>
      <c r="I50" s="170" t="e">
        <f>VLOOKUP(C50,'Справочник отрасли'!$J$6:$K$24,2,0)</f>
        <v>#N/A</v>
      </c>
      <c r="J50" s="170">
        <f>VLOOKUP(A50,'Эшелоны результат'!$A$3:$H$283,8,FALSE)</f>
        <v>1</v>
      </c>
      <c r="L50" s="141" t="s">
        <v>198</v>
      </c>
      <c r="M50" s="174">
        <f t="shared" si="7"/>
        <v>61992758.749999993</v>
      </c>
      <c r="N50" s="175">
        <f t="shared" si="8"/>
        <v>8.2891601312477814E-4</v>
      </c>
    </row>
    <row r="51" spans="1:14" x14ac:dyDescent="0.2">
      <c r="A51" s="165" t="s">
        <v>501</v>
      </c>
      <c r="B51" s="166" t="s">
        <v>473</v>
      </c>
      <c r="C51" s="166" t="s">
        <v>500</v>
      </c>
      <c r="D51" s="167">
        <v>6122979225.9300003</v>
      </c>
      <c r="E51" s="166" t="s">
        <v>150</v>
      </c>
      <c r="F51" s="171" t="str">
        <f>VLOOKUP(E51,'Справочник отрасли'!$A:$D,4,0)</f>
        <v>Банк</v>
      </c>
      <c r="G51" s="169">
        <f t="shared" si="6"/>
        <v>8.1871425481669452E-2</v>
      </c>
      <c r="H51" s="168" t="s">
        <v>78</v>
      </c>
      <c r="I51" s="170" t="e">
        <f>VLOOKUP(C51,'Справочник отрасли'!$J$6:$K$24,2,0)</f>
        <v>#N/A</v>
      </c>
      <c r="J51" s="170">
        <f>VLOOKUP(A51,'Эшелоны результат'!$A$3:$H$283,8,FALSE)</f>
        <v>1</v>
      </c>
      <c r="L51" s="141" t="s">
        <v>156</v>
      </c>
      <c r="M51" s="174">
        <f t="shared" si="7"/>
        <v>84587103.980000004</v>
      </c>
      <c r="N51" s="175">
        <f t="shared" si="8"/>
        <v>1.1310289525205662E-3</v>
      </c>
    </row>
    <row r="52" spans="1:14" x14ac:dyDescent="0.2">
      <c r="A52" s="165" t="s">
        <v>503</v>
      </c>
      <c r="B52" s="166" t="s">
        <v>473</v>
      </c>
      <c r="C52" s="166" t="s">
        <v>502</v>
      </c>
      <c r="D52" s="167">
        <v>4899032257.0799999</v>
      </c>
      <c r="E52" s="166" t="s">
        <v>151</v>
      </c>
      <c r="F52" s="171" t="str">
        <f>VLOOKUP(E52,'Справочник отрасли'!$A:$D,4,0)</f>
        <v>Топливная промышленность</v>
      </c>
      <c r="G52" s="169">
        <f t="shared" si="6"/>
        <v>6.5505816624243027E-2</v>
      </c>
      <c r="H52" s="168" t="s">
        <v>76</v>
      </c>
      <c r="I52" s="170" t="e">
        <f>VLOOKUP(C52,'Справочник отрасли'!$J$6:$K$24,2,0)</f>
        <v>#N/A</v>
      </c>
      <c r="J52" s="170">
        <f>VLOOKUP(A52,'Эшелоны результат'!$A$3:$H$283,8,FALSE)</f>
        <v>1</v>
      </c>
      <c r="L52" s="141" t="s">
        <v>199</v>
      </c>
      <c r="M52" s="174">
        <f t="shared" si="7"/>
        <v>13170072.870000005</v>
      </c>
      <c r="N52" s="175">
        <f t="shared" si="8"/>
        <v>1.7609934637669613E-4</v>
      </c>
    </row>
    <row r="53" spans="1:14" x14ac:dyDescent="0.2">
      <c r="A53" s="165" t="s">
        <v>505</v>
      </c>
      <c r="B53" s="166" t="s">
        <v>473</v>
      </c>
      <c r="C53" s="166" t="s">
        <v>504</v>
      </c>
      <c r="D53" s="167">
        <v>182918330.93000001</v>
      </c>
      <c r="E53" s="166" t="s">
        <v>138</v>
      </c>
      <c r="F53" s="171" t="str">
        <f>VLOOKUP(E53,'Справочник отрасли'!$A:$D,4,0)</f>
        <v>Банк</v>
      </c>
      <c r="G53" s="169">
        <f t="shared" si="6"/>
        <v>2.445832975644666E-3</v>
      </c>
      <c r="H53" s="168" t="s">
        <v>84</v>
      </c>
      <c r="I53" s="170" t="e">
        <f>VLOOKUP(C53,'Справочник отрасли'!$J$6:$K$24,2,0)</f>
        <v>#N/A</v>
      </c>
      <c r="J53" s="170">
        <f>VLOOKUP(A53,'Эшелоны результат'!$A$3:$H$283,8,FALSE)</f>
        <v>2</v>
      </c>
      <c r="L53" s="141" t="s">
        <v>158</v>
      </c>
      <c r="M53" s="174">
        <f t="shared" si="7"/>
        <v>2654274191.27</v>
      </c>
      <c r="N53" s="175">
        <f t="shared" si="8"/>
        <v>3.5490764159088556E-2</v>
      </c>
    </row>
    <row r="54" spans="1:14" x14ac:dyDescent="0.2">
      <c r="A54" s="165" t="s">
        <v>507</v>
      </c>
      <c r="B54" s="166" t="s">
        <v>473</v>
      </c>
      <c r="C54" s="166" t="s">
        <v>506</v>
      </c>
      <c r="D54" s="167">
        <v>8223859206.0299988</v>
      </c>
      <c r="E54" s="166" t="s">
        <v>152</v>
      </c>
      <c r="F54" s="171" t="str">
        <f>VLOOKUP(E54,'Справочник отрасли'!$A:$D,4,0)</f>
        <v>Топливная промышленность</v>
      </c>
      <c r="G54" s="169">
        <f t="shared" si="6"/>
        <v>0.10996265891396373</v>
      </c>
      <c r="H54" s="168" t="s">
        <v>78</v>
      </c>
      <c r="I54" s="170" t="e">
        <f>VLOOKUP(C54,'Справочник отрасли'!$J$6:$K$24,2,0)</f>
        <v>#N/A</v>
      </c>
      <c r="J54" s="170">
        <f>VLOOKUP(A54,'Эшелоны результат'!$A$3:$H$283,8,FALSE)</f>
        <v>1</v>
      </c>
      <c r="L54" s="141" t="s">
        <v>200</v>
      </c>
      <c r="M54" s="174">
        <f t="shared" si="7"/>
        <v>222377440</v>
      </c>
      <c r="N54" s="175">
        <f t="shared" si="8"/>
        <v>2.9734476201818422E-3</v>
      </c>
    </row>
    <row r="55" spans="1:14" x14ac:dyDescent="0.2">
      <c r="A55" s="165" t="s">
        <v>509</v>
      </c>
      <c r="B55" s="166" t="s">
        <v>473</v>
      </c>
      <c r="C55" s="166" t="s">
        <v>508</v>
      </c>
      <c r="D55" s="167">
        <v>705299750.39999998</v>
      </c>
      <c r="E55" s="166" t="s">
        <v>136</v>
      </c>
      <c r="F55" s="171" t="str">
        <f>VLOOKUP(E55,'Справочник отрасли'!$A:$D,4,0)</f>
        <v>Горнодобывающая промышленность</v>
      </c>
      <c r="G55" s="169">
        <f t="shared" si="6"/>
        <v>9.4306862438101966E-3</v>
      </c>
      <c r="H55" s="168" t="s">
        <v>78</v>
      </c>
      <c r="I55" s="170" t="e">
        <f>VLOOKUP(C55,'Справочник отрасли'!$J$6:$K$24,2,0)</f>
        <v>#N/A</v>
      </c>
      <c r="J55" s="170">
        <f>VLOOKUP(A55,'Эшелоны результат'!$A$3:$H$283,8,FALSE)</f>
        <v>1</v>
      </c>
      <c r="L55" s="141" t="s">
        <v>161</v>
      </c>
      <c r="M55" s="174">
        <f t="shared" si="7"/>
        <v>2081224049.3900001</v>
      </c>
      <c r="N55" s="175">
        <f t="shared" si="8"/>
        <v>2.7828410547058698E-2</v>
      </c>
    </row>
    <row r="56" spans="1:14" x14ac:dyDescent="0.2">
      <c r="A56" s="165" t="s">
        <v>511</v>
      </c>
      <c r="B56" s="166" t="s">
        <v>473</v>
      </c>
      <c r="C56" s="166" t="s">
        <v>510</v>
      </c>
      <c r="D56" s="167">
        <v>526183649.75</v>
      </c>
      <c r="E56" s="166" t="s">
        <v>101</v>
      </c>
      <c r="F56" s="171" t="str">
        <f>VLOOKUP(E56,'Справочник отрасли'!$A:$D,4,0)</f>
        <v>Горнодобывающая промышленность</v>
      </c>
      <c r="G56" s="169">
        <f t="shared" si="6"/>
        <v>7.0356935538413139E-3</v>
      </c>
      <c r="H56" s="168" t="s">
        <v>76</v>
      </c>
      <c r="I56" s="170" t="e">
        <f>VLOOKUP(C56,'Справочник отрасли'!$J$6:$K$24,2,0)</f>
        <v>#N/A</v>
      </c>
      <c r="J56" s="170">
        <f>VLOOKUP(A56,'Эшелоны результат'!$A$3:$H$283,8,FALSE)</f>
        <v>1</v>
      </c>
      <c r="L56" s="141" t="s">
        <v>201</v>
      </c>
      <c r="M56" s="174">
        <f t="shared" si="7"/>
        <v>314860782.04000002</v>
      </c>
      <c r="N56" s="175">
        <f t="shared" si="8"/>
        <v>4.2100585520070373E-3</v>
      </c>
    </row>
    <row r="57" spans="1:14" x14ac:dyDescent="0.2">
      <c r="A57" s="165" t="s">
        <v>513</v>
      </c>
      <c r="B57" s="166" t="s">
        <v>473</v>
      </c>
      <c r="C57" s="166" t="s">
        <v>512</v>
      </c>
      <c r="D57" s="167">
        <v>808042002.48000002</v>
      </c>
      <c r="E57" s="166" t="s">
        <v>154</v>
      </c>
      <c r="F57" s="171" t="str">
        <f>VLOOKUP(E57,'Справочник отрасли'!$A:$D,4,0)</f>
        <v>Банк</v>
      </c>
      <c r="G57" s="169">
        <f t="shared" si="6"/>
        <v>1.0804470854962295E-2</v>
      </c>
      <c r="H57" s="168" t="s">
        <v>78</v>
      </c>
      <c r="I57" s="170" t="e">
        <f>VLOOKUP(C57,'Справочник отрасли'!$J$6:$K$24,2,0)</f>
        <v>#N/A</v>
      </c>
      <c r="J57" s="170">
        <f>VLOOKUP(A57,'Эшелоны результат'!$A$3:$H$283,8,FALSE)</f>
        <v>1</v>
      </c>
      <c r="L57" s="141" t="s">
        <v>202</v>
      </c>
      <c r="M57" s="174">
        <f t="shared" si="7"/>
        <v>716129000.39999998</v>
      </c>
      <c r="N57" s="175">
        <f t="shared" si="8"/>
        <v>9.5754860384334919E-3</v>
      </c>
    </row>
    <row r="58" spans="1:14" x14ac:dyDescent="0.2">
      <c r="A58" s="165" t="s">
        <v>515</v>
      </c>
      <c r="B58" s="166" t="s">
        <v>473</v>
      </c>
      <c r="C58" s="166" t="s">
        <v>514</v>
      </c>
      <c r="D58" s="167">
        <v>425820922.92000002</v>
      </c>
      <c r="E58" s="166" t="s">
        <v>339</v>
      </c>
      <c r="F58" s="171" t="str">
        <f>VLOOKUP(E58,'Справочник отрасли'!$A:$D,4,0)</f>
        <v>Страны</v>
      </c>
      <c r="G58" s="169">
        <f t="shared" ref="G58:G90" si="9">D58/$B$19</f>
        <v>5.6937259907304883E-3</v>
      </c>
      <c r="H58" s="168" t="s">
        <v>88</v>
      </c>
      <c r="I58" s="170" t="e">
        <f>VLOOKUP(C58,'Справочник отрасли'!$J$6:$K$24,2,0)</f>
        <v>#N/A</v>
      </c>
      <c r="J58" s="170">
        <f>VLOOKUP(A58,'Эшелоны результат'!$A$3:$H$283,8,FALSE)</f>
        <v>2</v>
      </c>
      <c r="L58" s="141" t="s">
        <v>157</v>
      </c>
      <c r="M58" s="174">
        <f t="shared" si="7"/>
        <v>1553846367.25</v>
      </c>
      <c r="N58" s="175">
        <f t="shared" si="8"/>
        <v>2.077675137742261E-2</v>
      </c>
    </row>
    <row r="59" spans="1:14" x14ac:dyDescent="0.2">
      <c r="A59" s="165" t="s">
        <v>517</v>
      </c>
      <c r="B59" s="166" t="s">
        <v>473</v>
      </c>
      <c r="C59" s="166" t="s">
        <v>516</v>
      </c>
      <c r="D59" s="167">
        <v>651075343.64999998</v>
      </c>
      <c r="E59" s="166" t="s">
        <v>105</v>
      </c>
      <c r="F59" s="171" t="str">
        <f>VLOOKUP(E59,'Справочник отрасли'!$A:$D,4,0)</f>
        <v>Топливная промышленность</v>
      </c>
      <c r="G59" s="169">
        <f t="shared" si="9"/>
        <v>8.7056422231282429E-3</v>
      </c>
      <c r="H59" s="168" t="s">
        <v>80</v>
      </c>
      <c r="I59" s="170" t="e">
        <f>VLOOKUP(C59,'Справочник отрасли'!$J$6:$K$24,2,0)</f>
        <v>#N/A</v>
      </c>
      <c r="J59" s="170">
        <f>VLOOKUP(A59,'Эшелоны результат'!$A$3:$H$283,8,FALSE)</f>
        <v>1</v>
      </c>
      <c r="L59" s="141" t="s">
        <v>162</v>
      </c>
      <c r="M59" s="174">
        <f t="shared" si="7"/>
        <v>201721752.68000001</v>
      </c>
      <c r="N59" s="175">
        <f t="shared" si="8"/>
        <v>2.6972568145638164E-3</v>
      </c>
    </row>
    <row r="60" spans="1:14" x14ac:dyDescent="0.2">
      <c r="A60" s="165" t="s">
        <v>519</v>
      </c>
      <c r="B60" s="166" t="s">
        <v>473</v>
      </c>
      <c r="C60" s="166" t="s">
        <v>518</v>
      </c>
      <c r="D60" s="167">
        <v>1523643849.53</v>
      </c>
      <c r="E60" s="166" t="s">
        <v>139</v>
      </c>
      <c r="F60" s="171" t="str">
        <f>VLOOKUP(E60,'Справочник отрасли'!$A:$D,4,0)</f>
        <v>Банк</v>
      </c>
      <c r="G60" s="169">
        <f t="shared" si="9"/>
        <v>2.0372908233810407E-2</v>
      </c>
      <c r="H60" s="168" t="s">
        <v>84</v>
      </c>
      <c r="I60" s="170" t="e">
        <f>VLOOKUP(C60,'Справочник отрасли'!$J$6:$K$24,2,0)</f>
        <v>#N/A</v>
      </c>
      <c r="J60" s="170">
        <f>VLOOKUP(A60,'Эшелоны результат'!$A$3:$H$283,8,FALSE)</f>
        <v>2</v>
      </c>
      <c r="L60" s="141" t="s">
        <v>345</v>
      </c>
      <c r="M60" s="174">
        <f t="shared" si="7"/>
        <v>44488350</v>
      </c>
      <c r="N60" s="175">
        <f t="shared" si="8"/>
        <v>5.9486150408655149E-4</v>
      </c>
    </row>
    <row r="61" spans="1:14" x14ac:dyDescent="0.2">
      <c r="A61" s="165" t="s">
        <v>521</v>
      </c>
      <c r="B61" s="166" t="s">
        <v>473</v>
      </c>
      <c r="C61" s="166" t="s">
        <v>520</v>
      </c>
      <c r="D61" s="167">
        <v>1144667110.1900001</v>
      </c>
      <c r="E61" s="166" t="s">
        <v>139</v>
      </c>
      <c r="F61" s="171" t="str">
        <f>VLOOKUP(E61,'Справочник отрасли'!$A:$D,4,0)</f>
        <v>Банк</v>
      </c>
      <c r="G61" s="169">
        <f t="shared" si="9"/>
        <v>1.5305544009747043E-2</v>
      </c>
      <c r="H61" s="168" t="s">
        <v>84</v>
      </c>
      <c r="I61" s="170" t="e">
        <f>VLOOKUP(C61,'Справочник отрасли'!$J$6:$K$24,2,0)</f>
        <v>#N/A</v>
      </c>
      <c r="J61" s="170">
        <f>VLOOKUP(A61,'Эшелоны результат'!$A$3:$H$283,8,FALSE)</f>
        <v>2</v>
      </c>
      <c r="L61" s="141" t="s">
        <v>454</v>
      </c>
      <c r="M61" s="174">
        <f t="shared" si="7"/>
        <v>79729600</v>
      </c>
      <c r="N61" s="175">
        <f t="shared" si="8"/>
        <v>1.0660784177479975E-3</v>
      </c>
    </row>
    <row r="62" spans="1:14" x14ac:dyDescent="0.2">
      <c r="A62" s="165" t="s">
        <v>603</v>
      </c>
      <c r="B62" s="166" t="s">
        <v>474</v>
      </c>
      <c r="C62" s="166" t="s">
        <v>632</v>
      </c>
      <c r="D62" s="167">
        <v>61992758.749999993</v>
      </c>
      <c r="E62" s="166" t="s">
        <v>198</v>
      </c>
      <c r="F62" s="171" t="str">
        <f>VLOOKUP(E62,'Справочник отрасли'!$A:$D,4,0)</f>
        <v>Финансовый лизинг</v>
      </c>
      <c r="G62" s="169">
        <f t="shared" si="9"/>
        <v>8.2891601312477814E-4</v>
      </c>
      <c r="H62" s="168" t="s">
        <v>78</v>
      </c>
      <c r="I62" s="170" t="e">
        <f>VLOOKUP(C62,'Справочник отрасли'!$J$6:$K$24,2,0)</f>
        <v>#N/A</v>
      </c>
      <c r="J62" s="170">
        <f>VLOOKUP(A62,'Эшелоны результат'!$A$3:$H$283,8,FALSE)</f>
        <v>4</v>
      </c>
      <c r="L62" s="141" t="s">
        <v>7</v>
      </c>
      <c r="M62" s="174">
        <f t="shared" si="7"/>
        <v>957419670.16999996</v>
      </c>
      <c r="N62" s="175">
        <f t="shared" si="8"/>
        <v>1.280182575976354E-2</v>
      </c>
    </row>
    <row r="63" spans="1:14" x14ac:dyDescent="0.2">
      <c r="A63" s="165" t="s">
        <v>525</v>
      </c>
      <c r="B63" s="166" t="s">
        <v>474</v>
      </c>
      <c r="C63" s="166" t="s">
        <v>524</v>
      </c>
      <c r="D63" s="167">
        <v>842061.4</v>
      </c>
      <c r="E63" s="166" t="s">
        <v>156</v>
      </c>
      <c r="F63" s="171" t="str">
        <f>VLOOKUP(E63,'Справочник отрасли'!$A:$D,4,0)</f>
        <v>Банк</v>
      </c>
      <c r="G63" s="169">
        <f t="shared" si="9"/>
        <v>1.1259350165542829E-5</v>
      </c>
      <c r="H63" s="168" t="s">
        <v>78</v>
      </c>
      <c r="I63" s="170" t="e">
        <f>VLOOKUP(C63,'Справочник отрасли'!$J$6:$K$24,2,0)</f>
        <v>#N/A</v>
      </c>
      <c r="J63" s="170">
        <f>VLOOKUP(A63,'Эшелоны результат'!$A$3:$H$283,8,FALSE)</f>
        <v>4</v>
      </c>
      <c r="L63" s="141" t="s">
        <v>159</v>
      </c>
      <c r="M63" s="174">
        <f t="shared" si="7"/>
        <v>1520769313.72</v>
      </c>
      <c r="N63" s="175">
        <f t="shared" si="8"/>
        <v>2.0334472313047167E-2</v>
      </c>
    </row>
    <row r="64" spans="1:14" x14ac:dyDescent="0.2">
      <c r="A64" s="165" t="s">
        <v>604</v>
      </c>
      <c r="B64" s="166" t="s">
        <v>474</v>
      </c>
      <c r="C64" s="166" t="s">
        <v>633</v>
      </c>
      <c r="D64" s="167">
        <v>13170072.870000005</v>
      </c>
      <c r="E64" s="166" t="s">
        <v>199</v>
      </c>
      <c r="F64" s="171" t="str">
        <f>VLOOKUP(E64,'Справочник отрасли'!$A:$D,4,0)</f>
        <v>Инвестиционная деятельность</v>
      </c>
      <c r="G64" s="169">
        <f t="shared" si="9"/>
        <v>1.7609934637669613E-4</v>
      </c>
      <c r="H64" s="168" t="s">
        <v>117</v>
      </c>
      <c r="I64" s="170" t="e">
        <f>VLOOKUP(C64,'Справочник отрасли'!$J$6:$K$24,2,0)</f>
        <v>#N/A</v>
      </c>
      <c r="J64" s="170">
        <f>VLOOKUP(A64,'Эшелоны результат'!$A$3:$H$283,8,FALSE)</f>
        <v>4</v>
      </c>
      <c r="L64" s="141" t="s">
        <v>590</v>
      </c>
      <c r="M64" s="174">
        <f t="shared" si="7"/>
        <v>4971208415.2799997</v>
      </c>
      <c r="N64" s="175">
        <f t="shared" si="8"/>
        <v>6.6470896651397118E-2</v>
      </c>
    </row>
    <row r="65" spans="1:14" x14ac:dyDescent="0.2">
      <c r="A65" s="165" t="s">
        <v>527</v>
      </c>
      <c r="B65" s="166" t="s">
        <v>474</v>
      </c>
      <c r="C65" s="166" t="s">
        <v>526</v>
      </c>
      <c r="D65" s="167">
        <v>35066996.400000006</v>
      </c>
      <c r="E65" s="166" t="s">
        <v>146</v>
      </c>
      <c r="F65" s="171" t="str">
        <f>VLOOKUP(E65,'Справочник отрасли'!$A:$D,4,0)</f>
        <v>Банк</v>
      </c>
      <c r="G65" s="169">
        <f t="shared" si="9"/>
        <v>4.6888693831759757E-4</v>
      </c>
      <c r="H65" s="168" t="s">
        <v>80</v>
      </c>
      <c r="I65" s="170" t="e">
        <f>VLOOKUP(C65,'Справочник отрасли'!$J$6:$K$24,2,0)</f>
        <v>#N/A</v>
      </c>
      <c r="J65" s="170">
        <f>VLOOKUP(A65,'Эшелоны результат'!$A$3:$H$283,8,FALSE)</f>
        <v>2</v>
      </c>
      <c r="L65" s="141" t="s">
        <v>160</v>
      </c>
      <c r="M65" s="174">
        <f t="shared" si="7"/>
        <v>516901886.88999999</v>
      </c>
      <c r="N65" s="175">
        <f t="shared" si="8"/>
        <v>6.9115854802563352E-3</v>
      </c>
    </row>
    <row r="66" spans="1:14" x14ac:dyDescent="0.2">
      <c r="A66" s="165" t="s">
        <v>533</v>
      </c>
      <c r="B66" s="166" t="s">
        <v>474</v>
      </c>
      <c r="C66" s="166" t="s">
        <v>532</v>
      </c>
      <c r="D66" s="167">
        <v>170922755.24999994</v>
      </c>
      <c r="E66" s="166" t="s">
        <v>158</v>
      </c>
      <c r="F66" s="171" t="str">
        <f>VLOOKUP(E66,'Справочник отрасли'!$A:$D,4,0)</f>
        <v>Инвестиционная деятельность</v>
      </c>
      <c r="G66" s="169">
        <f t="shared" si="9"/>
        <v>2.2854380364889346E-3</v>
      </c>
      <c r="H66" s="168" t="s">
        <v>84</v>
      </c>
      <c r="I66" s="170" t="e">
        <f>VLOOKUP(C66,'Справочник отрасли'!$J$6:$K$24,2,0)</f>
        <v>#N/A</v>
      </c>
      <c r="J66" s="170">
        <f>VLOOKUP(A66,'Эшелоны результат'!$A$3:$H$283,8,FALSE)</f>
        <v>2</v>
      </c>
      <c r="L66" s="141" t="s">
        <v>343</v>
      </c>
      <c r="M66" s="174">
        <f t="shared" si="7"/>
        <v>620179925.57999992</v>
      </c>
      <c r="N66" s="175">
        <f t="shared" si="8"/>
        <v>8.2925341878223036E-3</v>
      </c>
    </row>
    <row r="67" spans="1:14" x14ac:dyDescent="0.2">
      <c r="A67" s="165" t="s">
        <v>539</v>
      </c>
      <c r="B67" s="166" t="s">
        <v>474</v>
      </c>
      <c r="C67" s="166" t="s">
        <v>538</v>
      </c>
      <c r="D67" s="167">
        <v>54939665.44000002</v>
      </c>
      <c r="E67" s="166" t="s">
        <v>158</v>
      </c>
      <c r="F67" s="171" t="str">
        <f>VLOOKUP(E67,'Справочник отрасли'!$A:$D,4,0)</f>
        <v>Инвестиционная деятельность</v>
      </c>
      <c r="G67" s="169">
        <f t="shared" si="9"/>
        <v>7.3460786964790433E-4</v>
      </c>
      <c r="H67" s="168" t="s">
        <v>84</v>
      </c>
      <c r="I67" s="170" t="e">
        <f>VLOOKUP(C67,'Справочник отрасли'!$J$6:$K$24,2,0)</f>
        <v>#N/A</v>
      </c>
      <c r="J67" s="170">
        <f>VLOOKUP(A67,'Эшелоны результат'!$A$3:$H$283,8,FALSE)</f>
        <v>2</v>
      </c>
      <c r="L67" s="141" t="s">
        <v>149</v>
      </c>
      <c r="M67" s="174">
        <f t="shared" si="7"/>
        <v>1441009468.1900001</v>
      </c>
      <c r="N67" s="175">
        <f t="shared" si="8"/>
        <v>1.9267989477030845E-2</v>
      </c>
    </row>
    <row r="68" spans="1:14" x14ac:dyDescent="0.2">
      <c r="A68" s="165" t="s">
        <v>605</v>
      </c>
      <c r="B68" s="166" t="s">
        <v>474</v>
      </c>
      <c r="C68" s="166" t="s">
        <v>634</v>
      </c>
      <c r="D68" s="167">
        <v>222377440</v>
      </c>
      <c r="E68" s="166" t="s">
        <v>200</v>
      </c>
      <c r="F68" s="171" t="str">
        <f>VLOOKUP(E68,'Справочник отрасли'!$A:$D,4,0)</f>
        <v>Банк</v>
      </c>
      <c r="G68" s="169">
        <f t="shared" si="9"/>
        <v>2.9734476201818422E-3</v>
      </c>
      <c r="H68" s="168" t="s">
        <v>84</v>
      </c>
      <c r="I68" s="170" t="e">
        <f>VLOOKUP(C68,'Справочник отрасли'!$J$6:$K$24,2,0)</f>
        <v>#N/A</v>
      </c>
      <c r="J68" s="170">
        <v>4</v>
      </c>
      <c r="L68" s="141" t="s">
        <v>163</v>
      </c>
      <c r="M68" s="174">
        <f t="shared" si="7"/>
        <v>1037269218.1799999</v>
      </c>
      <c r="N68" s="175">
        <f t="shared" si="8"/>
        <v>1.3869508023319276E-2</v>
      </c>
    </row>
    <row r="69" spans="1:14" x14ac:dyDescent="0.2">
      <c r="A69" s="165" t="s">
        <v>553</v>
      </c>
      <c r="B69" s="166" t="s">
        <v>474</v>
      </c>
      <c r="C69" s="166" t="s">
        <v>552</v>
      </c>
      <c r="D69" s="167">
        <v>6167631.4900000002</v>
      </c>
      <c r="E69" s="166" t="s">
        <v>161</v>
      </c>
      <c r="F69" s="171" t="str">
        <f>VLOOKUP(E69,'Справочник отрасли'!$A:$D,4,0)</f>
        <v>Инвестиционная деятельность</v>
      </c>
      <c r="G69" s="169">
        <f t="shared" si="9"/>
        <v>8.2468478709436942E-5</v>
      </c>
      <c r="H69" s="168" t="s">
        <v>80</v>
      </c>
      <c r="I69" s="170" t="e">
        <f>VLOOKUP(C69,'Справочник отрасли'!$J$6:$K$24,2,0)</f>
        <v>#N/A</v>
      </c>
      <c r="J69" s="170">
        <v>4</v>
      </c>
      <c r="L69" s="141" t="s">
        <v>233</v>
      </c>
      <c r="M69" s="174">
        <f t="shared" si="7"/>
        <v>523726663.85000002</v>
      </c>
      <c r="N69" s="175">
        <f t="shared" si="8"/>
        <v>7.00284076590934E-3</v>
      </c>
    </row>
    <row r="70" spans="1:14" x14ac:dyDescent="0.2">
      <c r="A70" s="165" t="s">
        <v>606</v>
      </c>
      <c r="B70" s="166" t="s">
        <v>474</v>
      </c>
      <c r="C70" s="166" t="s">
        <v>635</v>
      </c>
      <c r="D70" s="167">
        <v>8679855.4399999995</v>
      </c>
      <c r="E70" s="166" t="s">
        <v>201</v>
      </c>
      <c r="F70" s="171" t="str">
        <f>VLOOKUP(E70,'Справочник отрасли'!$A:$D,4,0)</f>
        <v>Банк</v>
      </c>
      <c r="G70" s="169">
        <f t="shared" si="9"/>
        <v>1.1605986426316634E-4</v>
      </c>
      <c r="H70" s="168" t="s">
        <v>78</v>
      </c>
      <c r="I70" s="170" t="e">
        <f>VLOOKUP(C70,'Справочник отрасли'!$J$6:$K$24,2,0)</f>
        <v>#N/A</v>
      </c>
      <c r="J70" s="170">
        <f>VLOOKUP(A70,'Эшелоны результат'!$A$3:$H$283,8,FALSE)</f>
        <v>2</v>
      </c>
      <c r="L70" s="141" t="s">
        <v>591</v>
      </c>
      <c r="M70" s="174">
        <f t="shared" si="7"/>
        <v>316293733.49000001</v>
      </c>
      <c r="N70" s="175">
        <f t="shared" si="8"/>
        <v>4.2292187963143676E-3</v>
      </c>
    </row>
    <row r="71" spans="1:14" x14ac:dyDescent="0.2">
      <c r="A71" s="165" t="s">
        <v>607</v>
      </c>
      <c r="B71" s="166" t="s">
        <v>474</v>
      </c>
      <c r="C71" s="166" t="s">
        <v>636</v>
      </c>
      <c r="D71" s="167">
        <v>306180926.60000002</v>
      </c>
      <c r="E71" s="166" t="s">
        <v>201</v>
      </c>
      <c r="F71" s="171" t="str">
        <f>VLOOKUP(E71,'Справочник отрасли'!$A:$D,4,0)</f>
        <v>Банк</v>
      </c>
      <c r="G71" s="169">
        <f t="shared" si="9"/>
        <v>4.0939986877438711E-3</v>
      </c>
      <c r="H71" s="168" t="s">
        <v>78</v>
      </c>
      <c r="I71" s="170" t="e">
        <f>VLOOKUP(C71,'Справочник отрасли'!$J$6:$K$24,2,0)</f>
        <v>#N/A</v>
      </c>
      <c r="J71" s="170">
        <f>VLOOKUP(A71,'Эшелоны результат'!$A$3:$H$283,8,FALSE)</f>
        <v>2</v>
      </c>
      <c r="L71" s="141" t="s">
        <v>164</v>
      </c>
      <c r="M71" s="174">
        <f t="shared" si="7"/>
        <v>12158793082.410002</v>
      </c>
      <c r="N71" s="175">
        <f t="shared" si="8"/>
        <v>0.16257734757255712</v>
      </c>
    </row>
    <row r="72" spans="1:14" x14ac:dyDescent="0.2">
      <c r="A72" s="165" t="s">
        <v>608</v>
      </c>
      <c r="B72" s="166" t="s">
        <v>474</v>
      </c>
      <c r="C72" s="166" t="s">
        <v>637</v>
      </c>
      <c r="D72" s="167">
        <v>542729900.37</v>
      </c>
      <c r="E72" s="166" t="s">
        <v>202</v>
      </c>
      <c r="F72" s="171" t="str">
        <f>VLOOKUP(E72,'Справочник отрасли'!$A:$D,4,0)</f>
        <v>Топливная промышленность</v>
      </c>
      <c r="G72" s="169">
        <f t="shared" si="9"/>
        <v>7.2569363630443128E-3</v>
      </c>
      <c r="H72" s="168" t="s">
        <v>78</v>
      </c>
      <c r="I72" s="170" t="e">
        <f>VLOOKUP(C72,'Справочник отрасли'!$J$6:$K$24,2,0)</f>
        <v>#N/A</v>
      </c>
      <c r="J72" s="170">
        <f>VLOOKUP(A72,'Эшелоны результат'!$A$3:$H$283,8,FALSE)</f>
        <v>1</v>
      </c>
      <c r="L72" s="141" t="s">
        <v>246</v>
      </c>
      <c r="M72" s="174">
        <f t="shared" si="7"/>
        <v>20783000</v>
      </c>
      <c r="N72" s="175">
        <f t="shared" si="8"/>
        <v>2.7789312571562669E-4</v>
      </c>
    </row>
    <row r="73" spans="1:14" x14ac:dyDescent="0.2">
      <c r="A73" s="165" t="s">
        <v>609</v>
      </c>
      <c r="B73" s="166" t="s">
        <v>474</v>
      </c>
      <c r="C73" s="166" t="s">
        <v>638</v>
      </c>
      <c r="D73" s="167">
        <v>156681100.03</v>
      </c>
      <c r="E73" s="166" t="s">
        <v>202</v>
      </c>
      <c r="F73" s="171" t="str">
        <f>VLOOKUP(E73,'Справочник отрасли'!$A:$D,4,0)</f>
        <v>Топливная промышленность</v>
      </c>
      <c r="G73" s="169">
        <f t="shared" si="9"/>
        <v>2.0950103752056717E-3</v>
      </c>
      <c r="H73" s="168" t="s">
        <v>78</v>
      </c>
      <c r="I73" s="170" t="e">
        <f>VLOOKUP(C73,'Справочник отрасли'!$J$6:$K$24,2,0)</f>
        <v>#N/A</v>
      </c>
      <c r="J73" s="170">
        <f>VLOOKUP(A73,'Эшелоны результат'!$A$3:$H$283,8,FALSE)</f>
        <v>1</v>
      </c>
      <c r="L73" s="141"/>
      <c r="M73" s="174">
        <f t="shared" si="7"/>
        <v>0</v>
      </c>
      <c r="N73" s="175">
        <f t="shared" si="8"/>
        <v>0</v>
      </c>
    </row>
    <row r="74" spans="1:14" x14ac:dyDescent="0.2">
      <c r="A74" s="165" t="s">
        <v>563</v>
      </c>
      <c r="B74" s="166" t="s">
        <v>474</v>
      </c>
      <c r="C74" s="166" t="s">
        <v>562</v>
      </c>
      <c r="D74" s="167">
        <v>187587617.25</v>
      </c>
      <c r="E74" s="166" t="s">
        <v>157</v>
      </c>
      <c r="F74" s="171" t="str">
        <f>VLOOKUP(E74,'Справочник отрасли'!$A:$D,4,0)</f>
        <v>Банк</v>
      </c>
      <c r="G74" s="169">
        <f t="shared" si="9"/>
        <v>2.5082668191863115E-3</v>
      </c>
      <c r="H74" s="168" t="s">
        <v>72</v>
      </c>
      <c r="I74" s="170" t="e">
        <f>VLOOKUP(C74,'Справочник отрасли'!$J$6:$K$24,2,0)</f>
        <v>#N/A</v>
      </c>
      <c r="J74" s="170">
        <f>VLOOKUP(A74,'Эшелоны результат'!$A$3:$H$283,8,FALSE)</f>
        <v>3</v>
      </c>
      <c r="L74" s="141"/>
      <c r="M74" s="174">
        <f t="shared" si="7"/>
        <v>0</v>
      </c>
      <c r="N74" s="175">
        <f t="shared" si="8"/>
        <v>0</v>
      </c>
    </row>
    <row r="75" spans="1:14" x14ac:dyDescent="0.2">
      <c r="A75" s="165" t="s">
        <v>567</v>
      </c>
      <c r="B75" s="166" t="s">
        <v>474</v>
      </c>
      <c r="C75" s="166" t="s">
        <v>566</v>
      </c>
      <c r="D75" s="167">
        <v>35577893.880000003</v>
      </c>
      <c r="E75" s="166" t="s">
        <v>162</v>
      </c>
      <c r="F75" s="171" t="str">
        <f>VLOOKUP(E75,'Справочник отрасли'!$A:$D,4,0)</f>
        <v>Финансовый лизинг</v>
      </c>
      <c r="G75" s="169">
        <f t="shared" si="9"/>
        <v>4.7571823782380148E-4</v>
      </c>
      <c r="H75" s="168" t="s">
        <v>80</v>
      </c>
      <c r="I75" s="170" t="e">
        <f>VLOOKUP(C75,'Справочник отрасли'!$J$6:$K$24,2,0)</f>
        <v>#N/A</v>
      </c>
      <c r="J75" s="170">
        <f>VLOOKUP(A75,'Эшелоны результат'!$A$3:$H$283,8,FALSE)</f>
        <v>1</v>
      </c>
      <c r="L75" s="141"/>
      <c r="M75" s="174">
        <f t="shared" si="7"/>
        <v>0</v>
      </c>
      <c r="N75" s="175">
        <f t="shared" si="8"/>
        <v>0</v>
      </c>
    </row>
    <row r="76" spans="1:14" x14ac:dyDescent="0.2">
      <c r="A76" s="165" t="s">
        <v>610</v>
      </c>
      <c r="B76" s="166" t="s">
        <v>474</v>
      </c>
      <c r="C76" s="166" t="s">
        <v>639</v>
      </c>
      <c r="D76" s="167">
        <v>514946466.71999997</v>
      </c>
      <c r="E76" s="166" t="s">
        <v>158</v>
      </c>
      <c r="F76" s="171" t="str">
        <f>VLOOKUP(E76,'Справочник отрасли'!$A:$D,4,0)</f>
        <v>Инвестиционная деятельность</v>
      </c>
      <c r="G76" s="169">
        <f t="shared" si="9"/>
        <v>6.8854392153701932E-3</v>
      </c>
      <c r="H76" s="168" t="s">
        <v>84</v>
      </c>
      <c r="I76" s="170" t="e">
        <f>VLOOKUP(C76,'Справочник отрасли'!$J$6:$K$24,2,0)</f>
        <v>#N/A</v>
      </c>
      <c r="J76" s="170">
        <f>VLOOKUP(A76,'Эшелоны результат'!$A$3:$H$283,8,FALSE)</f>
        <v>2</v>
      </c>
      <c r="L76" s="141"/>
      <c r="M76" s="174">
        <f t="shared" si="7"/>
        <v>0</v>
      </c>
      <c r="N76" s="175">
        <f t="shared" si="8"/>
        <v>0</v>
      </c>
    </row>
    <row r="77" spans="1:14" ht="15" x14ac:dyDescent="0.25">
      <c r="A77" s="165" t="s">
        <v>611</v>
      </c>
      <c r="B77" s="166" t="s">
        <v>474</v>
      </c>
      <c r="C77" s="166" t="s">
        <v>640</v>
      </c>
      <c r="D77" s="167">
        <v>55923750</v>
      </c>
      <c r="E77" s="166" t="s">
        <v>157</v>
      </c>
      <c r="F77" s="171" t="str">
        <f>VLOOKUP(E77,'Справочник отрасли'!$A:$D,4,0)</f>
        <v>Банк</v>
      </c>
      <c r="G77" s="169">
        <f t="shared" si="9"/>
        <v>7.4776623631041131E-4</v>
      </c>
      <c r="H77" s="168" t="s">
        <v>72</v>
      </c>
      <c r="I77" s="170" t="e">
        <f>VLOOKUP(C77,'Справочник отрасли'!$J$6:$K$24,2,0)</f>
        <v>#N/A</v>
      </c>
      <c r="J77" s="170">
        <f>VLOOKUP(A77,'Эшелоны результат'!$A$3:$H$283,8,FALSE)</f>
        <v>4</v>
      </c>
      <c r="L77"/>
      <c r="M77" s="150">
        <f>SUM(M26:M76)</f>
        <v>74787744196.550003</v>
      </c>
    </row>
    <row r="78" spans="1:14" x14ac:dyDescent="0.2">
      <c r="A78" s="165" t="s">
        <v>612</v>
      </c>
      <c r="B78" s="166" t="s">
        <v>474</v>
      </c>
      <c r="C78" s="166" t="s">
        <v>641</v>
      </c>
      <c r="D78" s="167">
        <v>577827941.15999997</v>
      </c>
      <c r="E78" s="166" t="s">
        <v>158</v>
      </c>
      <c r="F78" s="171" t="str">
        <f>VLOOKUP(E78,'Справочник отрасли'!$A:$D,4,0)</f>
        <v>Инвестиционная деятельность</v>
      </c>
      <c r="G78" s="169">
        <f t="shared" si="9"/>
        <v>7.7262384013269307E-3</v>
      </c>
      <c r="H78" s="168" t="s">
        <v>84</v>
      </c>
      <c r="I78" s="170" t="e">
        <f>VLOOKUP(C78,'Справочник отрасли'!$J$6:$K$24,2,0)</f>
        <v>#N/A</v>
      </c>
      <c r="J78" s="170">
        <f>VLOOKUP(A78,'Эшелоны результат'!$A$3:$H$283,8,FALSE)</f>
        <v>2</v>
      </c>
      <c r="L78" s="149"/>
      <c r="M78" s="147">
        <f>M77-B19</f>
        <v>0</v>
      </c>
    </row>
    <row r="79" spans="1:14" ht="15" x14ac:dyDescent="0.25">
      <c r="A79" s="165" t="s">
        <v>613</v>
      </c>
      <c r="B79" s="166" t="s">
        <v>474</v>
      </c>
      <c r="C79" s="166" t="s">
        <v>642</v>
      </c>
      <c r="D79" s="167">
        <v>44488350</v>
      </c>
      <c r="E79" s="166" t="s">
        <v>345</v>
      </c>
      <c r="F79" s="171" t="str">
        <f>VLOOKUP(E79,'Справочник отрасли'!$A:$D,4,0)</f>
        <v>Профессиональные услуги, сервис</v>
      </c>
      <c r="G79" s="169">
        <f t="shared" si="9"/>
        <v>5.9486150408655149E-4</v>
      </c>
      <c r="H79" s="168" t="s">
        <v>82</v>
      </c>
      <c r="I79" s="170" t="e">
        <f>VLOOKUP(C79,'Справочник отрасли'!$J$6:$K$24,2,0)</f>
        <v>#N/A</v>
      </c>
      <c r="J79" s="170">
        <f>VLOOKUP(A79,'Эшелоны результат'!$A$3:$H$283,8,FALSE)</f>
        <v>3</v>
      </c>
      <c r="L79"/>
    </row>
    <row r="80" spans="1:14" ht="15" x14ac:dyDescent="0.25">
      <c r="A80" s="165" t="s">
        <v>614</v>
      </c>
      <c r="B80" s="166" t="s">
        <v>474</v>
      </c>
      <c r="C80" s="166" t="s">
        <v>643</v>
      </c>
      <c r="D80" s="167">
        <v>79729600</v>
      </c>
      <c r="E80" s="166" t="s">
        <v>454</v>
      </c>
      <c r="F80" s="171" t="str">
        <f>VLOOKUP(E80,'Справочник отрасли'!$A:$D,4,0)</f>
        <v>Банк</v>
      </c>
      <c r="G80" s="169">
        <f t="shared" si="9"/>
        <v>1.0660784177479975E-3</v>
      </c>
      <c r="H80" s="168" t="s">
        <v>84</v>
      </c>
      <c r="I80" s="170" t="e">
        <f>VLOOKUP(C80,'Справочник отрасли'!$J$6:$K$24,2,0)</f>
        <v>#N/A</v>
      </c>
      <c r="J80" s="170">
        <f>VLOOKUP(A80,'Эшелоны результат'!$A$3:$H$283,8,FALSE)</f>
        <v>2</v>
      </c>
      <c r="L80"/>
    </row>
    <row r="81" spans="1:12" ht="15" x14ac:dyDescent="0.25">
      <c r="A81" s="165" t="s">
        <v>615</v>
      </c>
      <c r="B81" s="166" t="s">
        <v>474</v>
      </c>
      <c r="C81" s="166" t="s">
        <v>644</v>
      </c>
      <c r="D81" s="167">
        <v>599799204</v>
      </c>
      <c r="E81" s="166" t="s">
        <v>158</v>
      </c>
      <c r="F81" s="171" t="str">
        <f>VLOOKUP(E81,'Справочник отрасли'!$A:$D,4,0)</f>
        <v>Инвестиционная деятельность</v>
      </c>
      <c r="G81" s="169">
        <f t="shared" si="9"/>
        <v>8.0200199971758087E-3</v>
      </c>
      <c r="H81" s="168" t="s">
        <v>84</v>
      </c>
      <c r="I81" s="170" t="e">
        <f>VLOOKUP(C81,'Справочник отрасли'!$J$6:$K$24,2,0)</f>
        <v>#N/A</v>
      </c>
      <c r="J81" s="170">
        <f>VLOOKUP(A81,'Эшелоны результат'!$A$3:$H$283,8,FALSE)</f>
        <v>2</v>
      </c>
      <c r="L81"/>
    </row>
    <row r="82" spans="1:12" ht="15" x14ac:dyDescent="0.25">
      <c r="A82" s="165" t="s">
        <v>523</v>
      </c>
      <c r="B82" s="166" t="s">
        <v>474</v>
      </c>
      <c r="C82" s="166" t="s">
        <v>522</v>
      </c>
      <c r="D82" s="167">
        <v>218469950.97</v>
      </c>
      <c r="E82" s="166" t="s">
        <v>134</v>
      </c>
      <c r="F82" s="171" t="str">
        <f>VLOOKUP(E82,'Справочник отрасли'!$A:$D,4,0)</f>
        <v>Финансовый лизинг</v>
      </c>
      <c r="G82" s="169">
        <f t="shared" si="9"/>
        <v>2.9211999013613534E-3</v>
      </c>
      <c r="H82" s="168" t="s">
        <v>80</v>
      </c>
      <c r="I82" s="170" t="e">
        <f>VLOOKUP(C82,'Справочник отрасли'!$J$6:$K$24,2,0)</f>
        <v>#N/A</v>
      </c>
      <c r="J82" s="170">
        <f>VLOOKUP(A82,'Эшелоны результат'!$A$3:$H$283,8,FALSE)</f>
        <v>1</v>
      </c>
      <c r="L82"/>
    </row>
    <row r="83" spans="1:12" ht="15" x14ac:dyDescent="0.25">
      <c r="A83" s="165" t="s">
        <v>525</v>
      </c>
      <c r="B83" s="166" t="s">
        <v>474</v>
      </c>
      <c r="C83" s="166" t="s">
        <v>524</v>
      </c>
      <c r="D83" s="167">
        <v>83745042.579999998</v>
      </c>
      <c r="E83" s="166" t="s">
        <v>156</v>
      </c>
      <c r="F83" s="171" t="str">
        <f>VLOOKUP(E83,'Справочник отрасли'!$A:$D,4,0)</f>
        <v>Банк</v>
      </c>
      <c r="G83" s="169">
        <f t="shared" si="9"/>
        <v>1.1197696023550233E-3</v>
      </c>
      <c r="H83" s="168" t="s">
        <v>78</v>
      </c>
      <c r="I83" s="170" t="e">
        <f>VLOOKUP(C83,'Справочник отрасли'!$J$6:$K$24,2,0)</f>
        <v>#N/A</v>
      </c>
      <c r="J83" s="170">
        <v>4</v>
      </c>
      <c r="L83"/>
    </row>
    <row r="84" spans="1:12" ht="15" x14ac:dyDescent="0.25">
      <c r="A84" s="165" t="s">
        <v>527</v>
      </c>
      <c r="B84" s="166" t="s">
        <v>474</v>
      </c>
      <c r="C84" s="166" t="s">
        <v>526</v>
      </c>
      <c r="D84" s="167">
        <v>50540016.100000001</v>
      </c>
      <c r="E84" s="166" t="s">
        <v>146</v>
      </c>
      <c r="F84" s="171" t="str">
        <f>VLOOKUP(E84,'Справочник отрасли'!$A:$D,4,0)</f>
        <v>Банк</v>
      </c>
      <c r="G84" s="169">
        <f t="shared" si="9"/>
        <v>6.7577938929640072E-4</v>
      </c>
      <c r="H84" s="168" t="s">
        <v>80</v>
      </c>
      <c r="I84" s="170" t="e">
        <f>VLOOKUP(C84,'Справочник отрасли'!$J$6:$K$24,2,0)</f>
        <v>#N/A</v>
      </c>
      <c r="J84" s="170">
        <f>VLOOKUP(A84,'Эшелоны результат'!$A$3:$H$283,8,FALSE)</f>
        <v>2</v>
      </c>
      <c r="L84"/>
    </row>
    <row r="85" spans="1:12" ht="15" x14ac:dyDescent="0.25">
      <c r="A85" s="165" t="s">
        <v>529</v>
      </c>
      <c r="B85" s="166" t="s">
        <v>474</v>
      </c>
      <c r="C85" s="166" t="s">
        <v>528</v>
      </c>
      <c r="D85" s="167">
        <v>486123467.94999999</v>
      </c>
      <c r="E85" s="166" t="s">
        <v>134</v>
      </c>
      <c r="F85" s="171" t="str">
        <f>VLOOKUP(E85,'Справочник отрасли'!$A:$D,4,0)</f>
        <v>Финансовый лизинг</v>
      </c>
      <c r="G85" s="169">
        <f t="shared" si="9"/>
        <v>6.5000418607682126E-3</v>
      </c>
      <c r="H85" s="168" t="s">
        <v>80</v>
      </c>
      <c r="I85" s="170" t="e">
        <f>VLOOKUP(C85,'Справочник отрасли'!$J$6:$K$24,2,0)</f>
        <v>#N/A</v>
      </c>
      <c r="J85" s="170">
        <f>VLOOKUP(A85,'Эшелоны результат'!$A$3:$H$283,8,FALSE)</f>
        <v>1</v>
      </c>
      <c r="L85"/>
    </row>
    <row r="86" spans="1:12" ht="15" x14ac:dyDescent="0.25">
      <c r="A86" s="165" t="s">
        <v>531</v>
      </c>
      <c r="B86" s="166" t="s">
        <v>474</v>
      </c>
      <c r="C86" s="166" t="s">
        <v>530</v>
      </c>
      <c r="D86" s="167">
        <v>576596184.94000006</v>
      </c>
      <c r="E86" s="166" t="s">
        <v>134</v>
      </c>
      <c r="F86" s="171" t="str">
        <f>VLOOKUP(E86,'Справочник отрасли'!$A:$D,4,0)</f>
        <v>Финансовый лизинг</v>
      </c>
      <c r="G86" s="169">
        <f t="shared" si="9"/>
        <v>7.7097683736073799E-3</v>
      </c>
      <c r="H86" s="168" t="s">
        <v>80</v>
      </c>
      <c r="I86" s="170" t="e">
        <f>VLOOKUP(C86,'Справочник отрасли'!$J$6:$K$24,2,0)</f>
        <v>#N/A</v>
      </c>
      <c r="J86" s="170">
        <f>VLOOKUP(A86,'Эшелоны результат'!$A$3:$H$283,8,FALSE)</f>
        <v>1</v>
      </c>
      <c r="L86"/>
    </row>
    <row r="87" spans="1:12" ht="15" x14ac:dyDescent="0.25">
      <c r="A87" s="165" t="s">
        <v>533</v>
      </c>
      <c r="B87" s="166" t="s">
        <v>474</v>
      </c>
      <c r="C87" s="166" t="s">
        <v>532</v>
      </c>
      <c r="D87" s="167">
        <v>588305378.81999993</v>
      </c>
      <c r="E87" s="166" t="s">
        <v>158</v>
      </c>
      <c r="F87" s="171" t="str">
        <f>VLOOKUP(E87,'Справочник отрасли'!$A:$D,4,0)</f>
        <v>Инвестиционная деятельность</v>
      </c>
      <c r="G87" s="169">
        <f t="shared" si="9"/>
        <v>7.866334051657875E-3</v>
      </c>
      <c r="H87" s="168" t="s">
        <v>84</v>
      </c>
      <c r="I87" s="170" t="e">
        <f>VLOOKUP(C87,'Справочник отрасли'!$J$6:$K$24,2,0)</f>
        <v>#N/A</v>
      </c>
      <c r="J87" s="170">
        <f>VLOOKUP(A87,'Эшелоны результат'!$A$3:$H$283,8,FALSE)</f>
        <v>2</v>
      </c>
      <c r="L87"/>
    </row>
    <row r="88" spans="1:12" ht="15" x14ac:dyDescent="0.25">
      <c r="A88" s="165" t="s">
        <v>535</v>
      </c>
      <c r="B88" s="166" t="s">
        <v>474</v>
      </c>
      <c r="C88" s="166" t="s">
        <v>534</v>
      </c>
      <c r="D88" s="167">
        <v>603395767.86000001</v>
      </c>
      <c r="E88" s="166" t="s">
        <v>134</v>
      </c>
      <c r="F88" s="171" t="str">
        <f>VLOOKUP(E88,'Справочник отрасли'!$A:$D,4,0)</f>
        <v>Финансовый лизинг</v>
      </c>
      <c r="G88" s="169">
        <f t="shared" si="9"/>
        <v>8.0681102812007934E-3</v>
      </c>
      <c r="H88" s="168" t="s">
        <v>80</v>
      </c>
      <c r="I88" s="170" t="e">
        <f>VLOOKUP(C88,'Справочник отрасли'!$J$6:$K$24,2,0)</f>
        <v>#N/A</v>
      </c>
      <c r="J88" s="170">
        <f>VLOOKUP(A88,'Эшелоны результат'!$A$3:$H$283,8,FALSE)</f>
        <v>1</v>
      </c>
      <c r="L88"/>
    </row>
    <row r="89" spans="1:12" ht="15" x14ac:dyDescent="0.25">
      <c r="A89" s="165" t="s">
        <v>537</v>
      </c>
      <c r="B89" s="166" t="s">
        <v>474</v>
      </c>
      <c r="C89" s="166" t="s">
        <v>536</v>
      </c>
      <c r="D89" s="167">
        <v>957419670.16999996</v>
      </c>
      <c r="E89" s="166" t="s">
        <v>7</v>
      </c>
      <c r="F89" s="171" t="str">
        <f>VLOOKUP(E89,'Справочник отрасли'!$A:$D,4,0)</f>
        <v>Строительство жилых зданий</v>
      </c>
      <c r="G89" s="169">
        <f t="shared" si="9"/>
        <v>1.280182575976354E-2</v>
      </c>
      <c r="H89" s="168" t="s">
        <v>84</v>
      </c>
      <c r="I89" s="170" t="e">
        <f>VLOOKUP(C89,'Справочник отрасли'!$J$6:$K$24,2,0)</f>
        <v>#N/A</v>
      </c>
      <c r="J89" s="170">
        <v>4</v>
      </c>
      <c r="L89"/>
    </row>
    <row r="90" spans="1:12" ht="15" x14ac:dyDescent="0.25">
      <c r="A90" s="165" t="s">
        <v>539</v>
      </c>
      <c r="B90" s="166" t="s">
        <v>474</v>
      </c>
      <c r="C90" s="166" t="s">
        <v>538</v>
      </c>
      <c r="D90" s="167">
        <v>147532779.88000003</v>
      </c>
      <c r="E90" s="166" t="s">
        <v>158</v>
      </c>
      <c r="F90" s="171" t="str">
        <f>VLOOKUP(E90,'Справочник отрасли'!$A:$D,4,0)</f>
        <v>Инвестиционная деятельность</v>
      </c>
      <c r="G90" s="169">
        <f t="shared" si="9"/>
        <v>1.9726865874209079E-3</v>
      </c>
      <c r="H90" s="168" t="s">
        <v>84</v>
      </c>
      <c r="I90" s="170" t="e">
        <f>VLOOKUP(C90,'Справочник отрасли'!$J$6:$K$24,2,0)</f>
        <v>#N/A</v>
      </c>
      <c r="J90" s="170">
        <f>VLOOKUP(A90,'Эшелоны результат'!$A$3:$H$283,8,FALSE)</f>
        <v>2</v>
      </c>
      <c r="L90"/>
    </row>
    <row r="91" spans="1:12" ht="15" x14ac:dyDescent="0.25">
      <c r="A91" s="165" t="s">
        <v>541</v>
      </c>
      <c r="B91" s="166" t="s">
        <v>474</v>
      </c>
      <c r="C91" s="166" t="s">
        <v>540</v>
      </c>
      <c r="D91" s="167">
        <v>374136929.81</v>
      </c>
      <c r="E91" s="166" t="s">
        <v>134</v>
      </c>
      <c r="F91" s="171" t="str">
        <f>VLOOKUP(E91,'Справочник отрасли'!$A:$D,4,0)</f>
        <v>Финансовый лизинг</v>
      </c>
      <c r="G91" s="169">
        <f t="shared" ref="G91:G118" si="10">D91/$B$19</f>
        <v>5.0026502848746057E-3</v>
      </c>
      <c r="H91" s="168" t="s">
        <v>80</v>
      </c>
      <c r="I91" s="170" t="e">
        <f>VLOOKUP(C91,'Справочник отрасли'!$J$6:$K$24,2,0)</f>
        <v>#N/A</v>
      </c>
      <c r="J91" s="170">
        <f>VLOOKUP(A91,'Эшелоны результат'!$A$3:$H$283,8,FALSE)</f>
        <v>1</v>
      </c>
      <c r="L91"/>
    </row>
    <row r="92" spans="1:12" ht="15" x14ac:dyDescent="0.25">
      <c r="A92" s="165" t="s">
        <v>543</v>
      </c>
      <c r="B92" s="166" t="s">
        <v>474</v>
      </c>
      <c r="C92" s="166" t="s">
        <v>542</v>
      </c>
      <c r="D92" s="167">
        <v>1520769313.72</v>
      </c>
      <c r="E92" s="166" t="s">
        <v>159</v>
      </c>
      <c r="F92" s="171" t="str">
        <f>VLOOKUP(E92,'Справочник отрасли'!$A:$D,4,0)</f>
        <v>Банк</v>
      </c>
      <c r="G92" s="169">
        <f t="shared" si="10"/>
        <v>2.0334472313047167E-2</v>
      </c>
      <c r="H92" s="168" t="s">
        <v>80</v>
      </c>
      <c r="I92" s="170" t="e">
        <f>VLOOKUP(C92,'Справочник отрасли'!$J$6:$K$24,2,0)</f>
        <v>#N/A</v>
      </c>
      <c r="J92" s="170">
        <f>VLOOKUP(A92,'Эшелоны результат'!$A$3:$H$283,8,FALSE)</f>
        <v>1</v>
      </c>
      <c r="L92"/>
    </row>
    <row r="93" spans="1:12" ht="15" x14ac:dyDescent="0.25">
      <c r="A93" s="165" t="s">
        <v>545</v>
      </c>
      <c r="B93" s="166" t="s">
        <v>474</v>
      </c>
      <c r="C93" s="166" t="s">
        <v>544</v>
      </c>
      <c r="D93" s="167">
        <v>1315497045.3399999</v>
      </c>
      <c r="E93" s="166" t="s">
        <v>590</v>
      </c>
      <c r="F93" s="171" t="str">
        <f>VLOOKUP(E93,'Справочник отрасли'!$A:$D,4,0)</f>
        <v>Инвестиционная деятельность</v>
      </c>
      <c r="G93" s="169">
        <f t="shared" si="10"/>
        <v>1.7589740932454606E-2</v>
      </c>
      <c r="H93" s="168" t="s">
        <v>76</v>
      </c>
      <c r="I93" s="170" t="e">
        <f>VLOOKUP(C93,'Справочник отрасли'!$J$6:$K$24,2,0)</f>
        <v>#N/A</v>
      </c>
      <c r="J93" s="170">
        <f>VLOOKUP(A93,'Эшелоны результат'!$A$3:$H$283,8,FALSE)</f>
        <v>1</v>
      </c>
      <c r="L93"/>
    </row>
    <row r="94" spans="1:12" ht="15" x14ac:dyDescent="0.25">
      <c r="A94" s="165" t="s">
        <v>547</v>
      </c>
      <c r="B94" s="166" t="s">
        <v>474</v>
      </c>
      <c r="C94" s="166" t="s">
        <v>546</v>
      </c>
      <c r="D94" s="167">
        <v>1053070186.4200001</v>
      </c>
      <c r="E94" s="166" t="s">
        <v>146</v>
      </c>
      <c r="F94" s="171" t="str">
        <f>VLOOKUP(E94,'Справочник отрасли'!$A:$D,4,0)</f>
        <v>Банк</v>
      </c>
      <c r="G94" s="169">
        <f t="shared" si="10"/>
        <v>1.4080785531549416E-2</v>
      </c>
      <c r="H94" s="109" t="s">
        <v>80</v>
      </c>
      <c r="I94" s="170" t="e">
        <f>VLOOKUP(C94,'Справочник отрасли'!$J$6:$K$24,2,0)</f>
        <v>#N/A</v>
      </c>
      <c r="J94" s="170">
        <f>VLOOKUP(A94,'Эшелоны результат'!$A$3:$H$283,8,FALSE)</f>
        <v>1</v>
      </c>
      <c r="L94"/>
    </row>
    <row r="95" spans="1:12" ht="15" x14ac:dyDescent="0.25">
      <c r="A95" s="165" t="s">
        <v>549</v>
      </c>
      <c r="B95" s="166" t="s">
        <v>474</v>
      </c>
      <c r="C95" s="166" t="s">
        <v>548</v>
      </c>
      <c r="D95" s="167">
        <v>516901886.88999999</v>
      </c>
      <c r="E95" s="166" t="s">
        <v>160</v>
      </c>
      <c r="F95" s="171" t="str">
        <f>VLOOKUP(E95,'Справочник отрасли'!$A:$D,4,0)</f>
        <v>Банк</v>
      </c>
      <c r="G95" s="169">
        <f t="shared" si="10"/>
        <v>6.9115854802563352E-3</v>
      </c>
      <c r="H95" s="168" t="s">
        <v>78</v>
      </c>
      <c r="I95" s="170" t="e">
        <f>VLOOKUP(C95,'Справочник отрасли'!$J$6:$K$24,2,0)</f>
        <v>#N/A</v>
      </c>
      <c r="J95" s="170">
        <f>VLOOKUP(A95,'Эшелоны результат'!$A$3:$H$283,8,FALSE)</f>
        <v>2</v>
      </c>
      <c r="L95"/>
    </row>
    <row r="96" spans="1:12" ht="15" x14ac:dyDescent="0.25">
      <c r="A96" s="165" t="s">
        <v>551</v>
      </c>
      <c r="B96" s="166" t="s">
        <v>474</v>
      </c>
      <c r="C96" s="166" t="s">
        <v>550</v>
      </c>
      <c r="D96" s="167">
        <v>2151158333.3299999</v>
      </c>
      <c r="E96" s="166" t="s">
        <v>590</v>
      </c>
      <c r="F96" s="171" t="str">
        <f>VLOOKUP(E96,'Справочник отрасли'!$A:$D,4,0)</f>
        <v>Инвестиционная деятельность</v>
      </c>
      <c r="G96" s="169">
        <f t="shared" si="10"/>
        <v>2.8763514081619191E-2</v>
      </c>
      <c r="H96" s="168" t="s">
        <v>76</v>
      </c>
      <c r="I96" s="170" t="e">
        <f>VLOOKUP(C96,'Справочник отрасли'!$J$6:$K$24,2,0)</f>
        <v>#N/A</v>
      </c>
      <c r="J96" s="170">
        <f>VLOOKUP(A96,'Эшелоны результат'!$A$3:$H$283,8,FALSE)</f>
        <v>2</v>
      </c>
      <c r="L96"/>
    </row>
    <row r="97" spans="1:12" ht="15" x14ac:dyDescent="0.25">
      <c r="A97" s="165" t="s">
        <v>553</v>
      </c>
      <c r="B97" s="166" t="s">
        <v>474</v>
      </c>
      <c r="C97" s="166" t="s">
        <v>552</v>
      </c>
      <c r="D97" s="167">
        <v>2075056417.9000001</v>
      </c>
      <c r="E97" s="166" t="s">
        <v>161</v>
      </c>
      <c r="F97" s="171" t="str">
        <f>VLOOKUP(E97,'Справочник отрасли'!$A:$D,4,0)</f>
        <v>Инвестиционная деятельность</v>
      </c>
      <c r="G97" s="169">
        <f t="shared" si="10"/>
        <v>2.7745942068349263E-2</v>
      </c>
      <c r="H97" s="168" t="s">
        <v>80</v>
      </c>
      <c r="I97" s="170" t="e">
        <f>VLOOKUP(C97,'Справочник отрасли'!$J$6:$K$24,2,0)</f>
        <v>#N/A</v>
      </c>
      <c r="J97" s="170">
        <f>VLOOKUP(A97,'Эшелоны результат'!$A$3:$H$283,8,FALSE)</f>
        <v>1</v>
      </c>
      <c r="L97"/>
    </row>
    <row r="98" spans="1:12" ht="15" x14ac:dyDescent="0.25">
      <c r="A98" s="165" t="s">
        <v>555</v>
      </c>
      <c r="B98" s="166" t="s">
        <v>474</v>
      </c>
      <c r="C98" s="166" t="s">
        <v>554</v>
      </c>
      <c r="D98" s="167">
        <v>620179925.57999992</v>
      </c>
      <c r="E98" s="166" t="s">
        <v>343</v>
      </c>
      <c r="F98" s="171" t="str">
        <f>VLOOKUP(E98,'Справочник отрасли'!$A:$D,4,0)</f>
        <v>Лесная и лесоперерабатывающая промышленность</v>
      </c>
      <c r="G98" s="169">
        <f t="shared" si="10"/>
        <v>8.2925341878223036E-3</v>
      </c>
      <c r="H98" s="168" t="s">
        <v>84</v>
      </c>
      <c r="I98" s="170" t="e">
        <f>VLOOKUP(C98,'Справочник отрасли'!$J$6:$K$24,2,0)</f>
        <v>#N/A</v>
      </c>
      <c r="J98" s="170">
        <f>VLOOKUP(A98,'Эшелоны результат'!$A$3:$H$283,8,FALSE)</f>
        <v>2</v>
      </c>
      <c r="L98"/>
    </row>
    <row r="99" spans="1:12" ht="15" x14ac:dyDescent="0.25">
      <c r="A99" s="165" t="s">
        <v>557</v>
      </c>
      <c r="B99" s="166" t="s">
        <v>474</v>
      </c>
      <c r="C99" s="166" t="s">
        <v>556</v>
      </c>
      <c r="D99" s="167">
        <v>1441009468.1900001</v>
      </c>
      <c r="E99" s="166" t="s">
        <v>149</v>
      </c>
      <c r="F99" s="171" t="str">
        <f>VLOOKUP(E99,'Справочник отрасли'!$A:$D,4,0)</f>
        <v>Транспорт</v>
      </c>
      <c r="G99" s="169">
        <f t="shared" si="10"/>
        <v>1.9267989477030845E-2</v>
      </c>
      <c r="H99" s="168" t="s">
        <v>76</v>
      </c>
      <c r="I99" s="170" t="e">
        <f>VLOOKUP(C99,'Справочник отрасли'!$J$6:$K$24,2,0)</f>
        <v>#N/A</v>
      </c>
      <c r="J99" s="170">
        <f>VLOOKUP(A99,'Эшелоны результат'!$A$3:$H$283,8,FALSE)</f>
        <v>1</v>
      </c>
      <c r="L99"/>
    </row>
    <row r="100" spans="1:12" ht="15" x14ac:dyDescent="0.25">
      <c r="A100" s="165" t="s">
        <v>559</v>
      </c>
      <c r="B100" s="166" t="s">
        <v>474</v>
      </c>
      <c r="C100" s="166" t="s">
        <v>558</v>
      </c>
      <c r="D100" s="167">
        <v>1504553036.6099999</v>
      </c>
      <c r="E100" s="166" t="s">
        <v>203</v>
      </c>
      <c r="F100" s="171" t="str">
        <f>VLOOKUP(E100,'Справочник отрасли'!$A:$D,4,0)</f>
        <v>Инвестиционная деятельность</v>
      </c>
      <c r="G100" s="169">
        <f t="shared" si="10"/>
        <v>2.0117641637323321E-2</v>
      </c>
      <c r="H100" s="168" t="s">
        <v>76</v>
      </c>
      <c r="I100" s="170" t="e">
        <f>VLOOKUP(C100,'Справочник отрасли'!$J$6:$K$24,2,0)</f>
        <v>#N/A</v>
      </c>
      <c r="J100" s="170">
        <f>VLOOKUP(A100,'Эшелоны результат'!$A$3:$H$283,8,FALSE)</f>
        <v>1</v>
      </c>
      <c r="L100"/>
    </row>
    <row r="101" spans="1:12" ht="15" x14ac:dyDescent="0.25">
      <c r="A101" s="165" t="s">
        <v>561</v>
      </c>
      <c r="B101" s="166" t="s">
        <v>474</v>
      </c>
      <c r="C101" s="166" t="s">
        <v>560</v>
      </c>
      <c r="D101" s="167">
        <v>305154253.25</v>
      </c>
      <c r="E101" s="166" t="s">
        <v>147</v>
      </c>
      <c r="F101" s="171" t="str">
        <f>VLOOKUP(E101,'Справочник отрасли'!$A:$D,4,0)</f>
        <v>Банк</v>
      </c>
      <c r="G101" s="169">
        <f t="shared" si="10"/>
        <v>4.0802708589260661E-3</v>
      </c>
      <c r="H101" s="168" t="s">
        <v>80</v>
      </c>
      <c r="I101" s="170" t="e">
        <f>VLOOKUP(C101,'Справочник отрасли'!$J$6:$K$24,2,0)</f>
        <v>#N/A</v>
      </c>
      <c r="J101" s="170">
        <f>VLOOKUP(A101,'Эшелоны результат'!$A$3:$H$283,8,FALSE)</f>
        <v>1</v>
      </c>
      <c r="L101"/>
    </row>
    <row r="102" spans="1:12" ht="15" x14ac:dyDescent="0.25">
      <c r="A102" s="165" t="s">
        <v>563</v>
      </c>
      <c r="B102" s="166" t="s">
        <v>474</v>
      </c>
      <c r="C102" s="166" t="s">
        <v>562</v>
      </c>
      <c r="D102" s="167">
        <v>1310335000</v>
      </c>
      <c r="E102" s="166" t="s">
        <v>157</v>
      </c>
      <c r="F102" s="171" t="str">
        <f>VLOOKUP(E102,'Справочник отрасли'!$A:$D,4,0)</f>
        <v>Банк</v>
      </c>
      <c r="G102" s="169">
        <f t="shared" si="10"/>
        <v>1.7520718321925886E-2</v>
      </c>
      <c r="H102" s="168" t="s">
        <v>72</v>
      </c>
      <c r="I102" s="170" t="e">
        <f>VLOOKUP(C102,'Справочник отрасли'!$J$6:$K$24,2,0)</f>
        <v>#N/A</v>
      </c>
      <c r="J102" s="170">
        <f>VLOOKUP(A102,'Эшелоны результат'!$A$3:$H$283,8,FALSE)</f>
        <v>3</v>
      </c>
      <c r="L102"/>
    </row>
    <row r="103" spans="1:12" ht="15" x14ac:dyDescent="0.25">
      <c r="A103" s="165" t="s">
        <v>565</v>
      </c>
      <c r="B103" s="166" t="s">
        <v>474</v>
      </c>
      <c r="C103" s="166" t="s">
        <v>564</v>
      </c>
      <c r="D103" s="167">
        <v>638726444.88999999</v>
      </c>
      <c r="E103" s="166" t="s">
        <v>140</v>
      </c>
      <c r="F103" s="171" t="str">
        <f>VLOOKUP(E103,'Справочник отрасли'!$A:$D,4,0)</f>
        <v>Цветная и черная металлургия</v>
      </c>
      <c r="G103" s="169">
        <f t="shared" si="10"/>
        <v>8.5405229393115557E-3</v>
      </c>
      <c r="H103" s="179" t="s">
        <v>86</v>
      </c>
      <c r="I103" s="170" t="e">
        <f>VLOOKUP(C103,'Справочник отрасли'!$J$6:$K$24,2,0)</f>
        <v>#N/A</v>
      </c>
      <c r="J103" s="170">
        <f>VLOOKUP(A103,'Эшелоны результат'!$A$3:$H$283,8,FALSE)</f>
        <v>2</v>
      </c>
      <c r="L103"/>
    </row>
    <row r="104" spans="1:12" ht="15" x14ac:dyDescent="0.25">
      <c r="A104" s="165" t="s">
        <v>567</v>
      </c>
      <c r="B104" s="166" t="s">
        <v>474</v>
      </c>
      <c r="C104" s="166" t="s">
        <v>566</v>
      </c>
      <c r="D104" s="167">
        <v>166143858.80000001</v>
      </c>
      <c r="E104" s="166" t="s">
        <v>162</v>
      </c>
      <c r="F104" s="171" t="str">
        <f>VLOOKUP(E104,'Справочник отрасли'!$A:$D,4,0)</f>
        <v>Финансовый лизинг</v>
      </c>
      <c r="G104" s="169">
        <f t="shared" si="10"/>
        <v>2.221538576740015E-3</v>
      </c>
      <c r="H104" s="168" t="s">
        <v>80</v>
      </c>
      <c r="I104" s="170" t="e">
        <f>VLOOKUP(C104,'Справочник отрасли'!$J$6:$K$24,2,0)</f>
        <v>#N/A</v>
      </c>
      <c r="J104" s="170">
        <f>VLOOKUP(A104,'Эшелоны результат'!$A$3:$H$283,8,FALSE)</f>
        <v>1</v>
      </c>
      <c r="L104"/>
    </row>
    <row r="105" spans="1:12" ht="15" x14ac:dyDescent="0.25">
      <c r="A105" s="165" t="s">
        <v>569</v>
      </c>
      <c r="B105" s="166" t="s">
        <v>474</v>
      </c>
      <c r="C105" s="166" t="s">
        <v>568</v>
      </c>
      <c r="D105" s="167">
        <v>1037269218.1799999</v>
      </c>
      <c r="E105" s="166" t="s">
        <v>163</v>
      </c>
      <c r="F105" s="171" t="str">
        <f>VLOOKUP(E105,'Справочник отрасли'!$A:$D,4,0)</f>
        <v>Электроэнергетика и теплоэнергетика</v>
      </c>
      <c r="G105" s="169">
        <f t="shared" si="10"/>
        <v>1.3869508023319276E-2</v>
      </c>
      <c r="H105" s="109" t="s">
        <v>78</v>
      </c>
      <c r="I105" s="170" t="e">
        <f>VLOOKUP(C105,'Справочник отрасли'!$J$6:$K$24,2,0)</f>
        <v>#N/A</v>
      </c>
      <c r="J105" s="170">
        <f>VLOOKUP(A105,'Эшелоны результат'!$A$3:$H$283,8,FALSE)</f>
        <v>1</v>
      </c>
      <c r="L105"/>
    </row>
    <row r="106" spans="1:12" ht="15" x14ac:dyDescent="0.25">
      <c r="A106" s="165" t="s">
        <v>571</v>
      </c>
      <c r="B106" s="166" t="s">
        <v>474</v>
      </c>
      <c r="C106" s="166" t="s">
        <v>570</v>
      </c>
      <c r="D106" s="167">
        <v>314119752.55000001</v>
      </c>
      <c r="E106" s="166" t="s">
        <v>233</v>
      </c>
      <c r="F106" s="171" t="str">
        <f>VLOOKUP(E106,'Справочник отрасли'!$A:$D,4,0)</f>
        <v>Цветная и черная металлургия</v>
      </c>
      <c r="G106" s="169">
        <f t="shared" si="10"/>
        <v>4.2001501171697398E-3</v>
      </c>
      <c r="H106" s="168" t="s">
        <v>80</v>
      </c>
      <c r="I106" s="170" t="e">
        <f>VLOOKUP(C106,'Справочник отрасли'!$J$6:$K$24,2,0)</f>
        <v>#N/A</v>
      </c>
      <c r="J106" s="170">
        <f>VLOOKUP(A106,'Эшелоны результат'!$A$3:$H$283,8,FALSE)</f>
        <v>2</v>
      </c>
      <c r="L106"/>
    </row>
    <row r="107" spans="1:12" ht="15" x14ac:dyDescent="0.25">
      <c r="A107" s="165" t="s">
        <v>573</v>
      </c>
      <c r="B107" s="166" t="s">
        <v>474</v>
      </c>
      <c r="C107" s="166" t="s">
        <v>572</v>
      </c>
      <c r="D107" s="167">
        <v>209606911.30000001</v>
      </c>
      <c r="E107" s="166" t="s">
        <v>233</v>
      </c>
      <c r="F107" s="171" t="str">
        <f>VLOOKUP(E107,'Справочник отрасли'!$A:$D,4,0)</f>
        <v>Цветная и черная металлургия</v>
      </c>
      <c r="G107" s="169">
        <f t="shared" si="10"/>
        <v>2.8026906487396003E-3</v>
      </c>
      <c r="H107" s="168" t="s">
        <v>80</v>
      </c>
      <c r="I107" s="170" t="e">
        <f>VLOOKUP(C107,'Справочник отрасли'!$J$6:$K$24,2,0)</f>
        <v>#N/A</v>
      </c>
      <c r="J107" s="170">
        <f>VLOOKUP(A107,'Эшелоны результат'!$A$3:$H$283,8,FALSE)</f>
        <v>2</v>
      </c>
      <c r="L107"/>
    </row>
    <row r="108" spans="1:12" ht="15" x14ac:dyDescent="0.25">
      <c r="A108" s="165" t="s">
        <v>575</v>
      </c>
      <c r="B108" s="166" t="s">
        <v>474</v>
      </c>
      <c r="C108" s="166" t="s">
        <v>574</v>
      </c>
      <c r="D108" s="167">
        <v>955409000</v>
      </c>
      <c r="E108" s="166" t="s">
        <v>146</v>
      </c>
      <c r="F108" s="171" t="str">
        <f>VLOOKUP(E108,'Справочник отрасли'!$A:$D,4,0)</f>
        <v>Банк</v>
      </c>
      <c r="G108" s="169">
        <f t="shared" si="10"/>
        <v>1.2774940737470104E-2</v>
      </c>
      <c r="H108" s="168" t="s">
        <v>80</v>
      </c>
      <c r="I108" s="170" t="e">
        <f>VLOOKUP(C108,'Справочник отрасли'!$J$6:$K$24,2,0)</f>
        <v>#N/A</v>
      </c>
      <c r="J108" s="170">
        <f>VLOOKUP(A108,'Эшелоны результат'!$A$3:$H$283,8,FALSE)</f>
        <v>1</v>
      </c>
      <c r="L108"/>
    </row>
    <row r="109" spans="1:12" ht="15" x14ac:dyDescent="0.25">
      <c r="A109" s="165" t="s">
        <v>577</v>
      </c>
      <c r="B109" s="166" t="s">
        <v>474</v>
      </c>
      <c r="C109" s="166" t="s">
        <v>576</v>
      </c>
      <c r="D109" s="167">
        <v>316293733.49000001</v>
      </c>
      <c r="E109" s="166" t="s">
        <v>591</v>
      </c>
      <c r="F109" s="171" t="str">
        <f>VLOOKUP(E109,'Справочник отрасли'!$A:$D,4,0)</f>
        <v>Электроэнергетика и теплоэнергетика</v>
      </c>
      <c r="G109" s="169">
        <f t="shared" si="10"/>
        <v>4.2292187963143676E-3</v>
      </c>
      <c r="H109" s="168" t="s">
        <v>78</v>
      </c>
      <c r="I109" s="170" t="e">
        <f>VLOOKUP(C109,'Справочник отрасли'!$J$6:$K$24,2,0)</f>
        <v>#N/A</v>
      </c>
      <c r="J109" s="170">
        <f>VLOOKUP(A109,'Эшелоны результат'!$A$3:$H$283,8,FALSE)</f>
        <v>1</v>
      </c>
      <c r="L109"/>
    </row>
    <row r="110" spans="1:12" ht="15" x14ac:dyDescent="0.25">
      <c r="A110" s="165" t="s">
        <v>616</v>
      </c>
      <c r="B110" s="166" t="s">
        <v>453</v>
      </c>
      <c r="C110" s="166" t="s">
        <v>645</v>
      </c>
      <c r="D110" s="167">
        <v>111398138.75</v>
      </c>
      <c r="E110" s="166" t="s">
        <v>164</v>
      </c>
      <c r="F110" s="171" t="str">
        <f>VLOOKUP(E110,'Справочник отрасли'!$A:$D,4,0)</f>
        <v>ОФЗ</v>
      </c>
      <c r="G110" s="169">
        <f t="shared" si="10"/>
        <v>1.4895239848020292E-3</v>
      </c>
      <c r="H110" s="109" t="s">
        <v>78</v>
      </c>
      <c r="I110" s="170" t="e">
        <f>VLOOKUP(C110,'Справочник отрасли'!$J$6:$K$24,2,0)</f>
        <v>#N/A</v>
      </c>
      <c r="J110" s="170">
        <f>VLOOKUP(A110,'Эшелоны результат'!$A$3:$H$283,8,FALSE)</f>
        <v>1</v>
      </c>
      <c r="L110"/>
    </row>
    <row r="111" spans="1:12" ht="15" x14ac:dyDescent="0.25">
      <c r="A111" s="165" t="s">
        <v>617</v>
      </c>
      <c r="B111" s="166" t="s">
        <v>453</v>
      </c>
      <c r="C111" s="166" t="s">
        <v>646</v>
      </c>
      <c r="D111" s="167">
        <v>420248000</v>
      </c>
      <c r="E111" s="166" t="s">
        <v>164</v>
      </c>
      <c r="F111" s="171" t="str">
        <f>VLOOKUP(E111,'Справочник отрасли'!$A:$D,4,0)</f>
        <v>ОФЗ</v>
      </c>
      <c r="G111" s="169">
        <f t="shared" si="10"/>
        <v>5.6192094642612076E-3</v>
      </c>
      <c r="H111" s="109" t="s">
        <v>78</v>
      </c>
      <c r="I111" s="170" t="e">
        <f>VLOOKUP(C111,'Справочник отрасли'!$J$6:$K$24,2,0)</f>
        <v>#N/A</v>
      </c>
      <c r="J111" s="170">
        <f>VLOOKUP(A111,'Эшелоны результат'!$A$3:$H$283,8,FALSE)</f>
        <v>1</v>
      </c>
      <c r="L111"/>
    </row>
    <row r="112" spans="1:12" ht="15" x14ac:dyDescent="0.25">
      <c r="A112" s="165" t="s">
        <v>618</v>
      </c>
      <c r="B112" s="166" t="s">
        <v>453</v>
      </c>
      <c r="C112" s="166" t="s">
        <v>647</v>
      </c>
      <c r="D112" s="167">
        <v>4845456000</v>
      </c>
      <c r="E112" s="166" t="s">
        <v>164</v>
      </c>
      <c r="F112" s="171" t="str">
        <f>VLOOKUP(E112,'Справочник отрасли'!$A:$D,4,0)</f>
        <v>ОФЗ</v>
      </c>
      <c r="G112" s="169">
        <f t="shared" si="10"/>
        <v>6.4789439126090434E-2</v>
      </c>
      <c r="H112" s="109" t="s">
        <v>78</v>
      </c>
      <c r="I112" s="170" t="e">
        <f>VLOOKUP(C112,'Справочник отрасли'!$J$6:$K$24,2,0)</f>
        <v>#N/A</v>
      </c>
      <c r="J112" s="170">
        <f>VLOOKUP(A112,'Эшелоны результат'!$A$3:$H$283,8,FALSE)</f>
        <v>1</v>
      </c>
      <c r="L112"/>
    </row>
    <row r="113" spans="1:12" ht="15" x14ac:dyDescent="0.25">
      <c r="A113" s="165" t="s">
        <v>619</v>
      </c>
      <c r="B113" s="166" t="s">
        <v>453</v>
      </c>
      <c r="C113" s="166" t="s">
        <v>648</v>
      </c>
      <c r="D113" s="167">
        <v>2470100000.000001</v>
      </c>
      <c r="E113" s="166" t="s">
        <v>164</v>
      </c>
      <c r="F113" s="171" t="str">
        <f>VLOOKUP(E113,'Справочник отрасли'!$A:$D,4,0)</f>
        <v>ОФЗ</v>
      </c>
      <c r="G113" s="169">
        <f t="shared" si="10"/>
        <v>3.302813885532261E-2</v>
      </c>
      <c r="H113" s="109" t="s">
        <v>78</v>
      </c>
      <c r="I113" s="170" t="e">
        <f>VLOOKUP(C113,'Справочник отрасли'!$J$6:$K$24,2,0)</f>
        <v>#N/A</v>
      </c>
      <c r="J113" s="170">
        <f>VLOOKUP(A113,'Эшелоны результат'!$A$3:$H$283,8,FALSE)</f>
        <v>1</v>
      </c>
      <c r="L113"/>
    </row>
    <row r="114" spans="1:12" ht="15" x14ac:dyDescent="0.25">
      <c r="A114" s="165" t="s">
        <v>620</v>
      </c>
      <c r="B114" s="166" t="s">
        <v>453</v>
      </c>
      <c r="C114" s="166" t="s">
        <v>649</v>
      </c>
      <c r="D114" s="167">
        <v>1409751953.28</v>
      </c>
      <c r="E114" s="166" t="s">
        <v>164</v>
      </c>
      <c r="F114" s="171" t="str">
        <f>VLOOKUP(E114,'Справочник отрасли'!$A:$D,4,0)</f>
        <v>ОФЗ</v>
      </c>
      <c r="G114" s="169">
        <f t="shared" si="10"/>
        <v>1.8850039781585396E-2</v>
      </c>
      <c r="H114" s="109" t="s">
        <v>78</v>
      </c>
      <c r="I114" s="170" t="e">
        <f>VLOOKUP(C114,'Справочник отрасли'!$J$6:$K$24,2,0)</f>
        <v>#N/A</v>
      </c>
      <c r="J114" s="170">
        <f>VLOOKUP(A114,'Эшелоны результат'!$A$3:$H$283,8,FALSE)</f>
        <v>1</v>
      </c>
      <c r="L114"/>
    </row>
    <row r="115" spans="1:12" ht="15" x14ac:dyDescent="0.25">
      <c r="A115" s="165" t="s">
        <v>621</v>
      </c>
      <c r="B115" s="166" t="s">
        <v>453</v>
      </c>
      <c r="C115" s="166" t="s">
        <v>650</v>
      </c>
      <c r="D115" s="167">
        <v>1254989000</v>
      </c>
      <c r="E115" s="166" t="s">
        <v>164</v>
      </c>
      <c r="F115" s="171" t="str">
        <f>VLOOKUP(E115,'Справочник отрасли'!$A:$D,4,0)</f>
        <v>ОФЗ</v>
      </c>
      <c r="G115" s="169">
        <f t="shared" si="10"/>
        <v>1.6780677281851928E-2</v>
      </c>
      <c r="H115" s="109" t="s">
        <v>78</v>
      </c>
      <c r="I115" s="170" t="e">
        <f>VLOOKUP(C115,'Справочник отрасли'!$J$6:$K$24,2,0)</f>
        <v>#N/A</v>
      </c>
      <c r="J115" s="170">
        <f>VLOOKUP(A115,'Эшелоны результат'!$A$3:$H$283,8,FALSE)</f>
        <v>1</v>
      </c>
      <c r="L115"/>
    </row>
    <row r="116" spans="1:12" ht="15" x14ac:dyDescent="0.25">
      <c r="A116" s="165" t="s">
        <v>579</v>
      </c>
      <c r="B116" s="166" t="s">
        <v>453</v>
      </c>
      <c r="C116" s="166" t="s">
        <v>578</v>
      </c>
      <c r="D116" s="167">
        <v>767832929.51999998</v>
      </c>
      <c r="E116" s="166" t="s">
        <v>164</v>
      </c>
      <c r="F116" s="171" t="str">
        <f>VLOOKUP(E116,'Справочник отрасли'!$A:$D,4,0)</f>
        <v>ОФЗ</v>
      </c>
      <c r="G116" s="169">
        <f t="shared" si="10"/>
        <v>1.0266828312163754E-2</v>
      </c>
      <c r="H116" s="109" t="s">
        <v>78</v>
      </c>
      <c r="I116" s="170" t="e">
        <f>VLOOKUP(C116,'Справочник отрасли'!$J$6:$K$24,2,0)</f>
        <v>#N/A</v>
      </c>
      <c r="J116" s="170">
        <f>VLOOKUP(A116,'Эшелоны результат'!$A$3:$H$283,8,FALSE)</f>
        <v>1</v>
      </c>
      <c r="L116"/>
    </row>
    <row r="117" spans="1:12" ht="15" x14ac:dyDescent="0.25">
      <c r="A117" s="165" t="s">
        <v>622</v>
      </c>
      <c r="B117" s="166" t="s">
        <v>626</v>
      </c>
      <c r="C117" s="166" t="s">
        <v>232</v>
      </c>
      <c r="D117" s="167">
        <v>16718000</v>
      </c>
      <c r="E117" s="166" t="s">
        <v>202</v>
      </c>
      <c r="F117" s="171" t="str">
        <f>VLOOKUP(E117,'Справочник отрасли'!$A:$D,4,0)</f>
        <v>Топливная промышленность</v>
      </c>
      <c r="G117" s="169">
        <f t="shared" si="10"/>
        <v>2.2353930018350802E-4</v>
      </c>
      <c r="H117" s="168"/>
      <c r="I117" s="170">
        <f>VLOOKUP(C117,'Справочник отрасли'!$J$6:$K$24,2,0)</f>
        <v>3</v>
      </c>
      <c r="J117" s="170" t="str">
        <f>VLOOKUP(A117,'Эшелоны результат'!$A$3:$H$283,8,FALSE)</f>
        <v>Ошибка, не численные значения</v>
      </c>
      <c r="L117"/>
    </row>
    <row r="118" spans="1:12" ht="15" x14ac:dyDescent="0.25">
      <c r="A118" s="165" t="s">
        <v>623</v>
      </c>
      <c r="B118" s="166" t="s">
        <v>626</v>
      </c>
      <c r="C118" s="166" t="s">
        <v>241</v>
      </c>
      <c r="D118" s="167">
        <v>20783000</v>
      </c>
      <c r="E118" s="166" t="s">
        <v>246</v>
      </c>
      <c r="F118" s="171" t="str">
        <f>VLOOKUP(E118,'Справочник отрасли'!$A:$D,4,0)</f>
        <v>Топливная промышленность</v>
      </c>
      <c r="G118" s="169">
        <f t="shared" si="10"/>
        <v>2.7789312571562669E-4</v>
      </c>
      <c r="H118" s="168"/>
      <c r="I118" s="170">
        <f>VLOOKUP(C118,'Справочник отрасли'!$J$6:$K$24,2,0)</f>
        <v>2</v>
      </c>
      <c r="J118" s="170" t="str">
        <f>VLOOKUP(A118,'Эшелоны результат'!$A$3:$H$283,8,FALSE)</f>
        <v>Ошибка, не численные значения</v>
      </c>
      <c r="L118"/>
    </row>
    <row r="119" spans="1:12" ht="15" x14ac:dyDescent="0.25">
      <c r="A119" s="165" t="s">
        <v>624</v>
      </c>
      <c r="B119" s="166" t="s">
        <v>627</v>
      </c>
      <c r="C119" s="166" t="s">
        <v>651</v>
      </c>
      <c r="D119" s="167">
        <v>879017060.8599999</v>
      </c>
      <c r="E119" s="166" t="s">
        <v>164</v>
      </c>
      <c r="F119" s="171" t="str">
        <f>VLOOKUP(E119,'Справочник отрасли'!$A:$D,4,0)</f>
        <v>ОФЗ</v>
      </c>
      <c r="G119" s="169">
        <f t="shared" ref="G119:G122" si="11">D119/$B$19</f>
        <v>1.175349076647975E-2</v>
      </c>
      <c r="H119" s="109" t="s">
        <v>78</v>
      </c>
      <c r="I119" s="170" t="e">
        <f>VLOOKUP(C119,'Справочник отрасли'!$J$6:$K$24,2,0)</f>
        <v>#N/A</v>
      </c>
      <c r="J119" s="170">
        <f>VLOOKUP(A119,'Эшелоны результат'!$A$3:$H$283,8,FALSE)</f>
        <v>1</v>
      </c>
      <c r="L119"/>
    </row>
    <row r="120" spans="1:12" ht="15" x14ac:dyDescent="0.25">
      <c r="A120" s="165"/>
      <c r="B120" s="166"/>
      <c r="C120" s="166"/>
      <c r="D120" s="167"/>
      <c r="E120" s="166"/>
      <c r="F120" s="171" t="e">
        <f>VLOOKUP(E120,'Справочник отрасли'!$A:$D,4,0)</f>
        <v>#N/A</v>
      </c>
      <c r="G120" s="169">
        <f t="shared" si="11"/>
        <v>0</v>
      </c>
      <c r="H120" s="168"/>
      <c r="I120" s="170" t="e">
        <f>VLOOKUP(C120,'Справочник отрасли'!$J$6:$K$24,2,0)</f>
        <v>#N/A</v>
      </c>
      <c r="J120" s="170" t="str">
        <f>VLOOKUP(A120,'Эшелоны результат'!$A$3:$H$283,8,FALSE)</f>
        <v>Ошибка, не численные значения</v>
      </c>
      <c r="L120"/>
    </row>
    <row r="121" spans="1:12" ht="15" x14ac:dyDescent="0.25">
      <c r="A121" s="165"/>
      <c r="B121" s="166"/>
      <c r="C121" s="166"/>
      <c r="D121" s="167"/>
      <c r="E121" s="166"/>
      <c r="F121" s="171" t="e">
        <f>VLOOKUP(E121,'Справочник отрасли'!$A:$D,4,0)</f>
        <v>#N/A</v>
      </c>
      <c r="G121" s="169">
        <f t="shared" si="11"/>
        <v>0</v>
      </c>
      <c r="H121" s="168"/>
      <c r="I121" s="170" t="e">
        <f>VLOOKUP(C121,'Справочник отрасли'!$J$6:$K$24,2,0)</f>
        <v>#N/A</v>
      </c>
      <c r="J121" s="170" t="str">
        <f>VLOOKUP(A121,'Эшелоны результат'!$A$3:$H$283,8,FALSE)</f>
        <v>Ошибка, не численные значения</v>
      </c>
      <c r="L121"/>
    </row>
    <row r="122" spans="1:12" ht="15" x14ac:dyDescent="0.25">
      <c r="A122" s="165"/>
      <c r="B122" s="166"/>
      <c r="C122" s="166"/>
      <c r="D122" s="167"/>
      <c r="E122" s="166"/>
      <c r="F122" s="171" t="e">
        <f>VLOOKUP(E122,'Справочник отрасли'!$A:$D,4,0)</f>
        <v>#N/A</v>
      </c>
      <c r="G122" s="169">
        <f t="shared" si="11"/>
        <v>0</v>
      </c>
      <c r="H122" s="168"/>
      <c r="I122" s="170" t="e">
        <f>VLOOKUP(C122,'Справочник отрасли'!$J$6:$K$24,2,0)</f>
        <v>#N/A</v>
      </c>
      <c r="J122" s="170" t="str">
        <f>VLOOKUP(A122,'Эшелоны результат'!$A$3:$H$283,8,FALSE)</f>
        <v>Ошибка, не численные значения</v>
      </c>
      <c r="L122"/>
    </row>
    <row r="123" spans="1:12" ht="15" x14ac:dyDescent="0.25">
      <c r="A123" s="165"/>
      <c r="B123" s="166"/>
      <c r="C123" s="166"/>
      <c r="D123" s="167"/>
      <c r="E123" s="166"/>
      <c r="F123" s="171" t="e">
        <f>VLOOKUP(E123,'Справочник отрасли'!$A:$D,4,0)</f>
        <v>#N/A</v>
      </c>
      <c r="G123" s="169">
        <f t="shared" ref="G123:G124" si="12">D123/$B$19</f>
        <v>0</v>
      </c>
      <c r="H123" s="168"/>
      <c r="I123" s="170" t="e">
        <f>VLOOKUP(C123,'Справочник отрасли'!$J$6:$K$24,2,0)</f>
        <v>#N/A</v>
      </c>
      <c r="J123" s="170" t="str">
        <f>VLOOKUP(A123,'Эшелоны результат'!$A$3:$H$283,8,FALSE)</f>
        <v>Ошибка, не численные значения</v>
      </c>
      <c r="L123"/>
    </row>
    <row r="124" spans="1:12" ht="15" x14ac:dyDescent="0.25">
      <c r="A124" s="165"/>
      <c r="B124" s="166"/>
      <c r="C124" s="166"/>
      <c r="D124" s="167"/>
      <c r="E124" s="166"/>
      <c r="F124" s="171" t="e">
        <f>VLOOKUP(E124,'Справочник отрасли'!$A:$D,4,0)</f>
        <v>#N/A</v>
      </c>
      <c r="G124" s="169">
        <f t="shared" si="12"/>
        <v>0</v>
      </c>
      <c r="H124" s="168"/>
      <c r="I124" s="170" t="e">
        <f>VLOOKUP(C124,'Справочник отрасли'!$J$6:$K$24,2,0)</f>
        <v>#N/A</v>
      </c>
      <c r="J124" s="170" t="str">
        <f>VLOOKUP(A124,'Эшелоны результат'!$A$3:$H$283,8,FALSE)</f>
        <v>Ошибка, не численные значения</v>
      </c>
      <c r="L124"/>
    </row>
    <row r="125" spans="1:12" ht="15" x14ac:dyDescent="0.25">
      <c r="A125" s="165"/>
      <c r="B125" s="166"/>
      <c r="C125" s="166"/>
      <c r="D125" s="167"/>
      <c r="E125" s="166"/>
      <c r="F125" s="171" t="e">
        <f>VLOOKUP(E125,'Справочник отрасли'!$A:$D,4,0)</f>
        <v>#N/A</v>
      </c>
      <c r="G125" s="169">
        <f t="shared" ref="G125" si="13">D125/$B$19</f>
        <v>0</v>
      </c>
      <c r="H125" s="168"/>
      <c r="I125" s="170" t="e">
        <f>VLOOKUP(C125,'Справочник отрасли'!$J$6:$K$24,2,0)</f>
        <v>#N/A</v>
      </c>
      <c r="J125" s="170" t="str">
        <f>VLOOKUP(A125,'Эшелоны результат'!$A$3:$H$283,8,FALSE)</f>
        <v>Ошибка, не численные значения</v>
      </c>
      <c r="L125"/>
    </row>
    <row r="126" spans="1:12" ht="15" x14ac:dyDescent="0.25">
      <c r="A126" s="165"/>
      <c r="B126" s="166"/>
      <c r="C126" s="166"/>
      <c r="D126" s="167"/>
      <c r="E126" s="166"/>
      <c r="F126" s="171"/>
      <c r="G126" s="169"/>
      <c r="H126" s="168"/>
      <c r="I126" s="170"/>
      <c r="J126" s="170"/>
      <c r="L126"/>
    </row>
    <row r="127" spans="1:12" ht="15" x14ac:dyDescent="0.25">
      <c r="A127" s="165"/>
      <c r="B127" s="166"/>
      <c r="C127" s="166"/>
      <c r="D127" s="167"/>
      <c r="E127" s="166"/>
      <c r="F127" s="171"/>
      <c r="G127" s="169"/>
      <c r="H127" s="168"/>
      <c r="I127" s="170"/>
      <c r="J127" s="170"/>
      <c r="L127"/>
    </row>
    <row r="128" spans="1:12" ht="15" x14ac:dyDescent="0.25">
      <c r="A128" s="165"/>
      <c r="B128" s="166"/>
      <c r="C128" s="166"/>
      <c r="D128" s="167"/>
      <c r="E128" s="166"/>
      <c r="F128" s="171"/>
      <c r="G128" s="169"/>
      <c r="H128" s="168"/>
      <c r="I128" s="170"/>
      <c r="J128" s="170"/>
      <c r="L128"/>
    </row>
    <row r="129" spans="1:12" ht="15" x14ac:dyDescent="0.25">
      <c r="A129" s="165"/>
      <c r="B129" s="166"/>
      <c r="C129" s="166"/>
      <c r="D129" s="167"/>
      <c r="E129" s="166"/>
      <c r="F129" s="171"/>
      <c r="G129" s="169"/>
      <c r="H129" s="168"/>
      <c r="I129" s="170"/>
      <c r="J129" s="170"/>
      <c r="L129"/>
    </row>
    <row r="130" spans="1:12" ht="15" x14ac:dyDescent="0.25">
      <c r="A130" s="165"/>
      <c r="B130" s="166"/>
      <c r="C130" s="166"/>
      <c r="D130" s="167"/>
      <c r="E130" s="166"/>
      <c r="F130" s="171"/>
      <c r="G130" s="169"/>
      <c r="H130" s="168"/>
      <c r="I130" s="170"/>
      <c r="J130" s="170"/>
      <c r="L130"/>
    </row>
    <row r="135" spans="1:12" ht="15" x14ac:dyDescent="0.25">
      <c r="D135" s="144"/>
      <c r="K135"/>
    </row>
    <row r="136" spans="1:12" ht="15" x14ac:dyDescent="0.25">
      <c r="K136"/>
    </row>
    <row r="137" spans="1:12" ht="15" x14ac:dyDescent="0.25">
      <c r="K137"/>
    </row>
    <row r="138" spans="1:12" ht="15" x14ac:dyDescent="0.25">
      <c r="K138"/>
    </row>
    <row r="139" spans="1:12" ht="15" x14ac:dyDescent="0.25">
      <c r="K139"/>
    </row>
    <row r="140" spans="1:12" ht="15" x14ac:dyDescent="0.25"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</sheetData>
  <autoFilter ref="A25:V125"/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0"/>
  <sheetViews>
    <sheetView workbookViewId="0">
      <selection activeCell="D63" sqref="D63"/>
    </sheetView>
  </sheetViews>
  <sheetFormatPr defaultRowHeight="15" x14ac:dyDescent="0.25"/>
  <cols>
    <col min="1" max="1" width="28.7109375" style="209" customWidth="1"/>
    <col min="2" max="2" width="34.85546875" style="209" customWidth="1"/>
    <col min="3" max="3" width="19.140625" style="209" customWidth="1"/>
    <col min="4" max="4" width="29.5703125" style="209" customWidth="1"/>
    <col min="5" max="6" width="9.140625" style="208"/>
    <col min="7" max="7" width="16.28515625" customWidth="1"/>
    <col min="10" max="10" width="22.42578125" customWidth="1"/>
  </cols>
  <sheetData>
    <row r="1" spans="1:11" x14ac:dyDescent="0.25">
      <c r="A1" s="209" t="s">
        <v>207</v>
      </c>
      <c r="B1" s="209" t="s">
        <v>279</v>
      </c>
      <c r="C1" s="209" t="s">
        <v>217</v>
      </c>
      <c r="D1" s="209" t="s">
        <v>278</v>
      </c>
      <c r="G1" s="242" t="s">
        <v>467</v>
      </c>
      <c r="H1" s="242"/>
      <c r="I1" s="242"/>
      <c r="J1" s="242"/>
      <c r="K1" s="242"/>
    </row>
    <row r="2" spans="1:11" ht="15" customHeight="1" x14ac:dyDescent="0.25">
      <c r="A2" s="13" t="s">
        <v>154</v>
      </c>
      <c r="B2" s="13" t="s">
        <v>206</v>
      </c>
      <c r="C2" s="13"/>
      <c r="D2" s="13" t="s">
        <v>206</v>
      </c>
      <c r="G2" s="242"/>
      <c r="H2" s="242"/>
      <c r="I2" s="242"/>
      <c r="J2" s="242"/>
      <c r="K2" s="242"/>
    </row>
    <row r="3" spans="1:11" x14ac:dyDescent="0.25">
      <c r="A3" s="13" t="s">
        <v>106</v>
      </c>
      <c r="B3" s="13" t="s">
        <v>211</v>
      </c>
      <c r="C3" s="13"/>
      <c r="D3" s="13" t="s">
        <v>225</v>
      </c>
      <c r="G3" s="242"/>
      <c r="H3" s="242"/>
      <c r="I3" s="242"/>
      <c r="J3" s="242"/>
      <c r="K3" s="242"/>
    </row>
    <row r="4" spans="1:11" x14ac:dyDescent="0.25">
      <c r="A4" s="13" t="s">
        <v>151</v>
      </c>
      <c r="B4" s="13" t="s">
        <v>211</v>
      </c>
      <c r="C4" s="13"/>
      <c r="D4" s="13" t="s">
        <v>225</v>
      </c>
      <c r="G4" s="241" t="s">
        <v>469</v>
      </c>
      <c r="H4" s="241"/>
      <c r="J4" s="241" t="s">
        <v>470</v>
      </c>
      <c r="K4" s="241"/>
    </row>
    <row r="5" spans="1:11" x14ac:dyDescent="0.25">
      <c r="A5" s="13" t="s">
        <v>105</v>
      </c>
      <c r="B5" s="13" t="s">
        <v>211</v>
      </c>
      <c r="C5" s="13"/>
      <c r="D5" s="13" t="s">
        <v>225</v>
      </c>
      <c r="G5" t="s">
        <v>292</v>
      </c>
      <c r="H5" t="s">
        <v>307</v>
      </c>
      <c r="J5" t="str">
        <f>G5</f>
        <v>Наименование инструмента</v>
      </c>
      <c r="K5" t="s">
        <v>307</v>
      </c>
    </row>
    <row r="6" spans="1:11" ht="15" customHeight="1" x14ac:dyDescent="0.25">
      <c r="A6" s="13" t="s">
        <v>136</v>
      </c>
      <c r="B6" s="13" t="s">
        <v>221</v>
      </c>
      <c r="C6" s="13" t="s">
        <v>215</v>
      </c>
      <c r="D6" s="13" t="s">
        <v>269</v>
      </c>
      <c r="G6" s="5" t="s">
        <v>293</v>
      </c>
      <c r="H6" s="5">
        <v>1</v>
      </c>
      <c r="J6" s="5" t="s">
        <v>224</v>
      </c>
      <c r="K6" s="5">
        <v>1</v>
      </c>
    </row>
    <row r="7" spans="1:11" ht="15" customHeight="1" x14ac:dyDescent="0.25">
      <c r="A7" s="13" t="s">
        <v>146</v>
      </c>
      <c r="B7" s="13" t="s">
        <v>206</v>
      </c>
      <c r="C7" s="13"/>
      <c r="D7" s="13" t="s">
        <v>206</v>
      </c>
      <c r="G7" s="5" t="s">
        <v>294</v>
      </c>
      <c r="H7" s="5">
        <v>1</v>
      </c>
      <c r="J7" s="5" t="s">
        <v>234</v>
      </c>
      <c r="K7" s="5">
        <v>3</v>
      </c>
    </row>
    <row r="8" spans="1:11" ht="15" customHeight="1" x14ac:dyDescent="0.25">
      <c r="A8" s="13" t="s">
        <v>134</v>
      </c>
      <c r="B8" s="13" t="s">
        <v>210</v>
      </c>
      <c r="C8" s="13"/>
      <c r="D8" s="13" t="s">
        <v>249</v>
      </c>
      <c r="G8" s="5" t="s">
        <v>295</v>
      </c>
      <c r="H8" s="5">
        <v>1</v>
      </c>
      <c r="J8" s="5" t="s">
        <v>235</v>
      </c>
      <c r="K8" s="5">
        <v>1</v>
      </c>
    </row>
    <row r="9" spans="1:11" ht="15" customHeight="1" x14ac:dyDescent="0.25">
      <c r="A9" s="13" t="s">
        <v>135</v>
      </c>
      <c r="B9" s="13" t="s">
        <v>221</v>
      </c>
      <c r="C9" s="13" t="s">
        <v>212</v>
      </c>
      <c r="D9" s="13" t="s">
        <v>262</v>
      </c>
      <c r="G9" s="5" t="s">
        <v>296</v>
      </c>
      <c r="H9" s="5">
        <v>1</v>
      </c>
      <c r="J9" s="5" t="s">
        <v>226</v>
      </c>
      <c r="K9" s="5">
        <v>2</v>
      </c>
    </row>
    <row r="10" spans="1:11" ht="15" customHeight="1" x14ac:dyDescent="0.25">
      <c r="A10" s="13" t="s">
        <v>137</v>
      </c>
      <c r="B10" s="13" t="s">
        <v>213</v>
      </c>
      <c r="C10" s="13"/>
      <c r="D10" s="13" t="s">
        <v>213</v>
      </c>
      <c r="G10" s="5" t="s">
        <v>297</v>
      </c>
      <c r="H10" s="5">
        <v>1</v>
      </c>
      <c r="J10" s="5" t="s">
        <v>227</v>
      </c>
      <c r="K10" s="5">
        <v>1</v>
      </c>
    </row>
    <row r="11" spans="1:11" ht="15" customHeight="1" x14ac:dyDescent="0.25">
      <c r="A11" s="13" t="s">
        <v>138</v>
      </c>
      <c r="B11" s="13" t="s">
        <v>206</v>
      </c>
      <c r="C11" s="13"/>
      <c r="D11" s="13" t="s">
        <v>206</v>
      </c>
      <c r="G11" s="5" t="s">
        <v>298</v>
      </c>
      <c r="H11" s="5">
        <v>1</v>
      </c>
      <c r="J11" s="5" t="s">
        <v>236</v>
      </c>
      <c r="K11" s="5">
        <v>2</v>
      </c>
    </row>
    <row r="12" spans="1:11" ht="15" customHeight="1" x14ac:dyDescent="0.25">
      <c r="A12" s="13" t="s">
        <v>139</v>
      </c>
      <c r="B12" s="13" t="s">
        <v>206</v>
      </c>
      <c r="C12" s="13"/>
      <c r="D12" s="13" t="s">
        <v>206</v>
      </c>
      <c r="G12" s="5" t="s">
        <v>299</v>
      </c>
      <c r="H12" s="5">
        <v>1</v>
      </c>
      <c r="J12" s="5" t="s">
        <v>237</v>
      </c>
      <c r="K12" s="5">
        <v>1</v>
      </c>
    </row>
    <row r="13" spans="1:11" ht="15" customHeight="1" x14ac:dyDescent="0.25">
      <c r="A13" s="13" t="s">
        <v>140</v>
      </c>
      <c r="B13" s="13" t="s">
        <v>221</v>
      </c>
      <c r="C13" s="13" t="s">
        <v>212</v>
      </c>
      <c r="D13" s="13" t="s">
        <v>262</v>
      </c>
      <c r="G13" s="5" t="s">
        <v>300</v>
      </c>
      <c r="H13" s="5">
        <v>1</v>
      </c>
      <c r="J13" s="5" t="s">
        <v>238</v>
      </c>
      <c r="K13" s="5">
        <v>2</v>
      </c>
    </row>
    <row r="14" spans="1:11" ht="15" customHeight="1" x14ac:dyDescent="0.25">
      <c r="A14" s="13" t="s">
        <v>102</v>
      </c>
      <c r="B14" s="13" t="s">
        <v>228</v>
      </c>
      <c r="C14" s="13"/>
      <c r="D14" s="13" t="s">
        <v>264</v>
      </c>
      <c r="G14" s="5" t="s">
        <v>301</v>
      </c>
      <c r="H14" s="5">
        <v>1</v>
      </c>
      <c r="J14" s="5" t="s">
        <v>239</v>
      </c>
      <c r="K14" s="5">
        <v>2</v>
      </c>
    </row>
    <row r="15" spans="1:11" ht="15" customHeight="1" x14ac:dyDescent="0.25">
      <c r="A15" s="13" t="s">
        <v>141</v>
      </c>
      <c r="B15" s="13" t="s">
        <v>213</v>
      </c>
      <c r="C15" s="13"/>
      <c r="D15" s="13" t="s">
        <v>213</v>
      </c>
      <c r="G15" s="5" t="s">
        <v>302</v>
      </c>
      <c r="H15" s="5">
        <v>1</v>
      </c>
      <c r="I15" s="2"/>
      <c r="J15" s="5" t="s">
        <v>240</v>
      </c>
      <c r="K15" s="5">
        <v>2</v>
      </c>
    </row>
    <row r="16" spans="1:11" ht="15" customHeight="1" x14ac:dyDescent="0.25">
      <c r="A16" s="13" t="s">
        <v>142</v>
      </c>
      <c r="B16" s="13" t="s">
        <v>221</v>
      </c>
      <c r="C16" s="13" t="s">
        <v>212</v>
      </c>
      <c r="D16" s="13" t="s">
        <v>262</v>
      </c>
      <c r="G16" s="5" t="s">
        <v>303</v>
      </c>
      <c r="H16" s="5">
        <v>1</v>
      </c>
      <c r="J16" s="5" t="s">
        <v>231</v>
      </c>
      <c r="K16" s="5">
        <v>2</v>
      </c>
    </row>
    <row r="17" spans="1:11" ht="15" customHeight="1" x14ac:dyDescent="0.25">
      <c r="A17" s="13" t="s">
        <v>143</v>
      </c>
      <c r="B17" s="13" t="s">
        <v>221</v>
      </c>
      <c r="C17" s="13" t="s">
        <v>216</v>
      </c>
      <c r="D17" s="13" t="s">
        <v>269</v>
      </c>
      <c r="G17" s="5" t="s">
        <v>304</v>
      </c>
      <c r="H17" s="5">
        <v>1</v>
      </c>
      <c r="J17" s="5" t="s">
        <v>232</v>
      </c>
      <c r="K17" s="5">
        <v>3</v>
      </c>
    </row>
    <row r="18" spans="1:11" ht="15" customHeight="1" x14ac:dyDescent="0.25">
      <c r="A18" s="13" t="s">
        <v>144</v>
      </c>
      <c r="B18" s="13" t="s">
        <v>228</v>
      </c>
      <c r="C18" s="13"/>
      <c r="D18" s="13" t="s">
        <v>264</v>
      </c>
      <c r="G18" s="5" t="s">
        <v>305</v>
      </c>
      <c r="H18" s="5">
        <v>1</v>
      </c>
      <c r="J18" s="5" t="s">
        <v>241</v>
      </c>
      <c r="K18" s="5">
        <v>2</v>
      </c>
    </row>
    <row r="19" spans="1:11" ht="15" customHeight="1" x14ac:dyDescent="0.25">
      <c r="A19" s="13" t="s">
        <v>145</v>
      </c>
      <c r="B19" s="13" t="s">
        <v>222</v>
      </c>
      <c r="C19" s="13"/>
      <c r="D19" s="13" t="s">
        <v>248</v>
      </c>
      <c r="G19" s="5" t="s">
        <v>306</v>
      </c>
      <c r="H19" s="5">
        <v>1</v>
      </c>
      <c r="J19" s="5" t="s">
        <v>242</v>
      </c>
      <c r="K19" s="5">
        <v>1</v>
      </c>
    </row>
    <row r="20" spans="1:11" ht="15" customHeight="1" x14ac:dyDescent="0.25">
      <c r="A20" s="13" t="s">
        <v>147</v>
      </c>
      <c r="B20" s="13" t="s">
        <v>206</v>
      </c>
      <c r="C20" s="13"/>
      <c r="D20" s="13" t="s">
        <v>206</v>
      </c>
      <c r="G20" s="5" t="s">
        <v>308</v>
      </c>
      <c r="H20" s="5">
        <v>2</v>
      </c>
      <c r="J20" s="5" t="s">
        <v>340</v>
      </c>
      <c r="K20" s="5">
        <v>2</v>
      </c>
    </row>
    <row r="21" spans="1:11" ht="15" customHeight="1" x14ac:dyDescent="0.25">
      <c r="A21" s="13" t="s">
        <v>148</v>
      </c>
      <c r="B21" s="13" t="s">
        <v>206</v>
      </c>
      <c r="C21" s="13"/>
      <c r="D21" s="13" t="s">
        <v>206</v>
      </c>
      <c r="G21" s="5" t="s">
        <v>309</v>
      </c>
      <c r="H21" s="5">
        <v>2</v>
      </c>
      <c r="J21" s="5" t="s">
        <v>344</v>
      </c>
      <c r="K21" s="5">
        <v>1</v>
      </c>
    </row>
    <row r="22" spans="1:11" ht="15" customHeight="1" x14ac:dyDescent="0.25">
      <c r="A22" s="13" t="s">
        <v>149</v>
      </c>
      <c r="B22" s="13" t="s">
        <v>213</v>
      </c>
      <c r="C22" s="13"/>
      <c r="D22" s="13" t="s">
        <v>213</v>
      </c>
      <c r="G22" s="5" t="s">
        <v>310</v>
      </c>
      <c r="H22" s="5">
        <v>2</v>
      </c>
      <c r="J22" s="5" t="s">
        <v>414</v>
      </c>
      <c r="K22" s="5">
        <v>1</v>
      </c>
    </row>
    <row r="23" spans="1:11" ht="15" customHeight="1" x14ac:dyDescent="0.25">
      <c r="A23" s="13" t="s">
        <v>101</v>
      </c>
      <c r="B23" s="13" t="s">
        <v>221</v>
      </c>
      <c r="C23" s="13" t="s">
        <v>216</v>
      </c>
      <c r="D23" s="13" t="s">
        <v>269</v>
      </c>
      <c r="G23" s="5" t="s">
        <v>311</v>
      </c>
      <c r="H23" s="5">
        <v>2</v>
      </c>
      <c r="J23" s="5" t="s">
        <v>415</v>
      </c>
      <c r="K23" s="5">
        <v>1</v>
      </c>
    </row>
    <row r="24" spans="1:11" ht="15" customHeight="1" x14ac:dyDescent="0.25">
      <c r="A24" s="13" t="s">
        <v>150</v>
      </c>
      <c r="B24" s="13" t="s">
        <v>206</v>
      </c>
      <c r="C24" s="13"/>
      <c r="D24" s="13" t="s">
        <v>206</v>
      </c>
      <c r="G24" s="5" t="s">
        <v>312</v>
      </c>
      <c r="H24" s="5">
        <v>2</v>
      </c>
      <c r="J24" s="5" t="s">
        <v>416</v>
      </c>
      <c r="K24" s="5">
        <v>1</v>
      </c>
    </row>
    <row r="25" spans="1:11" x14ac:dyDescent="0.25">
      <c r="A25" s="13" t="s">
        <v>152</v>
      </c>
      <c r="B25" s="13" t="s">
        <v>211</v>
      </c>
      <c r="C25" s="13"/>
      <c r="D25" s="13" t="s">
        <v>225</v>
      </c>
      <c r="G25" s="5" t="s">
        <v>214</v>
      </c>
      <c r="H25" s="5">
        <v>2</v>
      </c>
    </row>
    <row r="26" spans="1:11" ht="15" customHeight="1" x14ac:dyDescent="0.25">
      <c r="A26" s="13" t="s">
        <v>153</v>
      </c>
      <c r="B26" s="13" t="s">
        <v>221</v>
      </c>
      <c r="C26" s="13" t="s">
        <v>215</v>
      </c>
      <c r="D26" s="13" t="s">
        <v>269</v>
      </c>
      <c r="G26" s="5" t="s">
        <v>313</v>
      </c>
      <c r="H26" s="5">
        <v>2</v>
      </c>
    </row>
    <row r="27" spans="1:11" ht="15" customHeight="1" x14ac:dyDescent="0.25">
      <c r="A27" s="13" t="s">
        <v>155</v>
      </c>
      <c r="B27" s="13" t="s">
        <v>206</v>
      </c>
      <c r="C27" s="13"/>
      <c r="D27" s="13" t="s">
        <v>206</v>
      </c>
      <c r="G27" s="5" t="s">
        <v>314</v>
      </c>
      <c r="H27" s="5">
        <v>2</v>
      </c>
    </row>
    <row r="28" spans="1:11" ht="15" customHeight="1" x14ac:dyDescent="0.25">
      <c r="A28" s="13" t="s">
        <v>198</v>
      </c>
      <c r="B28" s="13" t="s">
        <v>210</v>
      </c>
      <c r="C28" s="13"/>
      <c r="D28" s="13" t="s">
        <v>249</v>
      </c>
      <c r="G28" s="5" t="s">
        <v>315</v>
      </c>
      <c r="H28" s="5">
        <v>2</v>
      </c>
    </row>
    <row r="29" spans="1:11" ht="15" customHeight="1" x14ac:dyDescent="0.25">
      <c r="A29" s="13" t="s">
        <v>156</v>
      </c>
      <c r="B29" s="13" t="s">
        <v>206</v>
      </c>
      <c r="C29" s="13"/>
      <c r="D29" s="13" t="s">
        <v>206</v>
      </c>
      <c r="G29" s="5" t="s">
        <v>316</v>
      </c>
      <c r="H29" s="5">
        <v>2</v>
      </c>
    </row>
    <row r="30" spans="1:11" ht="15" customHeight="1" x14ac:dyDescent="0.25">
      <c r="A30" s="13" t="s">
        <v>199</v>
      </c>
      <c r="B30" s="13" t="s">
        <v>219</v>
      </c>
      <c r="C30" s="13"/>
      <c r="D30" s="13" t="s">
        <v>275</v>
      </c>
      <c r="G30" s="5" t="s">
        <v>317</v>
      </c>
      <c r="H30" s="5">
        <v>2</v>
      </c>
    </row>
    <row r="31" spans="1:11" ht="15" customHeight="1" x14ac:dyDescent="0.25">
      <c r="A31" s="13" t="s">
        <v>8</v>
      </c>
      <c r="B31" s="13" t="s">
        <v>210</v>
      </c>
      <c r="C31" s="13"/>
      <c r="D31" s="13" t="s">
        <v>249</v>
      </c>
      <c r="G31" s="5" t="s">
        <v>318</v>
      </c>
      <c r="H31" s="5">
        <v>2</v>
      </c>
    </row>
    <row r="32" spans="1:11" ht="15" customHeight="1" x14ac:dyDescent="0.25">
      <c r="A32" s="13" t="s">
        <v>157</v>
      </c>
      <c r="B32" s="13" t="s">
        <v>206</v>
      </c>
      <c r="C32" s="13"/>
      <c r="D32" s="13" t="s">
        <v>206</v>
      </c>
      <c r="G32" s="5" t="s">
        <v>319</v>
      </c>
      <c r="H32" s="5">
        <v>2</v>
      </c>
    </row>
    <row r="33" spans="1:8" ht="15" customHeight="1" x14ac:dyDescent="0.25">
      <c r="A33" s="13" t="s">
        <v>158</v>
      </c>
      <c r="B33" s="13" t="s">
        <v>219</v>
      </c>
      <c r="C33" s="13"/>
      <c r="D33" s="13" t="s">
        <v>275</v>
      </c>
      <c r="G33" s="5" t="s">
        <v>320</v>
      </c>
      <c r="H33" s="5">
        <v>2</v>
      </c>
    </row>
    <row r="34" spans="1:8" ht="15" customHeight="1" x14ac:dyDescent="0.25">
      <c r="A34" s="13" t="s">
        <v>200</v>
      </c>
      <c r="B34" s="13" t="s">
        <v>206</v>
      </c>
      <c r="C34" s="13"/>
      <c r="D34" s="13" t="s">
        <v>206</v>
      </c>
      <c r="G34" s="5" t="s">
        <v>321</v>
      </c>
      <c r="H34" s="5">
        <v>2</v>
      </c>
    </row>
    <row r="35" spans="1:8" ht="15" customHeight="1" x14ac:dyDescent="0.25">
      <c r="A35" s="13" t="s">
        <v>161</v>
      </c>
      <c r="B35" s="13" t="s">
        <v>219</v>
      </c>
      <c r="C35" s="13"/>
      <c r="D35" s="13" t="s">
        <v>275</v>
      </c>
      <c r="G35" s="5" t="s">
        <v>322</v>
      </c>
      <c r="H35" s="5">
        <v>3</v>
      </c>
    </row>
    <row r="36" spans="1:8" ht="15" customHeight="1" x14ac:dyDescent="0.25">
      <c r="A36" s="13" t="s">
        <v>201</v>
      </c>
      <c r="B36" s="13" t="s">
        <v>206</v>
      </c>
      <c r="C36" s="13"/>
      <c r="D36" s="13" t="s">
        <v>206</v>
      </c>
      <c r="G36" s="5" t="s">
        <v>323</v>
      </c>
      <c r="H36" s="5">
        <v>2</v>
      </c>
    </row>
    <row r="37" spans="1:8" x14ac:dyDescent="0.25">
      <c r="A37" s="13" t="s">
        <v>202</v>
      </c>
      <c r="B37" s="13" t="s">
        <v>211</v>
      </c>
      <c r="C37" s="13"/>
      <c r="D37" s="13" t="s">
        <v>225</v>
      </c>
      <c r="G37" s="5" t="s">
        <v>324</v>
      </c>
      <c r="H37" s="5">
        <v>3</v>
      </c>
    </row>
    <row r="38" spans="1:8" ht="15" customHeight="1" x14ac:dyDescent="0.25">
      <c r="A38" s="13" t="s">
        <v>203</v>
      </c>
      <c r="B38" s="13" t="s">
        <v>219</v>
      </c>
      <c r="C38" s="13"/>
      <c r="D38" s="13" t="s">
        <v>275</v>
      </c>
      <c r="G38" s="5" t="s">
        <v>325</v>
      </c>
      <c r="H38" s="5">
        <v>3</v>
      </c>
    </row>
    <row r="39" spans="1:8" ht="15" customHeight="1" x14ac:dyDescent="0.25">
      <c r="A39" s="13" t="s">
        <v>162</v>
      </c>
      <c r="B39" s="13" t="s">
        <v>210</v>
      </c>
      <c r="C39" s="13"/>
      <c r="D39" s="13" t="s">
        <v>249</v>
      </c>
      <c r="G39" s="5" t="s">
        <v>326</v>
      </c>
      <c r="H39" s="5">
        <v>3</v>
      </c>
    </row>
    <row r="40" spans="1:8" ht="15" customHeight="1" x14ac:dyDescent="0.25">
      <c r="A40" s="13" t="s">
        <v>6</v>
      </c>
      <c r="B40" s="13" t="s">
        <v>210</v>
      </c>
      <c r="C40" s="13"/>
      <c r="D40" s="13" t="s">
        <v>249</v>
      </c>
      <c r="G40" s="5" t="s">
        <v>327</v>
      </c>
      <c r="H40" s="5">
        <v>3</v>
      </c>
    </row>
    <row r="41" spans="1:8" ht="15" customHeight="1" x14ac:dyDescent="0.25">
      <c r="A41" s="13" t="s">
        <v>7</v>
      </c>
      <c r="B41" s="13" t="s">
        <v>209</v>
      </c>
      <c r="C41" s="13"/>
      <c r="D41" s="13" t="s">
        <v>254</v>
      </c>
      <c r="G41" s="5" t="s">
        <v>328</v>
      </c>
      <c r="H41" s="5">
        <v>3</v>
      </c>
    </row>
    <row r="42" spans="1:8" ht="15" customHeight="1" x14ac:dyDescent="0.25">
      <c r="A42" s="13" t="s">
        <v>159</v>
      </c>
      <c r="B42" s="13" t="s">
        <v>206</v>
      </c>
      <c r="C42" s="13"/>
      <c r="D42" s="13" t="s">
        <v>206</v>
      </c>
      <c r="G42" s="5" t="s">
        <v>329</v>
      </c>
      <c r="H42" s="5">
        <v>3</v>
      </c>
    </row>
    <row r="43" spans="1:8" ht="15" customHeight="1" x14ac:dyDescent="0.25">
      <c r="A43" s="13" t="s">
        <v>160</v>
      </c>
      <c r="B43" s="13" t="s">
        <v>206</v>
      </c>
      <c r="C43" s="13"/>
      <c r="D43" s="13" t="s">
        <v>206</v>
      </c>
      <c r="G43" s="5" t="s">
        <v>330</v>
      </c>
      <c r="H43" s="5">
        <v>3</v>
      </c>
    </row>
    <row r="44" spans="1:8" ht="15" customHeight="1" x14ac:dyDescent="0.25">
      <c r="A44" s="13" t="s">
        <v>163</v>
      </c>
      <c r="B44" s="13" t="s">
        <v>218</v>
      </c>
      <c r="C44" s="13"/>
      <c r="D44" s="13" t="s">
        <v>268</v>
      </c>
      <c r="G44" s="5" t="s">
        <v>331</v>
      </c>
      <c r="H44" s="5">
        <v>3</v>
      </c>
    </row>
    <row r="45" spans="1:8" ht="15" customHeight="1" x14ac:dyDescent="0.25">
      <c r="A45" s="13" t="s">
        <v>164</v>
      </c>
      <c r="B45" s="13" t="s">
        <v>220</v>
      </c>
      <c r="C45" s="13"/>
      <c r="D45" s="13" t="s">
        <v>220</v>
      </c>
      <c r="G45" s="5" t="s">
        <v>332</v>
      </c>
      <c r="H45" s="5">
        <v>3</v>
      </c>
    </row>
    <row r="46" spans="1:8" x14ac:dyDescent="0.25">
      <c r="A46" s="13" t="s">
        <v>127</v>
      </c>
      <c r="B46" s="13" t="s">
        <v>211</v>
      </c>
      <c r="C46" s="13"/>
      <c r="D46" s="13" t="s">
        <v>225</v>
      </c>
    </row>
    <row r="47" spans="1:8" ht="15" customHeight="1" x14ac:dyDescent="0.25">
      <c r="A47" s="13" t="s">
        <v>214</v>
      </c>
      <c r="B47" s="13" t="s">
        <v>221</v>
      </c>
      <c r="C47" s="13" t="s">
        <v>215</v>
      </c>
      <c r="D47" s="13" t="s">
        <v>269</v>
      </c>
    </row>
    <row r="48" spans="1:8" ht="15" customHeight="1" x14ac:dyDescent="0.25">
      <c r="A48" s="13" t="s">
        <v>342</v>
      </c>
      <c r="B48" s="13" t="s">
        <v>221</v>
      </c>
      <c r="C48" s="13" t="s">
        <v>215</v>
      </c>
      <c r="D48" s="13" t="s">
        <v>269</v>
      </c>
    </row>
    <row r="49" spans="1:4" ht="15" customHeight="1" x14ac:dyDescent="0.25">
      <c r="A49" s="13" t="s">
        <v>246</v>
      </c>
      <c r="B49" s="13" t="s">
        <v>211</v>
      </c>
      <c r="C49" s="13" t="s">
        <v>281</v>
      </c>
      <c r="D49" s="13" t="s">
        <v>225</v>
      </c>
    </row>
    <row r="50" spans="1:4" ht="15" customHeight="1" x14ac:dyDescent="0.25">
      <c r="A50" s="13" t="s">
        <v>247</v>
      </c>
      <c r="B50" s="13" t="s">
        <v>211</v>
      </c>
      <c r="C50" s="13" t="s">
        <v>280</v>
      </c>
      <c r="D50" s="13" t="s">
        <v>225</v>
      </c>
    </row>
    <row r="51" spans="1:4" ht="30" x14ac:dyDescent="0.25">
      <c r="A51" s="13" t="s">
        <v>233</v>
      </c>
      <c r="B51" s="13" t="s">
        <v>221</v>
      </c>
      <c r="C51" s="13" t="s">
        <v>282</v>
      </c>
      <c r="D51" s="13" t="s">
        <v>262</v>
      </c>
    </row>
    <row r="52" spans="1:4" ht="30" x14ac:dyDescent="0.25">
      <c r="A52" s="13" t="s">
        <v>243</v>
      </c>
      <c r="B52" s="13"/>
      <c r="C52" s="13" t="s">
        <v>230</v>
      </c>
      <c r="D52" s="13" t="s">
        <v>268</v>
      </c>
    </row>
    <row r="53" spans="1:4" ht="30" x14ac:dyDescent="0.25">
      <c r="A53" s="13" t="s">
        <v>244</v>
      </c>
      <c r="B53" s="13"/>
      <c r="C53" s="13" t="s">
        <v>230</v>
      </c>
      <c r="D53" s="13" t="s">
        <v>268</v>
      </c>
    </row>
    <row r="54" spans="1:4" ht="30" x14ac:dyDescent="0.25">
      <c r="A54" s="13" t="s">
        <v>123</v>
      </c>
      <c r="B54" s="13"/>
      <c r="C54" s="13" t="s">
        <v>283</v>
      </c>
      <c r="D54" s="13" t="s">
        <v>225</v>
      </c>
    </row>
    <row r="55" spans="1:4" x14ac:dyDescent="0.25">
      <c r="A55" s="13" t="s">
        <v>125</v>
      </c>
      <c r="B55" s="13"/>
      <c r="C55" s="13"/>
      <c r="D55" s="13" t="s">
        <v>213</v>
      </c>
    </row>
    <row r="56" spans="1:4" x14ac:dyDescent="0.25">
      <c r="A56" s="13" t="s">
        <v>245</v>
      </c>
      <c r="B56" s="13"/>
      <c r="C56" s="13"/>
      <c r="D56" s="13" t="s">
        <v>264</v>
      </c>
    </row>
    <row r="57" spans="1:4" x14ac:dyDescent="0.25">
      <c r="A57" s="13" t="s">
        <v>339</v>
      </c>
      <c r="B57" s="13"/>
      <c r="C57" s="13"/>
      <c r="D57" s="13" t="s">
        <v>341</v>
      </c>
    </row>
    <row r="58" spans="1:4" ht="30" x14ac:dyDescent="0.25">
      <c r="A58" s="13" t="s">
        <v>345</v>
      </c>
      <c r="B58" s="13"/>
      <c r="C58" s="13"/>
      <c r="D58" s="13" t="s">
        <v>263</v>
      </c>
    </row>
    <row r="59" spans="1:4" ht="45" x14ac:dyDescent="0.25">
      <c r="A59" s="13" t="s">
        <v>343</v>
      </c>
      <c r="B59" s="13"/>
      <c r="C59" s="13"/>
      <c r="D59" s="13" t="s">
        <v>259</v>
      </c>
    </row>
    <row r="60" spans="1:4" x14ac:dyDescent="0.25">
      <c r="A60" s="13" t="s">
        <v>417</v>
      </c>
      <c r="B60" s="13"/>
      <c r="C60" s="13"/>
      <c r="D60" s="13" t="s">
        <v>229</v>
      </c>
    </row>
    <row r="61" spans="1:4" x14ac:dyDescent="0.25">
      <c r="A61" s="13" t="s">
        <v>126</v>
      </c>
      <c r="B61" s="13"/>
      <c r="C61" s="13"/>
      <c r="D61" s="13" t="s">
        <v>258</v>
      </c>
    </row>
    <row r="62" spans="1:4" x14ac:dyDescent="0.25">
      <c r="A62" s="13" t="s">
        <v>454</v>
      </c>
      <c r="B62" s="13"/>
      <c r="C62" s="13"/>
      <c r="D62" s="13" t="s">
        <v>206</v>
      </c>
    </row>
    <row r="63" spans="1:4" ht="30" x14ac:dyDescent="0.25">
      <c r="A63" s="13" t="s">
        <v>591</v>
      </c>
      <c r="B63" s="13" t="s">
        <v>218</v>
      </c>
      <c r="C63" s="13"/>
      <c r="D63" s="13" t="s">
        <v>268</v>
      </c>
    </row>
    <row r="67" spans="1:1" x14ac:dyDescent="0.25">
      <c r="A67" s="210" t="s">
        <v>468</v>
      </c>
    </row>
    <row r="68" spans="1:1" ht="45" x14ac:dyDescent="0.25">
      <c r="A68" s="209" t="s">
        <v>248</v>
      </c>
    </row>
    <row r="69" spans="1:1" x14ac:dyDescent="0.25">
      <c r="A69" s="209" t="s">
        <v>249</v>
      </c>
    </row>
    <row r="70" spans="1:1" x14ac:dyDescent="0.25">
      <c r="A70" s="209" t="s">
        <v>250</v>
      </c>
    </row>
    <row r="71" spans="1:1" x14ac:dyDescent="0.25">
      <c r="A71" s="209" t="s">
        <v>251</v>
      </c>
    </row>
    <row r="72" spans="1:1" x14ac:dyDescent="0.25">
      <c r="A72" s="209" t="s">
        <v>252</v>
      </c>
    </row>
    <row r="73" spans="1:1" x14ac:dyDescent="0.25">
      <c r="A73" s="209" t="s">
        <v>253</v>
      </c>
    </row>
    <row r="74" spans="1:1" x14ac:dyDescent="0.25">
      <c r="A74" s="209" t="s">
        <v>254</v>
      </c>
    </row>
    <row r="75" spans="1:1" ht="30" x14ac:dyDescent="0.25">
      <c r="A75" s="209" t="s">
        <v>255</v>
      </c>
    </row>
    <row r="76" spans="1:1" x14ac:dyDescent="0.25">
      <c r="A76" s="209" t="s">
        <v>256</v>
      </c>
    </row>
    <row r="77" spans="1:1" ht="30" x14ac:dyDescent="0.25">
      <c r="A77" s="209" t="s">
        <v>257</v>
      </c>
    </row>
    <row r="78" spans="1:1" x14ac:dyDescent="0.25">
      <c r="A78" s="209" t="s">
        <v>258</v>
      </c>
    </row>
    <row r="79" spans="1:1" x14ac:dyDescent="0.25">
      <c r="A79" s="209" t="s">
        <v>225</v>
      </c>
    </row>
    <row r="80" spans="1:1" ht="45" x14ac:dyDescent="0.25">
      <c r="A80" s="209" t="s">
        <v>259</v>
      </c>
    </row>
    <row r="81" spans="1:1" ht="45" x14ac:dyDescent="0.25">
      <c r="A81" s="209" t="s">
        <v>260</v>
      </c>
    </row>
    <row r="82" spans="1:1" x14ac:dyDescent="0.25">
      <c r="A82" s="209" t="s">
        <v>213</v>
      </c>
    </row>
    <row r="83" spans="1:1" ht="30" x14ac:dyDescent="0.25">
      <c r="A83" s="209" t="s">
        <v>261</v>
      </c>
    </row>
    <row r="84" spans="1:1" ht="30" x14ac:dyDescent="0.25">
      <c r="A84" s="209" t="s">
        <v>262</v>
      </c>
    </row>
    <row r="85" spans="1:1" ht="30" x14ac:dyDescent="0.25">
      <c r="A85" s="209" t="s">
        <v>263</v>
      </c>
    </row>
    <row r="86" spans="1:1" x14ac:dyDescent="0.25">
      <c r="A86" s="209" t="s">
        <v>264</v>
      </c>
    </row>
    <row r="87" spans="1:1" x14ac:dyDescent="0.25">
      <c r="A87" s="209" t="s">
        <v>265</v>
      </c>
    </row>
    <row r="88" spans="1:1" x14ac:dyDescent="0.25">
      <c r="A88" s="209" t="s">
        <v>266</v>
      </c>
    </row>
    <row r="89" spans="1:1" ht="30" x14ac:dyDescent="0.25">
      <c r="A89" s="209" t="s">
        <v>267</v>
      </c>
    </row>
    <row r="90" spans="1:1" ht="30" x14ac:dyDescent="0.25">
      <c r="A90" s="209" t="s">
        <v>268</v>
      </c>
    </row>
    <row r="91" spans="1:1" ht="30" x14ac:dyDescent="0.25">
      <c r="A91" s="209" t="s">
        <v>269</v>
      </c>
    </row>
    <row r="92" spans="1:1" ht="30" x14ac:dyDescent="0.25">
      <c r="A92" s="209" t="s">
        <v>270</v>
      </c>
    </row>
    <row r="93" spans="1:1" ht="30" x14ac:dyDescent="0.25">
      <c r="A93" s="209" t="s">
        <v>271</v>
      </c>
    </row>
    <row r="94" spans="1:1" x14ac:dyDescent="0.25">
      <c r="A94" s="209" t="s">
        <v>272</v>
      </c>
    </row>
    <row r="95" spans="1:1" x14ac:dyDescent="0.25">
      <c r="A95" s="209" t="s">
        <v>273</v>
      </c>
    </row>
    <row r="96" spans="1:1" x14ac:dyDescent="0.25">
      <c r="A96" s="209" t="s">
        <v>229</v>
      </c>
    </row>
    <row r="97" spans="1:1" ht="30" x14ac:dyDescent="0.25">
      <c r="A97" s="209" t="s">
        <v>274</v>
      </c>
    </row>
    <row r="98" spans="1:1" ht="30" x14ac:dyDescent="0.25">
      <c r="A98" s="209" t="s">
        <v>275</v>
      </c>
    </row>
    <row r="99" spans="1:1" ht="30" x14ac:dyDescent="0.25">
      <c r="A99" s="209" t="s">
        <v>276</v>
      </c>
    </row>
    <row r="100" spans="1:1" ht="45" x14ac:dyDescent="0.25">
      <c r="A100" s="209" t="s">
        <v>277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N16" sqref="N16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8"/>
    <col min="8" max="8" width="23.5703125" style="178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663</v>
      </c>
      <c r="B2" t="s">
        <v>346</v>
      </c>
      <c r="C2" t="s">
        <v>347</v>
      </c>
      <c r="D2" t="s">
        <v>348</v>
      </c>
      <c r="E2" t="s">
        <v>349</v>
      </c>
      <c r="F2" t="s">
        <v>350</v>
      </c>
      <c r="G2" s="178" t="s">
        <v>407</v>
      </c>
      <c r="H2" s="178" t="s">
        <v>307</v>
      </c>
    </row>
    <row r="3" spans="1:8" x14ac:dyDescent="0.25">
      <c r="A3" s="177" t="str">
        <f>'Инвест политика'!A26</f>
        <v>SBER</v>
      </c>
      <c r="B3" t="s">
        <v>418</v>
      </c>
      <c r="C3" s="182" t="s">
        <v>419</v>
      </c>
      <c r="D3" t="s">
        <v>420</v>
      </c>
      <c r="E3" t="s">
        <v>421</v>
      </c>
      <c r="F3" t="s">
        <v>422</v>
      </c>
      <c r="G3" s="178">
        <f>VLOOKUP(A3,'Инвест политика'!$A$26:$H$130,8,FALSE)</f>
        <v>0</v>
      </c>
      <c r="H3" s="178" t="str">
        <f>Эшелонирование(F3,G3,C3)</f>
        <v>Ошибка, не численные значения</v>
      </c>
    </row>
    <row r="4" spans="1:8" x14ac:dyDescent="0.25">
      <c r="A4" s="177" t="str">
        <f>'Инвест политика'!A27</f>
        <v>GAZP</v>
      </c>
      <c r="B4" t="s">
        <v>418</v>
      </c>
      <c r="C4" t="s">
        <v>423</v>
      </c>
      <c r="D4" t="s">
        <v>420</v>
      </c>
      <c r="E4" t="s">
        <v>421</v>
      </c>
      <c r="F4" t="s">
        <v>422</v>
      </c>
      <c r="G4" s="180">
        <f>VLOOKUP(A4,'Инвест политика'!$A$26:$H$130,8,FALSE)</f>
        <v>0</v>
      </c>
      <c r="H4" s="180" t="str">
        <f t="shared" ref="H4:H67" si="0">Эшелонирование(F4,G4,C4)</f>
        <v>Ошибка, не численные значения</v>
      </c>
    </row>
    <row r="5" spans="1:8" x14ac:dyDescent="0.25">
      <c r="A5" s="177" t="str">
        <f>'Инвест политика'!A28</f>
        <v>SNGS</v>
      </c>
      <c r="B5" t="s">
        <v>418</v>
      </c>
      <c r="C5" t="s">
        <v>423</v>
      </c>
      <c r="D5" t="s">
        <v>420</v>
      </c>
      <c r="E5" t="s">
        <v>421</v>
      </c>
      <c r="F5" t="s">
        <v>422</v>
      </c>
      <c r="G5" s="180">
        <f>VLOOKUP(A5,'Инвест политика'!$A$26:$H$130,8,FALSE)</f>
        <v>0</v>
      </c>
      <c r="H5" s="180" t="str">
        <f t="shared" si="0"/>
        <v>Ошибка, не численные значения</v>
      </c>
    </row>
    <row r="6" spans="1:8" x14ac:dyDescent="0.25">
      <c r="A6" s="177" t="str">
        <f>'Инвест политика'!A29</f>
        <v>YNDX</v>
      </c>
      <c r="B6" t="s">
        <v>418</v>
      </c>
      <c r="C6" t="s">
        <v>423</v>
      </c>
      <c r="D6" t="s">
        <v>420</v>
      </c>
      <c r="E6" t="s">
        <v>421</v>
      </c>
      <c r="F6" t="s">
        <v>422</v>
      </c>
      <c r="G6" s="180">
        <f>VLOOKUP(A6,'Инвест политика'!$A$26:$H$130,8,FALSE)</f>
        <v>0</v>
      </c>
      <c r="H6" s="180" t="str">
        <f t="shared" si="0"/>
        <v>Ошибка, не численные значения</v>
      </c>
    </row>
    <row r="7" spans="1:8" x14ac:dyDescent="0.25">
      <c r="A7" s="177" t="str">
        <f>'Инвест политика'!A30</f>
        <v>GMKN</v>
      </c>
      <c r="B7" t="s">
        <v>418</v>
      </c>
      <c r="C7" t="s">
        <v>423</v>
      </c>
      <c r="D7" t="s">
        <v>420</v>
      </c>
      <c r="E7" t="s">
        <v>421</v>
      </c>
      <c r="F7" t="s">
        <v>422</v>
      </c>
      <c r="G7" s="180">
        <f>VLOOKUP(A7,'Инвест политика'!$A$26:$H$130,8,FALSE)</f>
        <v>0</v>
      </c>
      <c r="H7" s="180" t="str">
        <f t="shared" si="0"/>
        <v>Ошибка, не численные значения</v>
      </c>
    </row>
    <row r="8" spans="1:8" x14ac:dyDescent="0.25">
      <c r="A8" s="177" t="str">
        <f>'Инвест политика'!A31</f>
        <v>GMKN</v>
      </c>
      <c r="B8" t="s">
        <v>418</v>
      </c>
      <c r="C8" t="s">
        <v>423</v>
      </c>
      <c r="D8" t="s">
        <v>420</v>
      </c>
      <c r="E8" t="s">
        <v>421</v>
      </c>
      <c r="F8" t="s">
        <v>422</v>
      </c>
      <c r="G8" s="180">
        <f>VLOOKUP(A8,'Инвест политика'!$A$26:$H$130,8,FALSE)</f>
        <v>0</v>
      </c>
      <c r="H8" s="180" t="str">
        <f t="shared" si="0"/>
        <v>Ошибка, не численные значения</v>
      </c>
    </row>
    <row r="9" spans="1:8" x14ac:dyDescent="0.25">
      <c r="A9" s="177" t="str">
        <f>'Инвест политика'!A32</f>
        <v>NVTK</v>
      </c>
      <c r="B9" t="s">
        <v>418</v>
      </c>
      <c r="C9" t="s">
        <v>423</v>
      </c>
      <c r="D9" t="s">
        <v>420</v>
      </c>
      <c r="E9" t="s">
        <v>421</v>
      </c>
      <c r="F9" t="s">
        <v>422</v>
      </c>
      <c r="G9" s="180">
        <f>VLOOKUP(A9,'Инвест политика'!$A$26:$H$130,8,FALSE)</f>
        <v>0</v>
      </c>
      <c r="H9" s="180" t="str">
        <f t="shared" si="0"/>
        <v>Ошибка, не численные значения</v>
      </c>
    </row>
    <row r="10" spans="1:8" x14ac:dyDescent="0.25">
      <c r="A10" s="177" t="str">
        <f>'Инвест политика'!A33</f>
        <v>RU000A101616</v>
      </c>
      <c r="B10" t="s">
        <v>351</v>
      </c>
      <c r="C10">
        <v>19.285</v>
      </c>
      <c r="D10">
        <v>150000000</v>
      </c>
      <c r="E10" t="s">
        <v>352</v>
      </c>
      <c r="F10">
        <v>8</v>
      </c>
      <c r="G10" s="180" t="str">
        <f>VLOOKUP(A10,'Инвест политика'!$A$26:$H$130,8,FALSE)</f>
        <v>BB+</v>
      </c>
      <c r="H10" s="180">
        <f>Эшелонирование(F10,G10,C10)</f>
        <v>1</v>
      </c>
    </row>
    <row r="11" spans="1:8" x14ac:dyDescent="0.25">
      <c r="A11" s="177" t="str">
        <f>'Инвест политика'!A34</f>
        <v>XS2159874002</v>
      </c>
      <c r="B11" t="s">
        <v>455</v>
      </c>
      <c r="C11">
        <v>7.6120000000000001</v>
      </c>
      <c r="D11">
        <v>1500000000</v>
      </c>
      <c r="E11" t="s">
        <v>354</v>
      </c>
      <c r="F11">
        <v>10</v>
      </c>
      <c r="G11" s="180" t="str">
        <f>VLOOKUP(A11,'Инвест политика'!$A$26:$H$130,8,FALSE)</f>
        <v>BBB</v>
      </c>
      <c r="H11" s="180">
        <f t="shared" si="0"/>
        <v>1</v>
      </c>
    </row>
    <row r="12" spans="1:8" x14ac:dyDescent="0.25">
      <c r="A12" s="177" t="str">
        <f>'Инвест политика'!A35</f>
        <v>XS2134628069</v>
      </c>
      <c r="B12" t="s">
        <v>353</v>
      </c>
      <c r="C12">
        <v>4.1630000000000003</v>
      </c>
      <c r="D12">
        <v>500000000</v>
      </c>
      <c r="E12" t="s">
        <v>354</v>
      </c>
      <c r="F12">
        <v>10</v>
      </c>
      <c r="G12" s="180" t="str">
        <f>VLOOKUP(A12,'Инвест политика'!$A$26:$H$130,8,FALSE)</f>
        <v>BBB-</v>
      </c>
      <c r="H12" s="180">
        <f t="shared" si="0"/>
        <v>1</v>
      </c>
    </row>
    <row r="13" spans="1:8" x14ac:dyDescent="0.25">
      <c r="A13" s="177" t="str">
        <f>'Инвест политика'!A36</f>
        <v>XS2291819980</v>
      </c>
      <c r="B13" t="s">
        <v>424</v>
      </c>
      <c r="C13">
        <v>6.923</v>
      </c>
      <c r="D13">
        <v>2000000000</v>
      </c>
      <c r="E13" t="s">
        <v>354</v>
      </c>
      <c r="F13">
        <v>8</v>
      </c>
      <c r="G13" s="180" t="str">
        <f>VLOOKUP(A13,'Инвест политика'!$A$26:$H$130,8,FALSE)</f>
        <v>BBB</v>
      </c>
      <c r="H13" s="180">
        <f t="shared" si="0"/>
        <v>1</v>
      </c>
    </row>
    <row r="14" spans="1:8" x14ac:dyDescent="0.25">
      <c r="A14" s="177" t="str">
        <f>'Инвест политика'!A37</f>
        <v>XS0810596832</v>
      </c>
      <c r="B14" t="s">
        <v>456</v>
      </c>
      <c r="C14">
        <v>1.494</v>
      </c>
      <c r="D14">
        <v>2250000000</v>
      </c>
      <c r="E14" t="s">
        <v>354</v>
      </c>
      <c r="F14">
        <v>10</v>
      </c>
      <c r="G14" s="180" t="str">
        <f>VLOOKUP(A14,'Инвест политика'!$A$26:$H$130,8,FALSE)</f>
        <v>BBB-</v>
      </c>
      <c r="H14" s="180">
        <f t="shared" si="0"/>
        <v>1</v>
      </c>
    </row>
    <row r="15" spans="1:8" x14ac:dyDescent="0.25">
      <c r="A15" s="177" t="str">
        <f>'Инвест политика'!A38</f>
        <v>XS2252958751</v>
      </c>
      <c r="B15" t="s">
        <v>654</v>
      </c>
      <c r="C15">
        <v>5.8810000000000002</v>
      </c>
      <c r="D15">
        <v>1250000000</v>
      </c>
      <c r="E15" t="s">
        <v>354</v>
      </c>
      <c r="F15">
        <v>9</v>
      </c>
      <c r="G15" s="180" t="str">
        <f>VLOOKUP(A15,'Инвест политика'!$A$26:$H$130,8,FALSE)</f>
        <v>BB+</v>
      </c>
      <c r="H15" s="180">
        <f t="shared" si="0"/>
        <v>1</v>
      </c>
    </row>
    <row r="16" spans="1:8" x14ac:dyDescent="0.25">
      <c r="A16" s="177" t="str">
        <f>'Инвест политика'!A39</f>
        <v>XS1449458915</v>
      </c>
      <c r="B16" t="s">
        <v>355</v>
      </c>
      <c r="C16">
        <v>0.23900000000000002</v>
      </c>
      <c r="D16">
        <v>254701000</v>
      </c>
      <c r="E16" t="s">
        <v>354</v>
      </c>
      <c r="F16">
        <v>10</v>
      </c>
      <c r="G16" s="180" t="str">
        <f>VLOOKUP(A16,'Инвест политика'!$A$26:$H$130,8,FALSE)</f>
        <v>BB</v>
      </c>
      <c r="H16" s="180">
        <f t="shared" si="0"/>
        <v>2</v>
      </c>
    </row>
    <row r="17" spans="1:8" x14ac:dyDescent="0.25">
      <c r="A17" s="177" t="str">
        <f>'Инвест политика'!A40</f>
        <v>XS1433454243</v>
      </c>
      <c r="B17" t="s">
        <v>457</v>
      </c>
      <c r="C17">
        <v>2.0249999999999999</v>
      </c>
      <c r="D17">
        <v>900000000</v>
      </c>
      <c r="E17" t="s">
        <v>354</v>
      </c>
      <c r="F17">
        <v>10</v>
      </c>
      <c r="G17" s="180" t="str">
        <f>VLOOKUP(A17,'Инвест политика'!$A$26:$H$130,8,FALSE)</f>
        <v>BB</v>
      </c>
      <c r="H17" s="180">
        <f t="shared" si="0"/>
        <v>2</v>
      </c>
    </row>
    <row r="18" spans="1:8" x14ac:dyDescent="0.25">
      <c r="A18" s="177" t="str">
        <f>'Инвест политика'!A41</f>
        <v>CH0385518086</v>
      </c>
      <c r="B18" t="s">
        <v>356</v>
      </c>
      <c r="C18">
        <v>1.5170000000000001</v>
      </c>
      <c r="D18">
        <v>165000000</v>
      </c>
      <c r="E18" t="s">
        <v>357</v>
      </c>
      <c r="F18">
        <v>9</v>
      </c>
      <c r="G18" s="180" t="str">
        <f>VLOOKUP(A18,'Инвест политика'!$A$26:$H$130,8,FALSE)</f>
        <v>BB-</v>
      </c>
      <c r="H18" s="180">
        <f t="shared" si="0"/>
        <v>2</v>
      </c>
    </row>
    <row r="19" spans="1:8" x14ac:dyDescent="0.25">
      <c r="A19" s="177" t="str">
        <f>'Инвест политика'!A42</f>
        <v>XS1759468967</v>
      </c>
      <c r="B19" t="s">
        <v>359</v>
      </c>
      <c r="C19">
        <v>1.798</v>
      </c>
      <c r="D19">
        <v>500000000</v>
      </c>
      <c r="E19" t="s">
        <v>354</v>
      </c>
      <c r="F19">
        <v>9</v>
      </c>
      <c r="G19" s="180" t="str">
        <f>VLOOKUP(A19,'Инвест политика'!$A$26:$H$130,8,FALSE)</f>
        <v>B+</v>
      </c>
      <c r="H19" s="180">
        <f t="shared" si="0"/>
        <v>2</v>
      </c>
    </row>
    <row r="20" spans="1:8" x14ac:dyDescent="0.25">
      <c r="A20" s="177" t="str">
        <f>'Инвест политика'!A43</f>
        <v>XS1400710726</v>
      </c>
      <c r="B20" t="s">
        <v>360</v>
      </c>
      <c r="C20">
        <v>1.6300000000000001</v>
      </c>
      <c r="D20">
        <v>700000000</v>
      </c>
      <c r="E20" t="s">
        <v>354</v>
      </c>
      <c r="F20">
        <v>10</v>
      </c>
      <c r="G20" s="180" t="str">
        <f>VLOOKUP(A20,'Инвест политика'!$A$26:$H$130,8,FALSE)</f>
        <v>BB</v>
      </c>
      <c r="H20" s="180">
        <f t="shared" si="0"/>
        <v>2</v>
      </c>
    </row>
    <row r="21" spans="1:8" x14ac:dyDescent="0.25">
      <c r="A21" s="177" t="str">
        <f>'Инвест политика'!A44</f>
        <v>XS1772800204</v>
      </c>
      <c r="B21" t="s">
        <v>361</v>
      </c>
      <c r="C21">
        <v>1.5070000000000001</v>
      </c>
      <c r="D21">
        <v>204719000</v>
      </c>
      <c r="E21" t="s">
        <v>354</v>
      </c>
      <c r="F21">
        <v>10</v>
      </c>
      <c r="G21" s="180" t="str">
        <f>VLOOKUP(A21,'Инвест политика'!$A$26:$H$130,8,FALSE)</f>
        <v>BB</v>
      </c>
      <c r="H21" s="180">
        <f t="shared" si="0"/>
        <v>2</v>
      </c>
    </row>
    <row r="22" spans="1:8" x14ac:dyDescent="0.25">
      <c r="A22" s="177" t="str">
        <f>'Инвест политика'!A45</f>
        <v>XS2010044548</v>
      </c>
      <c r="B22" t="s">
        <v>362</v>
      </c>
      <c r="C22">
        <v>2.968</v>
      </c>
      <c r="D22">
        <v>300000000</v>
      </c>
      <c r="E22" t="s">
        <v>354</v>
      </c>
      <c r="F22">
        <v>9</v>
      </c>
      <c r="G22" s="180" t="str">
        <f>VLOOKUP(A22,'Инвест политика'!$A$26:$H$130,8,FALSE)</f>
        <v>BB-</v>
      </c>
      <c r="H22" s="180">
        <f t="shared" si="0"/>
        <v>2</v>
      </c>
    </row>
    <row r="23" spans="1:8" x14ac:dyDescent="0.25">
      <c r="A23" s="177" t="str">
        <f>'Инвест политика'!A46</f>
        <v>XS2010044381</v>
      </c>
      <c r="B23" t="s">
        <v>363</v>
      </c>
      <c r="C23">
        <v>4.327</v>
      </c>
      <c r="D23">
        <v>550000000</v>
      </c>
      <c r="E23" t="s">
        <v>354</v>
      </c>
      <c r="F23">
        <v>10</v>
      </c>
      <c r="G23" s="180" t="str">
        <f>VLOOKUP(A23,'Инвест политика'!$A$26:$H$130,8,FALSE)</f>
        <v>BB</v>
      </c>
      <c r="H23" s="180">
        <f t="shared" si="0"/>
        <v>2</v>
      </c>
    </row>
    <row r="24" spans="1:8" x14ac:dyDescent="0.25">
      <c r="A24" s="177" t="str">
        <f>'Инвест политика'!A47</f>
        <v>RU000A101616</v>
      </c>
      <c r="B24" t="s">
        <v>351</v>
      </c>
      <c r="C24">
        <v>19.285</v>
      </c>
      <c r="D24">
        <v>150000000</v>
      </c>
      <c r="E24" t="s">
        <v>352</v>
      </c>
      <c r="F24">
        <v>8</v>
      </c>
      <c r="G24" s="180" t="str">
        <f>VLOOKUP(A24,'Инвест политика'!$A$26:$H$130,8,FALSE)</f>
        <v>BB+</v>
      </c>
      <c r="H24" s="180">
        <f t="shared" si="0"/>
        <v>1</v>
      </c>
    </row>
    <row r="25" spans="1:8" x14ac:dyDescent="0.25">
      <c r="A25" s="177" t="str">
        <f>'Инвест политика'!A48</f>
        <v>XS2063279959</v>
      </c>
      <c r="B25" t="s">
        <v>364</v>
      </c>
      <c r="C25">
        <v>3.6</v>
      </c>
      <c r="D25">
        <v>850000000</v>
      </c>
      <c r="E25" t="s">
        <v>354</v>
      </c>
      <c r="F25">
        <v>9</v>
      </c>
      <c r="G25" s="180" t="str">
        <f>VLOOKUP(A25,'Инвест политика'!$A$26:$H$130,8,FALSE)</f>
        <v>BB-</v>
      </c>
      <c r="H25" s="180">
        <f t="shared" si="0"/>
        <v>2</v>
      </c>
    </row>
    <row r="26" spans="1:8" x14ac:dyDescent="0.25">
      <c r="A26" s="177" t="str">
        <f>'Инвест политика'!A49</f>
        <v>XS2124187571</v>
      </c>
      <c r="B26" t="s">
        <v>366</v>
      </c>
      <c r="C26">
        <v>7.6950000000000003</v>
      </c>
      <c r="D26">
        <v>2000000000</v>
      </c>
      <c r="E26" t="s">
        <v>354</v>
      </c>
      <c r="F26">
        <v>10</v>
      </c>
      <c r="G26" s="180" t="str">
        <f>VLOOKUP(A26,'Инвест политика'!$A$26:$H$130,8,FALSE)</f>
        <v>BBB</v>
      </c>
      <c r="H26" s="180">
        <f t="shared" si="0"/>
        <v>1</v>
      </c>
    </row>
    <row r="27" spans="1:8" x14ac:dyDescent="0.25">
      <c r="A27" s="177" t="str">
        <f>'Инвест политика'!A50</f>
        <v>XS0841671000</v>
      </c>
      <c r="B27" t="s">
        <v>367</v>
      </c>
      <c r="C27">
        <v>1.4419999999999999</v>
      </c>
      <c r="D27">
        <v>634051000</v>
      </c>
      <c r="E27" t="s">
        <v>354</v>
      </c>
      <c r="F27">
        <v>10</v>
      </c>
      <c r="G27" s="180" t="str">
        <f>VLOOKUP(A27,'Инвест политика'!$A$26:$H$130,8,FALSE)</f>
        <v>BBB</v>
      </c>
      <c r="H27" s="180">
        <f t="shared" si="0"/>
        <v>1</v>
      </c>
    </row>
    <row r="28" spans="1:8" x14ac:dyDescent="0.25">
      <c r="A28" s="177" t="str">
        <f>'Инвест политика'!A51</f>
        <v>XS0800817073</v>
      </c>
      <c r="B28" t="s">
        <v>368</v>
      </c>
      <c r="C28">
        <v>1.1579999999999999</v>
      </c>
      <c r="D28">
        <v>1000000000</v>
      </c>
      <c r="E28" t="s">
        <v>354</v>
      </c>
      <c r="F28">
        <v>10</v>
      </c>
      <c r="G28" s="180" t="str">
        <f>VLOOKUP(A28,'Инвест политика'!$A$26:$H$130,8,FALSE)</f>
        <v>BBB-</v>
      </c>
      <c r="H28" s="180">
        <f t="shared" si="0"/>
        <v>1</v>
      </c>
    </row>
    <row r="29" spans="1:8" x14ac:dyDescent="0.25">
      <c r="A29" s="177" t="str">
        <f>'Инвест политика'!A52</f>
        <v>XS0830192711</v>
      </c>
      <c r="B29" t="s">
        <v>369</v>
      </c>
      <c r="C29">
        <v>1.3740000000000001</v>
      </c>
      <c r="D29">
        <v>1500000000</v>
      </c>
      <c r="E29" t="s">
        <v>354</v>
      </c>
      <c r="F29">
        <v>10</v>
      </c>
      <c r="G29" s="180" t="str">
        <f>VLOOKUP(A29,'Инвест политика'!$A$26:$H$130,8,FALSE)</f>
        <v>BBB</v>
      </c>
      <c r="H29" s="180">
        <f t="shared" si="0"/>
        <v>1</v>
      </c>
    </row>
    <row r="30" spans="1:8" x14ac:dyDescent="0.25">
      <c r="A30" s="177" t="str">
        <f>'Инвест политика'!A53</f>
        <v>XS2183144810</v>
      </c>
      <c r="B30" t="s">
        <v>370</v>
      </c>
      <c r="C30">
        <v>2.0569999999999999</v>
      </c>
      <c r="D30">
        <v>350000000</v>
      </c>
      <c r="E30" t="s">
        <v>352</v>
      </c>
      <c r="F30">
        <v>9</v>
      </c>
      <c r="G30" s="180" t="str">
        <f>VLOOKUP(A30,'Инвест политика'!$A$26:$H$130,8,FALSE)</f>
        <v>BB-</v>
      </c>
      <c r="H30" s="180">
        <f t="shared" si="0"/>
        <v>2</v>
      </c>
    </row>
    <row r="31" spans="1:8" x14ac:dyDescent="0.25">
      <c r="A31" s="177" t="str">
        <f>'Инвест политика'!A54</f>
        <v>XS0861981180</v>
      </c>
      <c r="B31" t="s">
        <v>371</v>
      </c>
      <c r="C31">
        <v>0.85899999999999999</v>
      </c>
      <c r="D31">
        <v>2000000000</v>
      </c>
      <c r="E31" t="s">
        <v>354</v>
      </c>
      <c r="F31">
        <v>10</v>
      </c>
      <c r="G31" s="180" t="str">
        <f>VLOOKUP(A31,'Инвест политика'!$A$26:$H$130,8,FALSE)</f>
        <v>BBB-</v>
      </c>
      <c r="H31" s="180">
        <f t="shared" si="0"/>
        <v>1</v>
      </c>
    </row>
    <row r="32" spans="1:8" x14ac:dyDescent="0.25">
      <c r="A32" s="177" t="str">
        <f>'Инвест политика'!A55</f>
        <v>XS1622146758</v>
      </c>
      <c r="B32" t="s">
        <v>655</v>
      </c>
      <c r="C32">
        <v>0.70899999999999996</v>
      </c>
      <c r="D32">
        <v>500000000</v>
      </c>
      <c r="E32" t="s">
        <v>354</v>
      </c>
      <c r="F32">
        <v>10</v>
      </c>
      <c r="G32" s="180" t="str">
        <f>VLOOKUP(A32,'Инвест политика'!$A$26:$H$130,8,FALSE)</f>
        <v>BBB-</v>
      </c>
      <c r="H32" s="180">
        <f t="shared" si="0"/>
        <v>1</v>
      </c>
    </row>
    <row r="33" spans="1:8" x14ac:dyDescent="0.25">
      <c r="A33" s="177" t="str">
        <f>'Инвест политика'!A56</f>
        <v>XS1567051443</v>
      </c>
      <c r="B33" t="s">
        <v>372</v>
      </c>
      <c r="C33">
        <v>0.34400000000000003</v>
      </c>
      <c r="D33">
        <v>500000000</v>
      </c>
      <c r="E33" t="s">
        <v>354</v>
      </c>
      <c r="F33">
        <v>10</v>
      </c>
      <c r="G33" s="180" t="str">
        <f>VLOOKUP(A33,'Инвест политика'!$A$26:$H$130,8,FALSE)</f>
        <v>BBB</v>
      </c>
      <c r="H33" s="180">
        <f t="shared" si="0"/>
        <v>1</v>
      </c>
    </row>
    <row r="34" spans="1:8" x14ac:dyDescent="0.25">
      <c r="A34" s="177" t="str">
        <f>'Инвест политика'!A57</f>
        <v>XS0743596040</v>
      </c>
      <c r="B34" t="s">
        <v>373</v>
      </c>
      <c r="C34">
        <v>0.77400000000000002</v>
      </c>
      <c r="D34">
        <v>1500000000</v>
      </c>
      <c r="E34" t="s">
        <v>354</v>
      </c>
      <c r="F34">
        <v>10</v>
      </c>
      <c r="G34" s="180" t="str">
        <f>VLOOKUP(A34,'Инвест политика'!$A$26:$H$130,8,FALSE)</f>
        <v>BBB-</v>
      </c>
      <c r="H34" s="180">
        <f t="shared" si="0"/>
        <v>1</v>
      </c>
    </row>
    <row r="35" spans="1:8" x14ac:dyDescent="0.25">
      <c r="A35" s="177" t="str">
        <f>'Инвест политика'!A58</f>
        <v>XS1634369067</v>
      </c>
      <c r="B35" t="s">
        <v>374</v>
      </c>
      <c r="C35">
        <v>1.7510000000000001</v>
      </c>
      <c r="D35">
        <v>800000000</v>
      </c>
      <c r="E35" t="s">
        <v>354</v>
      </c>
      <c r="F35">
        <v>10</v>
      </c>
      <c r="G35" s="180" t="str">
        <f>VLOOKUP(A35,'Инвест политика'!$A$26:$H$130,8,FALSE)</f>
        <v>B</v>
      </c>
      <c r="H35" s="180">
        <f t="shared" si="0"/>
        <v>2</v>
      </c>
    </row>
    <row r="36" spans="1:8" x14ac:dyDescent="0.25">
      <c r="A36" s="177" t="str">
        <f>'Инвест политика'!A59</f>
        <v>XS2243631095</v>
      </c>
      <c r="B36" t="s">
        <v>656</v>
      </c>
      <c r="C36">
        <v>4.085</v>
      </c>
      <c r="D36">
        <v>1400000000</v>
      </c>
      <c r="E36" t="s">
        <v>354</v>
      </c>
      <c r="F36">
        <v>9</v>
      </c>
      <c r="G36" s="180" t="str">
        <f>VLOOKUP(A36,'Инвест политика'!$A$26:$H$130,8,FALSE)</f>
        <v>BB+</v>
      </c>
      <c r="H36" s="180">
        <f t="shared" si="0"/>
        <v>1</v>
      </c>
    </row>
    <row r="37" spans="1:8" x14ac:dyDescent="0.25">
      <c r="A37" s="177" t="str">
        <f>'Инвест политика'!A60</f>
        <v>XS1951067039</v>
      </c>
      <c r="B37" t="s">
        <v>358</v>
      </c>
      <c r="C37">
        <v>2.69</v>
      </c>
      <c r="D37">
        <v>327228000</v>
      </c>
      <c r="E37" t="s">
        <v>352</v>
      </c>
      <c r="F37">
        <v>10</v>
      </c>
      <c r="G37" s="180" t="str">
        <f>VLOOKUP(A37,'Инвест политика'!$A$26:$H$130,8,FALSE)</f>
        <v>BB-</v>
      </c>
      <c r="H37" s="180">
        <f t="shared" si="0"/>
        <v>2</v>
      </c>
    </row>
    <row r="38" spans="1:8" x14ac:dyDescent="0.25">
      <c r="A38" s="177" t="str">
        <f>'Инвест политика'!A61</f>
        <v>XS2099763075</v>
      </c>
      <c r="B38" t="s">
        <v>365</v>
      </c>
      <c r="C38">
        <v>3.4609999999999999</v>
      </c>
      <c r="D38">
        <v>541000000</v>
      </c>
      <c r="E38" t="s">
        <v>354</v>
      </c>
      <c r="F38">
        <v>10</v>
      </c>
      <c r="G38" s="180" t="str">
        <f>VLOOKUP(A38,'Инвест политика'!$A$26:$H$130,8,FALSE)</f>
        <v>BB-</v>
      </c>
      <c r="H38" s="180">
        <f t="shared" si="0"/>
        <v>2</v>
      </c>
    </row>
    <row r="39" spans="1:8" x14ac:dyDescent="0.25">
      <c r="A39" s="177" t="str">
        <f>'Инвест политика'!A62</f>
        <v>RU000A0JREW5</v>
      </c>
      <c r="B39" t="s">
        <v>657</v>
      </c>
      <c r="D39">
        <v>0</v>
      </c>
      <c r="E39" t="s">
        <v>375</v>
      </c>
      <c r="G39" s="180" t="str">
        <f>VLOOKUP(A39,'Инвест политика'!$A$26:$H$130,8,FALSE)</f>
        <v>BBB-</v>
      </c>
      <c r="H39" s="180">
        <f t="shared" si="0"/>
        <v>4</v>
      </c>
    </row>
    <row r="40" spans="1:8" x14ac:dyDescent="0.25">
      <c r="A40" s="177" t="str">
        <f>'Инвест политика'!A63</f>
        <v>RU000A0JV508</v>
      </c>
      <c r="B40" t="s">
        <v>376</v>
      </c>
      <c r="C40">
        <v>8.7270000000000003</v>
      </c>
      <c r="D40">
        <v>147163642.56</v>
      </c>
      <c r="E40" t="s">
        <v>375</v>
      </c>
      <c r="G40" s="180" t="str">
        <f>VLOOKUP(A40,'Инвест политика'!$A$26:$H$130,8,FALSE)</f>
        <v>BBB-</v>
      </c>
      <c r="H40" s="180">
        <f t="shared" si="0"/>
        <v>4</v>
      </c>
    </row>
    <row r="41" spans="1:8" x14ac:dyDescent="0.25">
      <c r="A41" s="177" t="str">
        <f>'Инвест политика'!A64</f>
        <v>RU000A0JTX09</v>
      </c>
      <c r="B41" t="s">
        <v>426</v>
      </c>
      <c r="C41">
        <v>0</v>
      </c>
      <c r="D41">
        <v>5000000000</v>
      </c>
      <c r="E41" t="s">
        <v>375</v>
      </c>
      <c r="G41" s="180" t="str">
        <f>VLOOKUP(A41,'Инвест политика'!$A$26:$H$130,8,FALSE)</f>
        <v>D</v>
      </c>
      <c r="H41" s="180">
        <f>Эшелонирование(F41,G41,C41)</f>
        <v>4</v>
      </c>
    </row>
    <row r="42" spans="1:8" x14ac:dyDescent="0.25">
      <c r="A42" s="177" t="str">
        <f>'Инвест политика'!A65</f>
        <v>RU000A0JWV63</v>
      </c>
      <c r="B42" t="s">
        <v>377</v>
      </c>
      <c r="C42">
        <v>4.0910000000000002</v>
      </c>
      <c r="D42">
        <v>5000000000</v>
      </c>
      <c r="E42" t="s">
        <v>375</v>
      </c>
      <c r="F42">
        <v>7</v>
      </c>
      <c r="G42" s="180" t="str">
        <f>VLOOKUP(A42,'Инвест политика'!$A$26:$H$130,8,FALSE)</f>
        <v>BB+</v>
      </c>
      <c r="H42" s="180">
        <f t="shared" si="0"/>
        <v>2</v>
      </c>
    </row>
    <row r="43" spans="1:8" x14ac:dyDescent="0.25">
      <c r="A43" s="177" t="str">
        <f>'Инвест политика'!A66</f>
        <v>RU000A0JVUK8</v>
      </c>
      <c r="B43" t="s">
        <v>378</v>
      </c>
      <c r="C43">
        <v>0.93800000000000006</v>
      </c>
      <c r="D43">
        <v>5000000000</v>
      </c>
      <c r="E43" t="s">
        <v>375</v>
      </c>
      <c r="F43">
        <v>9</v>
      </c>
      <c r="G43" s="180" t="str">
        <f>VLOOKUP(A43,'Инвест политика'!$A$26:$H$130,8,FALSE)</f>
        <v>BB-</v>
      </c>
      <c r="H43" s="180">
        <f t="shared" si="0"/>
        <v>2</v>
      </c>
    </row>
    <row r="44" spans="1:8" x14ac:dyDescent="0.25">
      <c r="A44" s="177" t="str">
        <f>'Инвест политика'!A67</f>
        <v>RU000A0JWYQ5</v>
      </c>
      <c r="B44" t="s">
        <v>379</v>
      </c>
      <c r="C44">
        <v>4.5979999999999999</v>
      </c>
      <c r="D44">
        <v>6500000000</v>
      </c>
      <c r="E44" t="s">
        <v>375</v>
      </c>
      <c r="F44">
        <v>9</v>
      </c>
      <c r="G44" s="180" t="str">
        <f>VLOOKUP(A44,'Инвест политика'!$A$26:$H$130,8,FALSE)</f>
        <v>BB-</v>
      </c>
      <c r="H44" s="180">
        <f t="shared" si="0"/>
        <v>2</v>
      </c>
    </row>
    <row r="45" spans="1:8" x14ac:dyDescent="0.25">
      <c r="A45" s="177" t="str">
        <f>'Инвест политика'!A68</f>
        <v>RU000A100V79</v>
      </c>
      <c r="B45" t="s">
        <v>380</v>
      </c>
      <c r="C45">
        <v>6.1970000000000001</v>
      </c>
      <c r="D45">
        <v>10000000000</v>
      </c>
      <c r="E45" t="s">
        <v>375</v>
      </c>
      <c r="F45">
        <v>7</v>
      </c>
      <c r="G45" s="180" t="str">
        <f>VLOOKUP(A45,'Инвест политика'!$A$26:$H$130,8,FALSE)</f>
        <v>BB-</v>
      </c>
      <c r="H45" s="180">
        <f t="shared" si="0"/>
        <v>2</v>
      </c>
    </row>
    <row r="46" spans="1:8" x14ac:dyDescent="0.25">
      <c r="A46" s="177" t="str">
        <f>'Инвест политика'!A69</f>
        <v>RU000A0JXVE5</v>
      </c>
      <c r="B46" t="s">
        <v>381</v>
      </c>
      <c r="C46">
        <v>1.141</v>
      </c>
      <c r="D46">
        <v>20000000000</v>
      </c>
      <c r="E46" t="s">
        <v>375</v>
      </c>
      <c r="F46">
        <v>9</v>
      </c>
      <c r="G46" s="180" t="str">
        <f>VLOOKUP(A46,'Инвест политика'!$A$26:$H$130,8,FALSE)</f>
        <v>BB+</v>
      </c>
      <c r="H46" s="180">
        <f t="shared" si="0"/>
        <v>1</v>
      </c>
    </row>
    <row r="47" spans="1:8" x14ac:dyDescent="0.25">
      <c r="A47" s="177" t="str">
        <f>'Инвест политика'!A70</f>
        <v>RU000A0JX2F6</v>
      </c>
      <c r="B47" t="s">
        <v>382</v>
      </c>
      <c r="C47">
        <v>1.58</v>
      </c>
      <c r="D47">
        <v>5000000000</v>
      </c>
      <c r="E47" t="s">
        <v>375</v>
      </c>
      <c r="F47">
        <v>6</v>
      </c>
      <c r="G47" s="180" t="str">
        <f>VLOOKUP(A47,'Инвест политика'!$A$26:$H$130,8,FALSE)</f>
        <v>BBB-</v>
      </c>
      <c r="H47" s="180">
        <f t="shared" si="0"/>
        <v>2</v>
      </c>
    </row>
    <row r="48" spans="1:8" x14ac:dyDescent="0.25">
      <c r="A48" s="177" t="str">
        <f>'Инвест политика'!A71</f>
        <v>RU000A0JWNB0</v>
      </c>
      <c r="B48" t="s">
        <v>383</v>
      </c>
      <c r="C48">
        <v>0.252</v>
      </c>
      <c r="D48">
        <v>7000000000</v>
      </c>
      <c r="E48" t="s">
        <v>375</v>
      </c>
      <c r="F48">
        <v>6</v>
      </c>
      <c r="G48" s="180" t="str">
        <f>VLOOKUP(A48,'Инвест политика'!$A$26:$H$130,8,FALSE)</f>
        <v>BBB-</v>
      </c>
      <c r="H48" s="180">
        <f t="shared" si="0"/>
        <v>2</v>
      </c>
    </row>
    <row r="49" spans="1:8" x14ac:dyDescent="0.25">
      <c r="A49" s="177" t="str">
        <f>'Инвест политика'!A72</f>
        <v>RU000A0JTM36</v>
      </c>
      <c r="B49" t="s">
        <v>427</v>
      </c>
      <c r="C49">
        <v>1.702</v>
      </c>
      <c r="D49">
        <v>10000000000</v>
      </c>
      <c r="E49" t="s">
        <v>375</v>
      </c>
      <c r="F49">
        <v>9</v>
      </c>
      <c r="G49" s="180" t="str">
        <f>VLOOKUP(A49,'Инвест политика'!$A$26:$H$130,8,FALSE)</f>
        <v>BBB-</v>
      </c>
      <c r="H49" s="180">
        <f t="shared" si="0"/>
        <v>1</v>
      </c>
    </row>
    <row r="50" spans="1:8" x14ac:dyDescent="0.25">
      <c r="A50" s="177" t="str">
        <f>'Инвест политика'!A73</f>
        <v>RU000A0JTM51</v>
      </c>
      <c r="B50" t="s">
        <v>427</v>
      </c>
      <c r="C50">
        <v>1.6990000000000001</v>
      </c>
      <c r="D50">
        <v>5000000000</v>
      </c>
      <c r="E50" t="s">
        <v>375</v>
      </c>
      <c r="F50">
        <v>9</v>
      </c>
      <c r="G50" s="180" t="str">
        <f>VLOOKUP(A50,'Инвест политика'!$A$26:$H$130,8,FALSE)</f>
        <v>BBB-</v>
      </c>
      <c r="H50" s="180">
        <f t="shared" si="0"/>
        <v>1</v>
      </c>
    </row>
    <row r="51" spans="1:8" x14ac:dyDescent="0.25">
      <c r="A51" s="177" t="str">
        <f>'Инвест политика'!A74</f>
        <v>RU000A101MZ4</v>
      </c>
      <c r="B51" t="s">
        <v>384</v>
      </c>
      <c r="C51">
        <v>1.923</v>
      </c>
      <c r="D51">
        <v>7000000000</v>
      </c>
      <c r="E51" t="s">
        <v>375</v>
      </c>
      <c r="F51">
        <v>7</v>
      </c>
      <c r="G51" s="180" t="str">
        <f>VLOOKUP(A51,'Инвест политика'!$A$26:$H$130,8,FALSE)</f>
        <v>A-</v>
      </c>
      <c r="H51" s="180">
        <f t="shared" si="0"/>
        <v>3</v>
      </c>
    </row>
    <row r="52" spans="1:8" x14ac:dyDescent="0.25">
      <c r="A52" s="177" t="str">
        <f>'Инвест политика'!A75</f>
        <v>RU000A0ZZZN8</v>
      </c>
      <c r="B52" t="s">
        <v>385</v>
      </c>
      <c r="C52">
        <v>0.64700000000000002</v>
      </c>
      <c r="D52">
        <v>1650000000</v>
      </c>
      <c r="E52" t="s">
        <v>375</v>
      </c>
      <c r="F52">
        <v>8</v>
      </c>
      <c r="G52" s="180" t="str">
        <f>VLOOKUP(A52,'Инвест политика'!$A$26:$H$130,8,FALSE)</f>
        <v>BB+</v>
      </c>
      <c r="H52" s="180">
        <f t="shared" si="0"/>
        <v>1</v>
      </c>
    </row>
    <row r="53" spans="1:8" x14ac:dyDescent="0.25">
      <c r="A53" s="177" t="str">
        <f>'Инвест политика'!A76</f>
        <v>RU000A1023K1</v>
      </c>
      <c r="B53" t="s">
        <v>386</v>
      </c>
      <c r="C53">
        <v>7.0060000000000002</v>
      </c>
      <c r="D53">
        <v>10000000000</v>
      </c>
      <c r="E53" t="s">
        <v>375</v>
      </c>
      <c r="F53">
        <v>9</v>
      </c>
      <c r="G53" s="180" t="str">
        <f>VLOOKUP(A53,'Инвест политика'!$A$26:$H$130,8,FALSE)</f>
        <v>BB-</v>
      </c>
      <c r="H53" s="180">
        <f t="shared" si="0"/>
        <v>2</v>
      </c>
    </row>
    <row r="54" spans="1:8" x14ac:dyDescent="0.25">
      <c r="A54" s="177" t="str">
        <f>'Инвест политика'!A77</f>
        <v>RU000A1023H7</v>
      </c>
      <c r="B54" t="s">
        <v>387</v>
      </c>
      <c r="C54">
        <v>1.905</v>
      </c>
      <c r="D54">
        <v>7000000000</v>
      </c>
      <c r="E54" t="s">
        <v>375</v>
      </c>
      <c r="G54" s="180" t="str">
        <f>VLOOKUP(A54,'Инвест политика'!$A$26:$H$130,8,FALSE)</f>
        <v>A-</v>
      </c>
      <c r="H54" s="180">
        <f t="shared" si="0"/>
        <v>4</v>
      </c>
    </row>
    <row r="55" spans="1:8" x14ac:dyDescent="0.25">
      <c r="A55" s="177" t="str">
        <f>'Инвест политика'!A78</f>
        <v>RU000A102FS1</v>
      </c>
      <c r="B55" t="s">
        <v>388</v>
      </c>
      <c r="C55">
        <v>1.7810000000000001</v>
      </c>
      <c r="D55">
        <v>5000000000</v>
      </c>
      <c r="E55" t="s">
        <v>375</v>
      </c>
      <c r="F55">
        <v>8</v>
      </c>
      <c r="G55" s="180" t="str">
        <f>VLOOKUP(A55,'Инвест политика'!$A$26:$H$130,8,FALSE)</f>
        <v>BB-</v>
      </c>
      <c r="H55" s="180">
        <f t="shared" si="0"/>
        <v>2</v>
      </c>
    </row>
    <row r="56" spans="1:8" x14ac:dyDescent="0.25">
      <c r="A56" s="177" t="str">
        <f>'Инвест политика'!A79</f>
        <v>RU000A102GY7</v>
      </c>
      <c r="B56" t="s">
        <v>389</v>
      </c>
      <c r="C56">
        <v>2.4329999999999998</v>
      </c>
      <c r="D56">
        <v>4000000000</v>
      </c>
      <c r="E56" t="s">
        <v>375</v>
      </c>
      <c r="F56">
        <v>7</v>
      </c>
      <c r="G56" s="180" t="str">
        <f>VLOOKUP(A56,'Инвест политика'!$A$26:$H$130,8,FALSE)</f>
        <v>BB</v>
      </c>
      <c r="H56" s="180">
        <f t="shared" si="0"/>
        <v>3</v>
      </c>
    </row>
    <row r="57" spans="1:8" x14ac:dyDescent="0.25">
      <c r="A57" s="177" t="str">
        <f>'Инвест политика'!A80</f>
        <v>RU000A102RF3</v>
      </c>
      <c r="B57" t="s">
        <v>458</v>
      </c>
      <c r="C57">
        <v>2.5470000000000002</v>
      </c>
      <c r="D57">
        <v>5000000000</v>
      </c>
      <c r="E57" t="s">
        <v>375</v>
      </c>
      <c r="F57">
        <v>7</v>
      </c>
      <c r="G57" s="180" t="str">
        <f>VLOOKUP(A57,'Инвест политика'!$A$26:$H$130,8,FALSE)</f>
        <v>BB-</v>
      </c>
      <c r="H57" s="180">
        <f t="shared" si="0"/>
        <v>2</v>
      </c>
    </row>
    <row r="58" spans="1:8" x14ac:dyDescent="0.25">
      <c r="A58" s="177" t="str">
        <f>'Инвест политика'!A81</f>
        <v>RU000A102SV8</v>
      </c>
      <c r="B58" t="s">
        <v>658</v>
      </c>
      <c r="C58">
        <v>7.1340000000000003</v>
      </c>
      <c r="D58">
        <v>5000000000</v>
      </c>
      <c r="E58" t="s">
        <v>375</v>
      </c>
      <c r="F58">
        <v>8</v>
      </c>
      <c r="G58" s="180" t="str">
        <f>VLOOKUP(A58,'Инвест политика'!$A$26:$H$130,8,FALSE)</f>
        <v>BB-</v>
      </c>
      <c r="H58" s="180">
        <f t="shared" si="0"/>
        <v>2</v>
      </c>
    </row>
    <row r="59" spans="1:8" x14ac:dyDescent="0.25">
      <c r="A59" s="177" t="str">
        <f>'Инвест политика'!A82</f>
        <v>RU000A0JW1P8</v>
      </c>
      <c r="B59" t="s">
        <v>390</v>
      </c>
      <c r="C59">
        <v>1.585</v>
      </c>
      <c r="D59">
        <v>4000000000</v>
      </c>
      <c r="E59" t="s">
        <v>375</v>
      </c>
      <c r="F59">
        <v>8</v>
      </c>
      <c r="G59" s="180" t="str">
        <f>VLOOKUP(A59,'Инвест политика'!$A$26:$H$130,8,FALSE)</f>
        <v>BB+</v>
      </c>
      <c r="H59" s="180">
        <f t="shared" si="0"/>
        <v>1</v>
      </c>
    </row>
    <row r="60" spans="1:8" x14ac:dyDescent="0.25">
      <c r="A60" s="177" t="str">
        <f>'Инвест политика'!A83</f>
        <v>RU000A0JV508</v>
      </c>
      <c r="B60" t="s">
        <v>376</v>
      </c>
      <c r="C60">
        <v>8.7270000000000003</v>
      </c>
      <c r="D60">
        <v>147163642.56</v>
      </c>
      <c r="E60" t="s">
        <v>375</v>
      </c>
      <c r="G60" s="180" t="str">
        <f>VLOOKUP(A60,'Инвест политика'!$A$26:$H$130,8,FALSE)</f>
        <v>BBB-</v>
      </c>
      <c r="H60" s="180">
        <f t="shared" si="0"/>
        <v>4</v>
      </c>
    </row>
    <row r="61" spans="1:8" x14ac:dyDescent="0.25">
      <c r="A61" s="177" t="str">
        <f>'Инвест политика'!A84</f>
        <v>RU000A0JWV63</v>
      </c>
      <c r="B61" t="s">
        <v>377</v>
      </c>
      <c r="C61">
        <v>4.0910000000000002</v>
      </c>
      <c r="D61">
        <v>5000000000</v>
      </c>
      <c r="E61" t="s">
        <v>375</v>
      </c>
      <c r="F61">
        <v>7</v>
      </c>
      <c r="G61" s="180" t="str">
        <f>VLOOKUP(A61,'Инвест политика'!$A$26:$H$130,8,FALSE)</f>
        <v>BB+</v>
      </c>
      <c r="H61" s="180">
        <f t="shared" si="0"/>
        <v>2</v>
      </c>
    </row>
    <row r="62" spans="1:8" x14ac:dyDescent="0.25">
      <c r="A62" s="177" t="str">
        <f>'Инвест политика'!A85</f>
        <v>RU000A0ZYNY4</v>
      </c>
      <c r="B62" t="s">
        <v>659</v>
      </c>
      <c r="C62">
        <v>8.5400000000000009</v>
      </c>
      <c r="D62">
        <v>10000000000</v>
      </c>
      <c r="E62" t="s">
        <v>375</v>
      </c>
      <c r="F62">
        <v>8</v>
      </c>
      <c r="G62" s="180" t="str">
        <f>VLOOKUP(A62,'Инвест политика'!$A$26:$H$130,8,FALSE)</f>
        <v>BB+</v>
      </c>
      <c r="H62" s="180">
        <f t="shared" si="0"/>
        <v>1</v>
      </c>
    </row>
    <row r="63" spans="1:8" x14ac:dyDescent="0.25">
      <c r="A63" s="177" t="str">
        <f>'Инвест политика'!A86</f>
        <v>RU000A0ZYR91</v>
      </c>
      <c r="B63" t="s">
        <v>428</v>
      </c>
      <c r="C63">
        <v>8.4930000000000003</v>
      </c>
      <c r="D63">
        <v>10000000000</v>
      </c>
      <c r="E63" t="s">
        <v>375</v>
      </c>
      <c r="F63">
        <v>9</v>
      </c>
      <c r="G63" s="180" t="str">
        <f>VLOOKUP(A63,'Инвест политика'!$A$26:$H$130,8,FALSE)</f>
        <v>BB+</v>
      </c>
      <c r="H63" s="180">
        <f t="shared" si="0"/>
        <v>1</v>
      </c>
    </row>
    <row r="64" spans="1:8" x14ac:dyDescent="0.25">
      <c r="A64" s="177" t="str">
        <f>'Инвест политика'!A87</f>
        <v>RU000A0JVUK8</v>
      </c>
      <c r="B64" t="s">
        <v>378</v>
      </c>
      <c r="C64">
        <v>0.93800000000000006</v>
      </c>
      <c r="D64">
        <v>5000000000</v>
      </c>
      <c r="E64" t="s">
        <v>375</v>
      </c>
      <c r="F64">
        <v>9</v>
      </c>
      <c r="G64" s="180" t="str">
        <f>VLOOKUP(A64,'Инвест политика'!$A$26:$H$130,8,FALSE)</f>
        <v>BB-</v>
      </c>
      <c r="H64" s="180">
        <f t="shared" si="0"/>
        <v>2</v>
      </c>
    </row>
    <row r="65" spans="1:8" x14ac:dyDescent="0.25">
      <c r="A65" s="177" t="str">
        <f>'Инвест политика'!A88</f>
        <v>RU000A0ZZ1J8</v>
      </c>
      <c r="B65" t="s">
        <v>391</v>
      </c>
      <c r="C65">
        <v>8.0020000000000007</v>
      </c>
      <c r="D65">
        <v>10000000000</v>
      </c>
      <c r="E65" t="s">
        <v>375</v>
      </c>
      <c r="F65">
        <v>9</v>
      </c>
      <c r="G65" s="180" t="str">
        <f>VLOOKUP(A65,'Инвест политика'!$A$26:$H$130,8,FALSE)</f>
        <v>BB+</v>
      </c>
      <c r="H65" s="180">
        <f t="shared" si="0"/>
        <v>1</v>
      </c>
    </row>
    <row r="66" spans="1:8" x14ac:dyDescent="0.25">
      <c r="A66" s="177" t="str">
        <f>'Инвест политика'!A89</f>
        <v>RU000A0ZZAW2</v>
      </c>
      <c r="B66" t="s">
        <v>392</v>
      </c>
      <c r="C66">
        <v>0.17</v>
      </c>
      <c r="D66">
        <v>6000000000</v>
      </c>
      <c r="E66" t="s">
        <v>375</v>
      </c>
      <c r="F66">
        <v>9</v>
      </c>
      <c r="G66" s="180" t="str">
        <f>VLOOKUP(A66,'Инвест политика'!$A$26:$H$130,8,FALSE)</f>
        <v>BB-</v>
      </c>
      <c r="H66" s="180">
        <f t="shared" si="0"/>
        <v>2</v>
      </c>
    </row>
    <row r="67" spans="1:8" x14ac:dyDescent="0.25">
      <c r="A67" s="177" t="str">
        <f>'Инвест политика'!A90</f>
        <v>RU000A0JWYQ5</v>
      </c>
      <c r="B67" t="s">
        <v>379</v>
      </c>
      <c r="C67">
        <v>4.5979999999999999</v>
      </c>
      <c r="D67">
        <v>6500000000</v>
      </c>
      <c r="E67" t="s">
        <v>375</v>
      </c>
      <c r="F67">
        <v>9</v>
      </c>
      <c r="G67" s="180" t="str">
        <f>VLOOKUP(A67,'Инвест политика'!$A$26:$H$130,8,FALSE)</f>
        <v>BB-</v>
      </c>
      <c r="H67" s="180">
        <f t="shared" si="0"/>
        <v>2</v>
      </c>
    </row>
    <row r="68" spans="1:8" x14ac:dyDescent="0.25">
      <c r="A68" s="177" t="str">
        <f>'Инвест политика'!A91</f>
        <v>RU000A0JVA10</v>
      </c>
      <c r="B68" t="s">
        <v>393</v>
      </c>
      <c r="C68">
        <v>2.1819999999999999</v>
      </c>
      <c r="D68">
        <v>5000000000</v>
      </c>
      <c r="E68" t="s">
        <v>375</v>
      </c>
      <c r="F68">
        <v>8</v>
      </c>
      <c r="G68" s="180" t="str">
        <f>VLOOKUP(A68,'Инвест политика'!$A$26:$H$130,8,FALSE)</f>
        <v>BB+</v>
      </c>
      <c r="H68" s="180">
        <f t="shared" ref="H68:H131" si="1">Эшелонирование(F68,G68,C68)</f>
        <v>1</v>
      </c>
    </row>
    <row r="69" spans="1:8" x14ac:dyDescent="0.25">
      <c r="A69" s="177" t="str">
        <f>'Инвест политика'!A92</f>
        <v>RU000A0JWPA7</v>
      </c>
      <c r="B69" t="s">
        <v>394</v>
      </c>
      <c r="C69">
        <v>0.27100000000000002</v>
      </c>
      <c r="D69">
        <v>7000000000</v>
      </c>
      <c r="E69" t="s">
        <v>375</v>
      </c>
      <c r="F69">
        <v>8</v>
      </c>
      <c r="G69" s="180" t="str">
        <f>VLOOKUP(A69,'Инвест политика'!$A$26:$H$130,8,FALSE)</f>
        <v>BB+</v>
      </c>
      <c r="H69" s="180">
        <f t="shared" si="1"/>
        <v>1</v>
      </c>
    </row>
    <row r="70" spans="1:8" x14ac:dyDescent="0.25">
      <c r="A70" s="177" t="str">
        <f>'Инвест политика'!A93</f>
        <v>RU000A0JVVA7</v>
      </c>
      <c r="B70" t="s">
        <v>395</v>
      </c>
      <c r="C70">
        <v>1.391</v>
      </c>
      <c r="D70">
        <v>9000000000</v>
      </c>
      <c r="E70" t="s">
        <v>375</v>
      </c>
      <c r="F70">
        <v>8</v>
      </c>
      <c r="G70" s="180" t="str">
        <f>VLOOKUP(A70,'Инвест политика'!$A$26:$H$130,8,FALSE)</f>
        <v>BBB</v>
      </c>
      <c r="H70" s="180">
        <f t="shared" si="1"/>
        <v>1</v>
      </c>
    </row>
    <row r="71" spans="1:8" x14ac:dyDescent="0.25">
      <c r="A71" s="177" t="str">
        <f>'Инвест политика'!A94</f>
        <v>RU000A0JTVJ2</v>
      </c>
      <c r="B71" t="s">
        <v>396</v>
      </c>
      <c r="C71">
        <v>0.95800000000000007</v>
      </c>
      <c r="D71">
        <v>10000000000</v>
      </c>
      <c r="E71" t="s">
        <v>375</v>
      </c>
      <c r="F71">
        <v>8</v>
      </c>
      <c r="G71" s="180" t="str">
        <f>VLOOKUP(A71,'Инвест политика'!$A$26:$H$130,8,FALSE)</f>
        <v>BB+</v>
      </c>
      <c r="H71" s="180">
        <f t="shared" si="1"/>
        <v>1</v>
      </c>
    </row>
    <row r="72" spans="1:8" x14ac:dyDescent="0.25">
      <c r="A72" s="177" t="str">
        <f>'Инвест политика'!A95</f>
        <v>RU000A100VX2</v>
      </c>
      <c r="B72" t="s">
        <v>397</v>
      </c>
      <c r="C72">
        <v>6.306</v>
      </c>
      <c r="D72">
        <v>7000000000</v>
      </c>
      <c r="E72" t="s">
        <v>375</v>
      </c>
      <c r="F72">
        <v>7</v>
      </c>
      <c r="G72" s="180" t="str">
        <f>VLOOKUP(A72,'Инвест политика'!$A$26:$H$130,8,FALSE)</f>
        <v>BBB-</v>
      </c>
      <c r="H72" s="180">
        <f t="shared" si="1"/>
        <v>2</v>
      </c>
    </row>
    <row r="73" spans="1:8" x14ac:dyDescent="0.25">
      <c r="A73" s="177" t="str">
        <f>'Инвест политика'!A96</f>
        <v>RU000A1008V9</v>
      </c>
      <c r="B73" t="s">
        <v>398</v>
      </c>
      <c r="C73">
        <v>0</v>
      </c>
      <c r="D73">
        <v>13400000000</v>
      </c>
      <c r="E73" t="s">
        <v>375</v>
      </c>
      <c r="F73">
        <v>8</v>
      </c>
      <c r="G73" s="180" t="str">
        <f>VLOOKUP(A73,'Инвест политика'!$A$26:$H$130,8,FALSE)</f>
        <v>BBB</v>
      </c>
      <c r="H73" s="180">
        <f t="shared" si="1"/>
        <v>2</v>
      </c>
    </row>
    <row r="74" spans="1:8" x14ac:dyDescent="0.25">
      <c r="A74" s="177" t="str">
        <f>'Инвест политика'!A97</f>
        <v>RU000A0JXVE5</v>
      </c>
      <c r="B74" t="s">
        <v>381</v>
      </c>
      <c r="C74">
        <v>1.141</v>
      </c>
      <c r="D74">
        <v>20000000000</v>
      </c>
      <c r="E74" t="s">
        <v>375</v>
      </c>
      <c r="F74">
        <v>9</v>
      </c>
      <c r="G74" s="180" t="str">
        <f>VLOOKUP(A74,'Инвест политика'!$A$26:$H$130,8,FALSE)</f>
        <v>BB+</v>
      </c>
      <c r="H74" s="180">
        <f t="shared" si="1"/>
        <v>1</v>
      </c>
    </row>
    <row r="75" spans="1:8" x14ac:dyDescent="0.25">
      <c r="A75" s="177" t="str">
        <f>'Инвест политика'!A98</f>
        <v>RU000A101D13</v>
      </c>
      <c r="B75" t="s">
        <v>399</v>
      </c>
      <c r="C75">
        <v>1.665</v>
      </c>
      <c r="D75">
        <v>10000000000</v>
      </c>
      <c r="E75" t="s">
        <v>375</v>
      </c>
      <c r="F75">
        <v>8</v>
      </c>
      <c r="G75" s="180" t="str">
        <f>VLOOKUP(A75,'Инвест политика'!$A$26:$H$130,8,FALSE)</f>
        <v>BB-</v>
      </c>
      <c r="H75" s="180">
        <f t="shared" si="1"/>
        <v>2</v>
      </c>
    </row>
    <row r="76" spans="1:8" x14ac:dyDescent="0.25">
      <c r="A76" s="177" t="str">
        <f>'Инвест политика'!A99</f>
        <v>RU000A0JX1S1</v>
      </c>
      <c r="B76" t="s">
        <v>400</v>
      </c>
      <c r="C76">
        <v>1.5489999999999999</v>
      </c>
      <c r="D76">
        <v>15000000000</v>
      </c>
      <c r="E76" t="s">
        <v>375</v>
      </c>
      <c r="F76">
        <v>9</v>
      </c>
      <c r="G76" s="180" t="str">
        <f>VLOOKUP(A76,'Инвест политика'!$A$26:$H$130,8,FALSE)</f>
        <v>BBB</v>
      </c>
      <c r="H76" s="180">
        <f t="shared" si="1"/>
        <v>1</v>
      </c>
    </row>
    <row r="77" spans="1:8" x14ac:dyDescent="0.25">
      <c r="A77" s="177" t="str">
        <f>'Инвест политика'!A100</f>
        <v>RU000A101KK0</v>
      </c>
      <c r="B77" t="s">
        <v>401</v>
      </c>
      <c r="C77">
        <v>2.665</v>
      </c>
      <c r="D77">
        <v>6500000000</v>
      </c>
      <c r="E77" t="s">
        <v>375</v>
      </c>
      <c r="F77">
        <v>8</v>
      </c>
      <c r="G77" s="180" t="str">
        <f>VLOOKUP(A77,'Инвест политика'!$A$26:$H$130,8,FALSE)</f>
        <v>BBB</v>
      </c>
      <c r="H77" s="180">
        <f t="shared" si="1"/>
        <v>1</v>
      </c>
    </row>
    <row r="78" spans="1:8" x14ac:dyDescent="0.25">
      <c r="A78" s="177" t="str">
        <f>'Инвест политика'!A101</f>
        <v>XS1946883342</v>
      </c>
      <c r="B78" t="s">
        <v>402</v>
      </c>
      <c r="C78">
        <v>1.222</v>
      </c>
      <c r="D78">
        <v>10000000000</v>
      </c>
      <c r="E78" t="s">
        <v>375</v>
      </c>
      <c r="F78">
        <v>8</v>
      </c>
      <c r="G78" s="180" t="str">
        <f>VLOOKUP(A78,'Инвест политика'!$A$26:$H$130,8,FALSE)</f>
        <v>BB+</v>
      </c>
      <c r="H78" s="180">
        <f t="shared" si="1"/>
        <v>1</v>
      </c>
    </row>
    <row r="79" spans="1:8" x14ac:dyDescent="0.25">
      <c r="A79" s="177" t="str">
        <f>'Инвест политика'!A102</f>
        <v>RU000A101MZ4</v>
      </c>
      <c r="B79" t="s">
        <v>384</v>
      </c>
      <c r="C79">
        <v>1.923</v>
      </c>
      <c r="D79">
        <v>7000000000</v>
      </c>
      <c r="E79" t="s">
        <v>375</v>
      </c>
      <c r="F79">
        <v>7</v>
      </c>
      <c r="G79" s="180" t="str">
        <f>VLOOKUP(A79,'Инвест политика'!$A$26:$H$130,8,FALSE)</f>
        <v>A-</v>
      </c>
      <c r="H79" s="180">
        <f t="shared" si="1"/>
        <v>3</v>
      </c>
    </row>
    <row r="80" spans="1:8" x14ac:dyDescent="0.25">
      <c r="A80" s="177" t="str">
        <f>'Инвест политика'!A103</f>
        <v>RU000A101S81</v>
      </c>
      <c r="B80" t="s">
        <v>403</v>
      </c>
      <c r="C80">
        <v>6.8689999999999998</v>
      </c>
      <c r="D80">
        <v>10000000000</v>
      </c>
      <c r="E80" t="s">
        <v>375</v>
      </c>
      <c r="F80">
        <v>8</v>
      </c>
      <c r="G80" s="180" t="str">
        <f>VLOOKUP(A80,'Инвест политика'!$A$26:$H$130,8,FALSE)</f>
        <v>B+</v>
      </c>
      <c r="H80" s="180">
        <f t="shared" si="1"/>
        <v>2</v>
      </c>
    </row>
    <row r="81" spans="1:8" x14ac:dyDescent="0.25">
      <c r="A81" s="177" t="str">
        <f>'Инвест политика'!A104</f>
        <v>RU000A0ZZZN8</v>
      </c>
      <c r="B81" t="s">
        <v>385</v>
      </c>
      <c r="C81">
        <v>0.64700000000000002</v>
      </c>
      <c r="D81">
        <v>1650000000</v>
      </c>
      <c r="E81" t="s">
        <v>375</v>
      </c>
      <c r="F81">
        <v>8</v>
      </c>
      <c r="G81" s="180" t="str">
        <f>VLOOKUP(A81,'Инвест политика'!$A$26:$H$130,8,FALSE)</f>
        <v>BB+</v>
      </c>
      <c r="H81" s="180">
        <f t="shared" si="1"/>
        <v>1</v>
      </c>
    </row>
    <row r="82" spans="1:8" x14ac:dyDescent="0.25">
      <c r="A82" s="177" t="str">
        <f>'Инвест политика'!A105</f>
        <v>XS1691350455</v>
      </c>
      <c r="B82" t="s">
        <v>404</v>
      </c>
      <c r="C82">
        <v>1.143</v>
      </c>
      <c r="D82">
        <v>20000000000</v>
      </c>
      <c r="E82" t="s">
        <v>375</v>
      </c>
      <c r="F82">
        <v>10</v>
      </c>
      <c r="G82" s="180" t="str">
        <f>VLOOKUP(A82,'Инвест политика'!$A$26:$H$130,8,FALSE)</f>
        <v>BBB-</v>
      </c>
      <c r="H82" s="180">
        <f t="shared" si="1"/>
        <v>1</v>
      </c>
    </row>
    <row r="83" spans="1:8" x14ac:dyDescent="0.25">
      <c r="A83" s="177" t="str">
        <f>'Инвест политика'!A106</f>
        <v>RU000A0JTLJ3</v>
      </c>
      <c r="B83" t="s">
        <v>405</v>
      </c>
      <c r="C83">
        <v>1.657</v>
      </c>
      <c r="D83">
        <v>5000000000</v>
      </c>
      <c r="E83" t="s">
        <v>375</v>
      </c>
      <c r="F83">
        <v>7</v>
      </c>
      <c r="G83" s="180" t="str">
        <f>VLOOKUP(A83,'Инвест политика'!$A$26:$H$130,8,FALSE)</f>
        <v>BB+</v>
      </c>
      <c r="H83" s="180">
        <f t="shared" si="1"/>
        <v>2</v>
      </c>
    </row>
    <row r="84" spans="1:8" x14ac:dyDescent="0.25">
      <c r="A84" s="177" t="str">
        <f>'Инвест политика'!A107</f>
        <v>RU000A0JTLL9</v>
      </c>
      <c r="B84" t="s">
        <v>405</v>
      </c>
      <c r="C84">
        <v>1.6580000000000001</v>
      </c>
      <c r="D84">
        <v>5000000000</v>
      </c>
      <c r="E84" t="s">
        <v>375</v>
      </c>
      <c r="F84">
        <v>7</v>
      </c>
      <c r="G84" s="180" t="str">
        <f>VLOOKUP(A84,'Инвест политика'!$A$26:$H$130,8,FALSE)</f>
        <v>BB+</v>
      </c>
      <c r="H84" s="180">
        <f t="shared" si="1"/>
        <v>2</v>
      </c>
    </row>
    <row r="85" spans="1:8" x14ac:dyDescent="0.25">
      <c r="A85" s="177" t="str">
        <f>'Инвест политика'!A108</f>
        <v>RU000A0JRMB2</v>
      </c>
      <c r="B85" t="s">
        <v>660</v>
      </c>
      <c r="C85">
        <v>0.192</v>
      </c>
      <c r="D85">
        <v>5000000000</v>
      </c>
      <c r="E85" t="s">
        <v>375</v>
      </c>
      <c r="F85">
        <v>8</v>
      </c>
      <c r="G85" s="180" t="str">
        <f>VLOOKUP(A85,'Инвест политика'!$A$26:$H$130,8,FALSE)</f>
        <v>BB+</v>
      </c>
      <c r="H85" s="180">
        <f t="shared" si="1"/>
        <v>1</v>
      </c>
    </row>
    <row r="86" spans="1:8" x14ac:dyDescent="0.25">
      <c r="A86" s="177" t="str">
        <f>'Инвест политика'!A109</f>
        <v>RU000A0JRL96</v>
      </c>
      <c r="B86" t="s">
        <v>661</v>
      </c>
      <c r="C86">
        <v>0.17</v>
      </c>
      <c r="D86">
        <v>10000000000</v>
      </c>
      <c r="E86" t="s">
        <v>375</v>
      </c>
      <c r="F86">
        <v>8</v>
      </c>
      <c r="G86" s="180" t="str">
        <f>VLOOKUP(A86,'Инвест политика'!$A$26:$H$130,8,FALSE)</f>
        <v>BBB-</v>
      </c>
      <c r="H86" s="180">
        <f t="shared" si="1"/>
        <v>1</v>
      </c>
    </row>
    <row r="87" spans="1:8" x14ac:dyDescent="0.25">
      <c r="A87" s="177" t="str">
        <f>'Инвест политика'!A110</f>
        <v>RU000A0ZYZ26</v>
      </c>
      <c r="B87" t="s">
        <v>406</v>
      </c>
      <c r="C87">
        <v>6.2460000000000004</v>
      </c>
      <c r="D87">
        <v>276950000000</v>
      </c>
      <c r="E87" t="s">
        <v>375</v>
      </c>
      <c r="F87">
        <v>8</v>
      </c>
      <c r="G87" s="180" t="str">
        <f>VLOOKUP(A87,'Инвест политика'!$A$26:$H$130,8,FALSE)</f>
        <v>BBB-</v>
      </c>
      <c r="H87" s="180">
        <f t="shared" si="1"/>
        <v>1</v>
      </c>
    </row>
    <row r="88" spans="1:8" x14ac:dyDescent="0.25">
      <c r="A88" s="177" t="str">
        <f>'Инвест политика'!A111</f>
        <v>RU000A1007F4</v>
      </c>
      <c r="B88" t="s">
        <v>408</v>
      </c>
      <c r="C88">
        <v>2.8970000000000002</v>
      </c>
      <c r="D88">
        <v>400000000000</v>
      </c>
      <c r="E88" t="s">
        <v>375</v>
      </c>
      <c r="F88">
        <v>9</v>
      </c>
      <c r="G88" s="180" t="str">
        <f>VLOOKUP(A88,'Инвест политика'!$A$26:$H$130,8,FALSE)</f>
        <v>BBB-</v>
      </c>
      <c r="H88" s="180">
        <f t="shared" si="1"/>
        <v>1</v>
      </c>
    </row>
    <row r="89" spans="1:8" x14ac:dyDescent="0.25">
      <c r="A89" s="177" t="str">
        <f>'Инвест политика'!A112</f>
        <v>RU000A100EG3</v>
      </c>
      <c r="B89" t="s">
        <v>409</v>
      </c>
      <c r="C89">
        <v>3.87</v>
      </c>
      <c r="D89">
        <v>450000000000</v>
      </c>
      <c r="E89" t="s">
        <v>375</v>
      </c>
      <c r="F89">
        <v>10</v>
      </c>
      <c r="G89" s="180" t="str">
        <f>VLOOKUP(A89,'Инвест политика'!$A$26:$H$130,8,FALSE)</f>
        <v>BBB-</v>
      </c>
      <c r="H89" s="180">
        <f t="shared" si="1"/>
        <v>1</v>
      </c>
    </row>
    <row r="90" spans="1:8" x14ac:dyDescent="0.25">
      <c r="A90" s="177" t="str">
        <f>'Инвест политика'!A113</f>
        <v>RU000A1014N4</v>
      </c>
      <c r="B90" t="s">
        <v>410</v>
      </c>
      <c r="C90">
        <v>5.4190000000000005</v>
      </c>
      <c r="D90">
        <v>450000000000</v>
      </c>
      <c r="E90" t="s">
        <v>375</v>
      </c>
      <c r="F90">
        <v>9</v>
      </c>
      <c r="G90" s="180" t="str">
        <f>VLOOKUP(A90,'Инвест политика'!$A$26:$H$130,8,FALSE)</f>
        <v>BBB-</v>
      </c>
      <c r="H90" s="180">
        <f t="shared" si="1"/>
        <v>1</v>
      </c>
    </row>
    <row r="91" spans="1:8" x14ac:dyDescent="0.25">
      <c r="A91" s="177" t="str">
        <f>'Инвест политика'!A114</f>
        <v>RU000A0JS3W6</v>
      </c>
      <c r="B91" t="s">
        <v>411</v>
      </c>
      <c r="C91">
        <v>4.702</v>
      </c>
      <c r="D91">
        <v>350000000000</v>
      </c>
      <c r="E91" t="s">
        <v>375</v>
      </c>
      <c r="F91">
        <v>10</v>
      </c>
      <c r="G91" s="180" t="str">
        <f>VLOOKUP(A91,'Инвест политика'!$A$26:$H$130,8,FALSE)</f>
        <v>BBB-</v>
      </c>
      <c r="H91" s="180">
        <f t="shared" si="1"/>
        <v>1</v>
      </c>
    </row>
    <row r="92" spans="1:8" x14ac:dyDescent="0.25">
      <c r="A92" s="177" t="str">
        <f>'Инвест политика'!A115</f>
        <v>RU000A0JWM07</v>
      </c>
      <c r="B92" t="s">
        <v>412</v>
      </c>
      <c r="C92">
        <v>4.516</v>
      </c>
      <c r="D92">
        <v>350000000000</v>
      </c>
      <c r="E92" t="s">
        <v>375</v>
      </c>
      <c r="F92">
        <v>10</v>
      </c>
      <c r="G92" s="180" t="str">
        <f>VLOOKUP(A92,'Инвест политика'!$A$26:$H$130,8,FALSE)</f>
        <v>BBB-</v>
      </c>
      <c r="H92" s="180">
        <f t="shared" si="1"/>
        <v>1</v>
      </c>
    </row>
    <row r="93" spans="1:8" x14ac:dyDescent="0.25">
      <c r="A93" s="177" t="str">
        <f>'Инвест политика'!A116</f>
        <v>RU000A0JV4M0</v>
      </c>
      <c r="B93" t="s">
        <v>459</v>
      </c>
      <c r="C93">
        <v>5.08</v>
      </c>
      <c r="D93">
        <v>190287001000</v>
      </c>
      <c r="E93" t="s">
        <v>375</v>
      </c>
      <c r="F93">
        <v>9</v>
      </c>
      <c r="G93" s="180" t="str">
        <f>VLOOKUP(A93,'Инвест политика'!$A$26:$H$130,8,FALSE)</f>
        <v>BBB-</v>
      </c>
      <c r="H93" s="180">
        <f t="shared" si="1"/>
        <v>1</v>
      </c>
    </row>
    <row r="94" spans="1:8" x14ac:dyDescent="0.25">
      <c r="A94" s="177" t="str">
        <f>'Инвест политика'!A117</f>
        <v>BANEP</v>
      </c>
      <c r="B94" t="s">
        <v>418</v>
      </c>
      <c r="C94" t="s">
        <v>423</v>
      </c>
      <c r="D94" t="s">
        <v>420</v>
      </c>
      <c r="E94" t="s">
        <v>421</v>
      </c>
      <c r="F94" t="s">
        <v>422</v>
      </c>
      <c r="G94" s="180">
        <f>VLOOKUP(A94,'Инвест политика'!$A$26:$H$130,8,FALSE)</f>
        <v>0</v>
      </c>
      <c r="H94" s="180" t="str">
        <f t="shared" si="1"/>
        <v>Ошибка, не численные значения</v>
      </c>
    </row>
    <row r="95" spans="1:8" x14ac:dyDescent="0.25">
      <c r="A95" s="177" t="str">
        <f>'Инвест политика'!A118</f>
        <v>TRNFP</v>
      </c>
      <c r="B95" t="s">
        <v>418</v>
      </c>
      <c r="C95" t="s">
        <v>423</v>
      </c>
      <c r="D95" t="s">
        <v>420</v>
      </c>
      <c r="E95" t="s">
        <v>421</v>
      </c>
      <c r="F95" t="s">
        <v>422</v>
      </c>
      <c r="G95" s="180">
        <f>VLOOKUP(A95,'Инвест политика'!$A$26:$H$130,8,FALSE)</f>
        <v>0</v>
      </c>
      <c r="H95" s="180" t="str">
        <f t="shared" si="1"/>
        <v>Ошибка, не численные значения</v>
      </c>
    </row>
    <row r="96" spans="1:8" x14ac:dyDescent="0.25">
      <c r="A96" s="177" t="str">
        <f>'Инвест политика'!A119</f>
        <v>RU000A102CL3</v>
      </c>
      <c r="B96" t="s">
        <v>413</v>
      </c>
      <c r="C96">
        <v>10.434000000000001</v>
      </c>
      <c r="D96">
        <v>1250000000</v>
      </c>
      <c r="E96" t="s">
        <v>352</v>
      </c>
      <c r="F96">
        <v>8</v>
      </c>
      <c r="G96" s="180" t="str">
        <f>VLOOKUP(A96,'Инвест политика'!$A$26:$H$130,8,FALSE)</f>
        <v>BBB-</v>
      </c>
      <c r="H96" s="180">
        <f t="shared" si="1"/>
        <v>1</v>
      </c>
    </row>
    <row r="97" spans="1:8" x14ac:dyDescent="0.25">
      <c r="A97" s="177">
        <f>'Инвест политика'!A120</f>
        <v>0</v>
      </c>
      <c r="B97" t="s">
        <v>429</v>
      </c>
      <c r="C97" t="s">
        <v>423</v>
      </c>
      <c r="D97">
        <v>0</v>
      </c>
      <c r="E97" t="s">
        <v>375</v>
      </c>
      <c r="F97" t="s">
        <v>425</v>
      </c>
      <c r="G97" s="180" t="e">
        <f>VLOOKUP(A97,'Инвест политика'!$A$26:$H$130,8,FALSE)</f>
        <v>#N/A</v>
      </c>
      <c r="H97" s="180" t="str">
        <f t="shared" si="1"/>
        <v>Ошибка, не численные значения</v>
      </c>
    </row>
    <row r="98" spans="1:8" x14ac:dyDescent="0.25">
      <c r="A98" s="177">
        <f>'Инвест политика'!A121</f>
        <v>0</v>
      </c>
      <c r="B98" t="s">
        <v>429</v>
      </c>
      <c r="C98" t="s">
        <v>423</v>
      </c>
      <c r="D98">
        <v>0</v>
      </c>
      <c r="E98" t="s">
        <v>375</v>
      </c>
      <c r="F98" t="s">
        <v>425</v>
      </c>
      <c r="G98" s="180" t="e">
        <f>VLOOKUP(A98,'Инвест политика'!$A$26:$H$130,8,FALSE)</f>
        <v>#N/A</v>
      </c>
      <c r="H98" s="180" t="str">
        <f t="shared" si="1"/>
        <v>Ошибка, не численные значения</v>
      </c>
    </row>
    <row r="99" spans="1:8" x14ac:dyDescent="0.25">
      <c r="A99" s="177">
        <f>'Инвест политика'!A122</f>
        <v>0</v>
      </c>
      <c r="B99" t="s">
        <v>429</v>
      </c>
      <c r="C99" t="s">
        <v>423</v>
      </c>
      <c r="D99">
        <v>0</v>
      </c>
      <c r="E99" t="s">
        <v>375</v>
      </c>
      <c r="F99" t="s">
        <v>425</v>
      </c>
      <c r="G99" s="180" t="e">
        <f>VLOOKUP(A99,'Инвест политика'!$A$26:$H$130,8,FALSE)</f>
        <v>#N/A</v>
      </c>
      <c r="H99" s="180" t="str">
        <f t="shared" si="1"/>
        <v>Ошибка, не численные значения</v>
      </c>
    </row>
    <row r="100" spans="1:8" x14ac:dyDescent="0.25">
      <c r="A100" s="177">
        <f>'Инвест политика'!A123</f>
        <v>0</v>
      </c>
      <c r="B100" t="s">
        <v>429</v>
      </c>
      <c r="C100" t="s">
        <v>423</v>
      </c>
      <c r="D100">
        <v>0</v>
      </c>
      <c r="E100" t="s">
        <v>375</v>
      </c>
      <c r="F100" t="s">
        <v>425</v>
      </c>
      <c r="G100" s="180" t="e">
        <f>VLOOKUP(A100,'Инвест политика'!$A$26:$H$130,8,FALSE)</f>
        <v>#N/A</v>
      </c>
      <c r="H100" s="180" t="str">
        <f t="shared" si="1"/>
        <v>Ошибка, не численные значения</v>
      </c>
    </row>
    <row r="101" spans="1:8" x14ac:dyDescent="0.25">
      <c r="A101" s="177">
        <f>'Инвест политика'!A124</f>
        <v>0</v>
      </c>
      <c r="B101" t="s">
        <v>429</v>
      </c>
      <c r="C101" t="s">
        <v>423</v>
      </c>
      <c r="D101">
        <v>0</v>
      </c>
      <c r="E101" t="s">
        <v>375</v>
      </c>
      <c r="F101" t="s">
        <v>425</v>
      </c>
      <c r="G101" s="180" t="e">
        <f>VLOOKUP(A101,'Инвест политика'!$A$26:$H$130,8,FALSE)</f>
        <v>#N/A</v>
      </c>
      <c r="H101" s="180" t="str">
        <f t="shared" si="1"/>
        <v>Ошибка, не численные значения</v>
      </c>
    </row>
    <row r="102" spans="1:8" x14ac:dyDescent="0.25">
      <c r="A102" s="177">
        <f>'Инвест политика'!A125</f>
        <v>0</v>
      </c>
      <c r="B102" t="s">
        <v>429</v>
      </c>
      <c r="C102" t="s">
        <v>423</v>
      </c>
      <c r="D102">
        <v>0</v>
      </c>
      <c r="E102" t="s">
        <v>375</v>
      </c>
      <c r="F102" t="s">
        <v>425</v>
      </c>
      <c r="G102" s="180" t="e">
        <f>VLOOKUP(A102,'Инвест политика'!$A$26:$H$130,8,FALSE)</f>
        <v>#N/A</v>
      </c>
      <c r="H102" s="180" t="str">
        <f t="shared" si="1"/>
        <v>Ошибка, не численные значения</v>
      </c>
    </row>
    <row r="103" spans="1:8" x14ac:dyDescent="0.25">
      <c r="A103" s="177">
        <f>'Инвест политика'!A126</f>
        <v>0</v>
      </c>
      <c r="B103" t="s">
        <v>429</v>
      </c>
      <c r="C103" t="s">
        <v>423</v>
      </c>
      <c r="D103">
        <v>0</v>
      </c>
      <c r="E103" t="s">
        <v>375</v>
      </c>
      <c r="F103" t="s">
        <v>425</v>
      </c>
      <c r="G103" s="180" t="e">
        <f>VLOOKUP(A103,'Инвест политика'!$A$26:$H$130,8,FALSE)</f>
        <v>#N/A</v>
      </c>
      <c r="H103" s="180" t="str">
        <f t="shared" si="1"/>
        <v>Ошибка, не численные значения</v>
      </c>
    </row>
    <row r="104" spans="1:8" x14ac:dyDescent="0.25">
      <c r="A104" s="177">
        <f>'Инвест политика'!A127</f>
        <v>0</v>
      </c>
      <c r="B104" t="s">
        <v>429</v>
      </c>
      <c r="C104" t="s">
        <v>423</v>
      </c>
      <c r="D104">
        <v>0</v>
      </c>
      <c r="E104" t="s">
        <v>375</v>
      </c>
      <c r="F104" t="s">
        <v>425</v>
      </c>
      <c r="G104" s="180" t="e">
        <f>VLOOKUP(A104,'Инвест политика'!$A$26:$H$130,8,FALSE)</f>
        <v>#N/A</v>
      </c>
      <c r="H104" s="180" t="str">
        <f t="shared" si="1"/>
        <v>Ошибка, не численные значения</v>
      </c>
    </row>
    <row r="105" spans="1:8" x14ac:dyDescent="0.25">
      <c r="A105" s="177">
        <f>'Инвест политика'!A128</f>
        <v>0</v>
      </c>
      <c r="B105" t="s">
        <v>429</v>
      </c>
      <c r="C105" t="s">
        <v>423</v>
      </c>
      <c r="D105">
        <v>0</v>
      </c>
      <c r="E105" t="s">
        <v>375</v>
      </c>
      <c r="F105" t="s">
        <v>425</v>
      </c>
      <c r="G105" s="180" t="e">
        <f>VLOOKUP(A105,'Инвест политика'!$A$26:$H$130,8,FALSE)</f>
        <v>#N/A</v>
      </c>
      <c r="H105" s="180" t="str">
        <f t="shared" si="1"/>
        <v>Ошибка, не численные значения</v>
      </c>
    </row>
    <row r="106" spans="1:8" x14ac:dyDescent="0.25">
      <c r="A106" s="177">
        <f>'Инвест политика'!A129</f>
        <v>0</v>
      </c>
      <c r="B106" t="s">
        <v>429</v>
      </c>
      <c r="C106" t="s">
        <v>423</v>
      </c>
      <c r="D106">
        <v>0</v>
      </c>
      <c r="E106" t="s">
        <v>375</v>
      </c>
      <c r="F106" t="s">
        <v>425</v>
      </c>
      <c r="G106" s="180" t="e">
        <f>VLOOKUP(A106,'Инвест политика'!$A$26:$H$130,8,FALSE)</f>
        <v>#N/A</v>
      </c>
      <c r="H106" s="180" t="str">
        <f t="shared" si="1"/>
        <v>Ошибка, не численные значения</v>
      </c>
    </row>
    <row r="107" spans="1:8" x14ac:dyDescent="0.25">
      <c r="A107" s="177">
        <f>'Инвест политика'!A130</f>
        <v>0</v>
      </c>
      <c r="B107" t="s">
        <v>429</v>
      </c>
      <c r="C107" t="s">
        <v>423</v>
      </c>
      <c r="D107">
        <v>0</v>
      </c>
      <c r="E107" t="s">
        <v>375</v>
      </c>
      <c r="F107" t="s">
        <v>425</v>
      </c>
      <c r="G107" s="180" t="e">
        <f>VLOOKUP(A107,'Инвест политика'!$A$26:$H$130,8,FALSE)</f>
        <v>#N/A</v>
      </c>
      <c r="H107" s="180" t="str">
        <f t="shared" si="1"/>
        <v>Ошибка, не численные значения</v>
      </c>
    </row>
    <row r="108" spans="1:8" x14ac:dyDescent="0.25">
      <c r="A108" s="177">
        <f>'Инвест политика'!A131</f>
        <v>0</v>
      </c>
      <c r="B108" t="s">
        <v>429</v>
      </c>
      <c r="C108" t="s">
        <v>423</v>
      </c>
      <c r="D108">
        <v>0</v>
      </c>
      <c r="E108" t="s">
        <v>375</v>
      </c>
      <c r="F108" t="s">
        <v>425</v>
      </c>
      <c r="G108" s="180" t="e">
        <f>VLOOKUP(A108,'Инвест политика'!$A$26:$H$130,8,FALSE)</f>
        <v>#N/A</v>
      </c>
      <c r="H108" s="180" t="str">
        <f t="shared" si="1"/>
        <v>Ошибка, не численные значения</v>
      </c>
    </row>
    <row r="109" spans="1:8" x14ac:dyDescent="0.25">
      <c r="A109" s="177">
        <f>'Инвест политика'!A132</f>
        <v>0</v>
      </c>
      <c r="B109" t="s">
        <v>429</v>
      </c>
      <c r="C109" t="s">
        <v>423</v>
      </c>
      <c r="D109">
        <v>0</v>
      </c>
      <c r="E109" t="s">
        <v>375</v>
      </c>
      <c r="F109" t="s">
        <v>425</v>
      </c>
      <c r="G109" s="180" t="e">
        <f>VLOOKUP(A109,'Инвест политика'!$A$26:$H$130,8,FALSE)</f>
        <v>#N/A</v>
      </c>
      <c r="H109" s="180" t="str">
        <f t="shared" si="1"/>
        <v>Ошибка, не численные значения</v>
      </c>
    </row>
    <row r="110" spans="1:8" x14ac:dyDescent="0.25">
      <c r="A110" s="177">
        <f>'Инвест политика'!A133</f>
        <v>0</v>
      </c>
      <c r="B110" t="s">
        <v>429</v>
      </c>
      <c r="C110" t="s">
        <v>423</v>
      </c>
      <c r="D110">
        <v>0</v>
      </c>
      <c r="E110" t="s">
        <v>375</v>
      </c>
      <c r="F110" t="s">
        <v>425</v>
      </c>
      <c r="G110" s="180" t="e">
        <f>VLOOKUP(A110,'Инвест политика'!$A$26:$H$130,8,FALSE)</f>
        <v>#N/A</v>
      </c>
      <c r="H110" s="180" t="str">
        <f t="shared" si="1"/>
        <v>Ошибка, не численные значения</v>
      </c>
    </row>
    <row r="111" spans="1:8" x14ac:dyDescent="0.25">
      <c r="A111" s="177">
        <f>'Инвест политика'!A134</f>
        <v>0</v>
      </c>
      <c r="B111" t="s">
        <v>429</v>
      </c>
      <c r="C111" t="s">
        <v>423</v>
      </c>
      <c r="D111">
        <v>0</v>
      </c>
      <c r="E111" t="s">
        <v>375</v>
      </c>
      <c r="F111" t="s">
        <v>425</v>
      </c>
      <c r="G111" s="180" t="e">
        <f>VLOOKUP(A111,'Инвест политика'!$A$26:$H$130,8,FALSE)</f>
        <v>#N/A</v>
      </c>
      <c r="H111" s="180" t="str">
        <f t="shared" si="1"/>
        <v>Ошибка, не численные значения</v>
      </c>
    </row>
    <row r="112" spans="1:8" x14ac:dyDescent="0.25">
      <c r="A112" s="177">
        <f>'Инвест политика'!A135</f>
        <v>0</v>
      </c>
      <c r="B112" t="s">
        <v>429</v>
      </c>
      <c r="C112" t="s">
        <v>423</v>
      </c>
      <c r="D112">
        <v>0</v>
      </c>
      <c r="E112" t="s">
        <v>375</v>
      </c>
      <c r="F112" t="s">
        <v>425</v>
      </c>
      <c r="G112" s="180" t="e">
        <f>VLOOKUP(A112,'Инвест политика'!$A$26:$H$130,8,FALSE)</f>
        <v>#N/A</v>
      </c>
      <c r="H112" s="180" t="str">
        <f t="shared" si="1"/>
        <v>Ошибка, не численные значения</v>
      </c>
    </row>
    <row r="113" spans="1:8" x14ac:dyDescent="0.25">
      <c r="A113" s="177">
        <f>'Инвест политика'!A136</f>
        <v>0</v>
      </c>
      <c r="B113" t="s">
        <v>429</v>
      </c>
      <c r="C113" t="s">
        <v>423</v>
      </c>
      <c r="D113">
        <v>0</v>
      </c>
      <c r="E113" t="s">
        <v>375</v>
      </c>
      <c r="F113" t="s">
        <v>425</v>
      </c>
      <c r="G113" s="180" t="e">
        <f>VLOOKUP(A113,'Инвест политика'!$A$26:$H$130,8,FALSE)</f>
        <v>#N/A</v>
      </c>
      <c r="H113" s="180" t="str">
        <f t="shared" si="1"/>
        <v>Ошибка, не численные значения</v>
      </c>
    </row>
    <row r="114" spans="1:8" x14ac:dyDescent="0.25">
      <c r="A114" s="177">
        <f>'Инвест политика'!A137</f>
        <v>0</v>
      </c>
      <c r="B114" t="s">
        <v>429</v>
      </c>
      <c r="C114" t="s">
        <v>423</v>
      </c>
      <c r="D114">
        <v>0</v>
      </c>
      <c r="E114" t="s">
        <v>375</v>
      </c>
      <c r="F114" t="s">
        <v>425</v>
      </c>
      <c r="G114" s="180" t="e">
        <f>VLOOKUP(A114,'Инвест политика'!$A$26:$H$130,8,FALSE)</f>
        <v>#N/A</v>
      </c>
      <c r="H114" s="180" t="str">
        <f t="shared" si="1"/>
        <v>Ошибка, не численные значения</v>
      </c>
    </row>
    <row r="115" spans="1:8" x14ac:dyDescent="0.25">
      <c r="A115" s="177">
        <f>'Инвест политика'!A138</f>
        <v>0</v>
      </c>
      <c r="B115" t="s">
        <v>429</v>
      </c>
      <c r="C115" t="s">
        <v>423</v>
      </c>
      <c r="D115">
        <v>0</v>
      </c>
      <c r="E115" t="s">
        <v>375</v>
      </c>
      <c r="F115" t="s">
        <v>425</v>
      </c>
      <c r="G115" s="180" t="e">
        <f>VLOOKUP(A115,'Инвест политика'!$A$26:$H$130,8,FALSE)</f>
        <v>#N/A</v>
      </c>
      <c r="H115" s="180" t="str">
        <f t="shared" si="1"/>
        <v>Ошибка, не численные значения</v>
      </c>
    </row>
    <row r="116" spans="1:8" x14ac:dyDescent="0.25">
      <c r="A116" s="177">
        <f>'Инвест политика'!A139</f>
        <v>0</v>
      </c>
      <c r="B116" t="s">
        <v>429</v>
      </c>
      <c r="C116" t="s">
        <v>423</v>
      </c>
      <c r="D116">
        <v>0</v>
      </c>
      <c r="E116" t="s">
        <v>375</v>
      </c>
      <c r="F116" t="s">
        <v>425</v>
      </c>
      <c r="G116" s="180" t="e">
        <f>VLOOKUP(A116,'Инвест политика'!$A$26:$H$130,8,FALSE)</f>
        <v>#N/A</v>
      </c>
      <c r="H116" s="180" t="str">
        <f t="shared" si="1"/>
        <v>Ошибка, не численные значения</v>
      </c>
    </row>
    <row r="117" spans="1:8" x14ac:dyDescent="0.25">
      <c r="A117" s="177">
        <f>'Инвест политика'!A140</f>
        <v>0</v>
      </c>
      <c r="B117" t="s">
        <v>429</v>
      </c>
      <c r="C117" t="s">
        <v>423</v>
      </c>
      <c r="D117">
        <v>0</v>
      </c>
      <c r="E117" t="s">
        <v>375</v>
      </c>
      <c r="F117" t="s">
        <v>425</v>
      </c>
      <c r="G117" s="180" t="e">
        <f>VLOOKUP(A117,'Инвест политика'!$A$26:$H$130,8,FALSE)</f>
        <v>#N/A</v>
      </c>
      <c r="H117" s="180" t="str">
        <f t="shared" si="1"/>
        <v>Ошибка, не численные значения</v>
      </c>
    </row>
    <row r="118" spans="1:8" x14ac:dyDescent="0.25">
      <c r="A118" s="177">
        <f>'Инвест политика'!A141</f>
        <v>0</v>
      </c>
      <c r="B118" t="s">
        <v>429</v>
      </c>
      <c r="C118" t="s">
        <v>423</v>
      </c>
      <c r="D118">
        <v>0</v>
      </c>
      <c r="E118" t="s">
        <v>375</v>
      </c>
      <c r="F118" t="s">
        <v>425</v>
      </c>
      <c r="G118" s="180" t="e">
        <f>VLOOKUP(A118,'Инвест политика'!$A$26:$H$130,8,FALSE)</f>
        <v>#N/A</v>
      </c>
      <c r="H118" s="180" t="str">
        <f t="shared" si="1"/>
        <v>Ошибка, не численные значения</v>
      </c>
    </row>
    <row r="119" spans="1:8" x14ac:dyDescent="0.25">
      <c r="A119" s="177">
        <f>'Инвест политика'!A142</f>
        <v>0</v>
      </c>
      <c r="B119" t="s">
        <v>429</v>
      </c>
      <c r="C119" t="s">
        <v>423</v>
      </c>
      <c r="D119">
        <v>0</v>
      </c>
      <c r="E119" t="s">
        <v>375</v>
      </c>
      <c r="F119" t="s">
        <v>425</v>
      </c>
      <c r="G119" s="180" t="e">
        <f>VLOOKUP(A119,'Инвест политика'!$A$26:$H$130,8,FALSE)</f>
        <v>#N/A</v>
      </c>
      <c r="H119" s="180" t="str">
        <f t="shared" si="1"/>
        <v>Ошибка, не численные значения</v>
      </c>
    </row>
    <row r="120" spans="1:8" x14ac:dyDescent="0.25">
      <c r="A120" s="177">
        <f>'Инвест политика'!A143</f>
        <v>0</v>
      </c>
      <c r="B120" t="s">
        <v>429</v>
      </c>
      <c r="C120" t="s">
        <v>423</v>
      </c>
      <c r="D120">
        <v>0</v>
      </c>
      <c r="E120" t="s">
        <v>375</v>
      </c>
      <c r="F120" t="s">
        <v>425</v>
      </c>
      <c r="G120" s="180" t="e">
        <f>VLOOKUP(A120,'Инвест политика'!$A$26:$H$130,8,FALSE)</f>
        <v>#N/A</v>
      </c>
      <c r="H120" s="180" t="str">
        <f t="shared" si="1"/>
        <v>Ошибка, не численные значения</v>
      </c>
    </row>
    <row r="121" spans="1:8" x14ac:dyDescent="0.25">
      <c r="A121" s="177">
        <f>'Инвест политика'!A144</f>
        <v>0</v>
      </c>
      <c r="B121" t="s">
        <v>429</v>
      </c>
      <c r="C121" t="s">
        <v>423</v>
      </c>
      <c r="D121">
        <v>0</v>
      </c>
      <c r="E121" t="s">
        <v>375</v>
      </c>
      <c r="F121" t="s">
        <v>425</v>
      </c>
      <c r="G121" s="180" t="e">
        <f>VLOOKUP(A121,'Инвест политика'!$A$26:$H$130,8,FALSE)</f>
        <v>#N/A</v>
      </c>
      <c r="H121" s="180" t="str">
        <f t="shared" si="1"/>
        <v>Ошибка, не численные значения</v>
      </c>
    </row>
    <row r="122" spans="1:8" x14ac:dyDescent="0.25">
      <c r="A122" s="177">
        <f>'Инвест политика'!A145</f>
        <v>0</v>
      </c>
      <c r="B122" t="s">
        <v>429</v>
      </c>
      <c r="C122" t="s">
        <v>423</v>
      </c>
      <c r="D122">
        <v>0</v>
      </c>
      <c r="E122" t="s">
        <v>375</v>
      </c>
      <c r="F122" t="s">
        <v>425</v>
      </c>
      <c r="G122" s="180" t="e">
        <f>VLOOKUP(A122,'Инвест политика'!$A$26:$H$130,8,FALSE)</f>
        <v>#N/A</v>
      </c>
      <c r="H122" s="180" t="str">
        <f t="shared" si="1"/>
        <v>Ошибка, не численные значения</v>
      </c>
    </row>
    <row r="123" spans="1:8" x14ac:dyDescent="0.25">
      <c r="A123" s="177">
        <f>'Инвест политика'!A146</f>
        <v>0</v>
      </c>
      <c r="B123" t="s">
        <v>429</v>
      </c>
      <c r="C123" t="s">
        <v>423</v>
      </c>
      <c r="D123">
        <v>0</v>
      </c>
      <c r="E123" t="s">
        <v>375</v>
      </c>
      <c r="F123" t="s">
        <v>425</v>
      </c>
      <c r="G123" s="180" t="e">
        <f>VLOOKUP(A123,'Инвест политика'!$A$26:$H$130,8,FALSE)</f>
        <v>#N/A</v>
      </c>
      <c r="H123" s="180" t="str">
        <f t="shared" si="1"/>
        <v>Ошибка, не численные значения</v>
      </c>
    </row>
    <row r="124" spans="1:8" x14ac:dyDescent="0.25">
      <c r="A124" s="177">
        <f>'Инвест политика'!A147</f>
        <v>0</v>
      </c>
      <c r="B124" t="s">
        <v>429</v>
      </c>
      <c r="C124" t="s">
        <v>423</v>
      </c>
      <c r="D124">
        <v>0</v>
      </c>
      <c r="E124" t="s">
        <v>375</v>
      </c>
      <c r="F124" t="s">
        <v>425</v>
      </c>
      <c r="G124" s="180" t="e">
        <f>VLOOKUP(A124,'Инвест политика'!$A$26:$H$130,8,FALSE)</f>
        <v>#N/A</v>
      </c>
      <c r="H124" s="180" t="str">
        <f t="shared" si="1"/>
        <v>Ошибка, не численные значения</v>
      </c>
    </row>
    <row r="125" spans="1:8" x14ac:dyDescent="0.25">
      <c r="A125" s="177">
        <f>'Инвест политика'!A148</f>
        <v>0</v>
      </c>
      <c r="B125" t="s">
        <v>429</v>
      </c>
      <c r="C125" t="s">
        <v>423</v>
      </c>
      <c r="D125">
        <v>0</v>
      </c>
      <c r="E125" t="s">
        <v>375</v>
      </c>
      <c r="F125" t="s">
        <v>425</v>
      </c>
      <c r="G125" s="180" t="e">
        <f>VLOOKUP(A125,'Инвест политика'!$A$26:$H$130,8,FALSE)</f>
        <v>#N/A</v>
      </c>
      <c r="H125" s="180" t="str">
        <f t="shared" si="1"/>
        <v>Ошибка, не численные значения</v>
      </c>
    </row>
    <row r="126" spans="1:8" x14ac:dyDescent="0.25">
      <c r="A126" s="177">
        <f>'Инвест политика'!A149</f>
        <v>0</v>
      </c>
      <c r="B126" t="s">
        <v>429</v>
      </c>
      <c r="C126" t="s">
        <v>423</v>
      </c>
      <c r="D126">
        <v>0</v>
      </c>
      <c r="E126" t="s">
        <v>375</v>
      </c>
      <c r="F126" t="s">
        <v>425</v>
      </c>
      <c r="G126" s="180" t="e">
        <f>VLOOKUP(A126,'Инвест политика'!$A$26:$H$130,8,FALSE)</f>
        <v>#N/A</v>
      </c>
      <c r="H126" s="180" t="str">
        <f t="shared" si="1"/>
        <v>Ошибка, не численные значения</v>
      </c>
    </row>
    <row r="127" spans="1:8" x14ac:dyDescent="0.25">
      <c r="A127" s="177">
        <f>'Инвест политика'!A150</f>
        <v>0</v>
      </c>
      <c r="B127" t="s">
        <v>429</v>
      </c>
      <c r="C127" t="s">
        <v>423</v>
      </c>
      <c r="D127">
        <v>0</v>
      </c>
      <c r="E127" t="s">
        <v>375</v>
      </c>
      <c r="F127" t="s">
        <v>425</v>
      </c>
      <c r="G127" s="180" t="e">
        <f>VLOOKUP(A127,'Инвест политика'!$A$26:$H$130,8,FALSE)</f>
        <v>#N/A</v>
      </c>
      <c r="H127" s="180" t="str">
        <f t="shared" si="1"/>
        <v>Ошибка, не численные значения</v>
      </c>
    </row>
    <row r="128" spans="1:8" x14ac:dyDescent="0.25">
      <c r="A128" s="177">
        <f>'Инвест политика'!A151</f>
        <v>0</v>
      </c>
      <c r="B128" t="s">
        <v>429</v>
      </c>
      <c r="C128" t="s">
        <v>423</v>
      </c>
      <c r="D128">
        <v>0</v>
      </c>
      <c r="E128" t="s">
        <v>375</v>
      </c>
      <c r="F128" t="s">
        <v>425</v>
      </c>
      <c r="G128" s="180" t="e">
        <f>VLOOKUP(A128,'Инвест политика'!$A$26:$H$130,8,FALSE)</f>
        <v>#N/A</v>
      </c>
      <c r="H128" s="180" t="str">
        <f t="shared" si="1"/>
        <v>Ошибка, не численные значения</v>
      </c>
    </row>
    <row r="129" spans="1:8" x14ac:dyDescent="0.25">
      <c r="A129" s="177">
        <f>'Инвест политика'!A152</f>
        <v>0</v>
      </c>
      <c r="B129" t="s">
        <v>429</v>
      </c>
      <c r="C129" t="s">
        <v>423</v>
      </c>
      <c r="D129">
        <v>0</v>
      </c>
      <c r="E129" t="s">
        <v>375</v>
      </c>
      <c r="F129" t="s">
        <v>425</v>
      </c>
      <c r="G129" s="180" t="e">
        <f>VLOOKUP(A129,'Инвест политика'!$A$26:$H$130,8,FALSE)</f>
        <v>#N/A</v>
      </c>
      <c r="H129" s="180" t="str">
        <f t="shared" si="1"/>
        <v>Ошибка, не численные значения</v>
      </c>
    </row>
    <row r="130" spans="1:8" x14ac:dyDescent="0.25">
      <c r="A130" s="177">
        <f>'Инвест политика'!A153</f>
        <v>0</v>
      </c>
      <c r="B130" t="s">
        <v>429</v>
      </c>
      <c r="C130" t="s">
        <v>423</v>
      </c>
      <c r="D130">
        <v>0</v>
      </c>
      <c r="E130" t="s">
        <v>375</v>
      </c>
      <c r="F130" t="s">
        <v>425</v>
      </c>
      <c r="G130" s="180" t="e">
        <f>VLOOKUP(A130,'Инвест политика'!$A$26:$H$130,8,FALSE)</f>
        <v>#N/A</v>
      </c>
      <c r="H130" s="180" t="str">
        <f t="shared" si="1"/>
        <v>Ошибка, не численные значения</v>
      </c>
    </row>
    <row r="131" spans="1:8" x14ac:dyDescent="0.25">
      <c r="A131" s="177">
        <f>'Инвест политика'!A154</f>
        <v>0</v>
      </c>
      <c r="B131" t="s">
        <v>429</v>
      </c>
      <c r="C131" t="s">
        <v>423</v>
      </c>
      <c r="D131">
        <v>0</v>
      </c>
      <c r="E131" t="s">
        <v>375</v>
      </c>
      <c r="F131" t="s">
        <v>425</v>
      </c>
      <c r="G131" s="180" t="e">
        <f>VLOOKUP(A131,'Инвест политика'!$A$26:$H$130,8,FALSE)</f>
        <v>#N/A</v>
      </c>
      <c r="H131" s="180" t="str">
        <f t="shared" si="1"/>
        <v>Ошибка, не численные значения</v>
      </c>
    </row>
    <row r="132" spans="1:8" x14ac:dyDescent="0.25">
      <c r="A132" s="177">
        <f>'Инвест политика'!A155</f>
        <v>0</v>
      </c>
      <c r="B132" t="s">
        <v>429</v>
      </c>
      <c r="C132" t="s">
        <v>423</v>
      </c>
      <c r="D132">
        <v>0</v>
      </c>
      <c r="E132" t="s">
        <v>375</v>
      </c>
      <c r="F132" t="s">
        <v>425</v>
      </c>
      <c r="G132" s="180" t="e">
        <f>VLOOKUP(A132,'Инвест политика'!$A$26:$H$130,8,FALSE)</f>
        <v>#N/A</v>
      </c>
      <c r="H132" s="180" t="str">
        <f t="shared" ref="H132:H161" si="2">Эшелонирование(F132,G132,C132)</f>
        <v>Ошибка, не численные значения</v>
      </c>
    </row>
    <row r="133" spans="1:8" x14ac:dyDescent="0.25">
      <c r="A133" s="177">
        <f>'Инвест политика'!A156</f>
        <v>0</v>
      </c>
      <c r="B133" t="s">
        <v>429</v>
      </c>
      <c r="C133" t="s">
        <v>423</v>
      </c>
      <c r="D133">
        <v>0</v>
      </c>
      <c r="E133" t="s">
        <v>375</v>
      </c>
      <c r="F133" t="s">
        <v>425</v>
      </c>
      <c r="G133" s="180" t="e">
        <f>VLOOKUP(A133,'Инвест политика'!$A$26:$H$130,8,FALSE)</f>
        <v>#N/A</v>
      </c>
      <c r="H133" s="180" t="str">
        <f t="shared" si="2"/>
        <v>Ошибка, не численные значения</v>
      </c>
    </row>
    <row r="134" spans="1:8" x14ac:dyDescent="0.25">
      <c r="A134" s="177">
        <f>'Инвест политика'!A157</f>
        <v>0</v>
      </c>
      <c r="B134" t="s">
        <v>429</v>
      </c>
      <c r="C134" t="s">
        <v>423</v>
      </c>
      <c r="D134">
        <v>0</v>
      </c>
      <c r="E134" t="s">
        <v>375</v>
      </c>
      <c r="F134" t="s">
        <v>425</v>
      </c>
      <c r="G134" s="180" t="e">
        <f>VLOOKUP(A134,'Инвест политика'!$A$26:$H$130,8,FALSE)</f>
        <v>#N/A</v>
      </c>
      <c r="H134" s="180" t="str">
        <f t="shared" si="2"/>
        <v>Ошибка, не численные значения</v>
      </c>
    </row>
    <row r="135" spans="1:8" x14ac:dyDescent="0.25">
      <c r="A135" s="177">
        <f>'Инвест политика'!A158</f>
        <v>0</v>
      </c>
      <c r="B135" t="s">
        <v>429</v>
      </c>
      <c r="C135" t="s">
        <v>423</v>
      </c>
      <c r="D135">
        <v>0</v>
      </c>
      <c r="E135" t="s">
        <v>375</v>
      </c>
      <c r="F135" t="s">
        <v>425</v>
      </c>
      <c r="G135" s="180" t="e">
        <f>VLOOKUP(A135,'Инвест политика'!$A$26:$H$130,8,FALSE)</f>
        <v>#N/A</v>
      </c>
      <c r="H135" s="180" t="str">
        <f t="shared" si="2"/>
        <v>Ошибка, не численные значения</v>
      </c>
    </row>
    <row r="136" spans="1:8" x14ac:dyDescent="0.25">
      <c r="A136" s="177">
        <f>'Инвест политика'!A159</f>
        <v>0</v>
      </c>
      <c r="B136" t="s">
        <v>429</v>
      </c>
      <c r="C136" t="s">
        <v>423</v>
      </c>
      <c r="D136">
        <v>0</v>
      </c>
      <c r="E136" t="s">
        <v>375</v>
      </c>
      <c r="F136" t="s">
        <v>425</v>
      </c>
      <c r="G136" s="180" t="e">
        <f>VLOOKUP(A136,'Инвест политика'!$A$26:$H$130,8,FALSE)</f>
        <v>#N/A</v>
      </c>
      <c r="H136" s="180" t="str">
        <f t="shared" si="2"/>
        <v>Ошибка, не численные значения</v>
      </c>
    </row>
    <row r="137" spans="1:8" x14ac:dyDescent="0.25">
      <c r="A137" s="177">
        <f>'Инвест политика'!A160</f>
        <v>0</v>
      </c>
      <c r="B137" t="s">
        <v>429</v>
      </c>
      <c r="C137" t="s">
        <v>423</v>
      </c>
      <c r="D137">
        <v>0</v>
      </c>
      <c r="E137" t="s">
        <v>375</v>
      </c>
      <c r="F137" t="s">
        <v>425</v>
      </c>
      <c r="G137" s="180" t="e">
        <f>VLOOKUP(A137,'Инвест политика'!$A$26:$H$130,8,FALSE)</f>
        <v>#N/A</v>
      </c>
      <c r="H137" s="180" t="str">
        <f t="shared" si="2"/>
        <v>Ошибка, не численные значения</v>
      </c>
    </row>
    <row r="138" spans="1:8" x14ac:dyDescent="0.25">
      <c r="A138" s="177">
        <f>'Инвест политика'!A161</f>
        <v>0</v>
      </c>
      <c r="B138" t="s">
        <v>429</v>
      </c>
      <c r="C138" t="s">
        <v>423</v>
      </c>
      <c r="D138">
        <v>0</v>
      </c>
      <c r="E138" t="s">
        <v>375</v>
      </c>
      <c r="F138" t="s">
        <v>425</v>
      </c>
      <c r="G138" s="180" t="e">
        <f>VLOOKUP(A138,'Инвест политика'!$A$26:$H$130,8,FALSE)</f>
        <v>#N/A</v>
      </c>
      <c r="H138" s="180" t="str">
        <f t="shared" si="2"/>
        <v>Ошибка, не численные значения</v>
      </c>
    </row>
    <row r="139" spans="1:8" x14ac:dyDescent="0.25">
      <c r="A139" s="177">
        <f>'Инвест политика'!A162</f>
        <v>0</v>
      </c>
      <c r="B139" t="s">
        <v>429</v>
      </c>
      <c r="C139" t="s">
        <v>423</v>
      </c>
      <c r="D139">
        <v>0</v>
      </c>
      <c r="E139" t="s">
        <v>375</v>
      </c>
      <c r="F139" t="s">
        <v>425</v>
      </c>
      <c r="G139" s="180" t="e">
        <f>VLOOKUP(A139,'Инвест политика'!$A$26:$H$130,8,FALSE)</f>
        <v>#N/A</v>
      </c>
      <c r="H139" s="180" t="str">
        <f t="shared" si="2"/>
        <v>Ошибка, не численные значения</v>
      </c>
    </row>
    <row r="140" spans="1:8" x14ac:dyDescent="0.25">
      <c r="A140" s="177">
        <f>'Инвест политика'!A163</f>
        <v>0</v>
      </c>
      <c r="B140" t="s">
        <v>429</v>
      </c>
      <c r="C140" t="s">
        <v>423</v>
      </c>
      <c r="D140">
        <v>0</v>
      </c>
      <c r="E140" t="s">
        <v>375</v>
      </c>
      <c r="F140" t="s">
        <v>425</v>
      </c>
      <c r="G140" s="180" t="e">
        <f>VLOOKUP(A140,'Инвест политика'!$A$26:$H$130,8,FALSE)</f>
        <v>#N/A</v>
      </c>
      <c r="H140" s="180" t="str">
        <f t="shared" si="2"/>
        <v>Ошибка, не численные значения</v>
      </c>
    </row>
    <row r="141" spans="1:8" x14ac:dyDescent="0.25">
      <c r="A141" s="177">
        <f>'Инвест политика'!A164</f>
        <v>0</v>
      </c>
      <c r="B141" t="s">
        <v>429</v>
      </c>
      <c r="C141" t="s">
        <v>423</v>
      </c>
      <c r="D141">
        <v>0</v>
      </c>
      <c r="E141" t="s">
        <v>375</v>
      </c>
      <c r="F141" t="s">
        <v>425</v>
      </c>
      <c r="G141" s="180" t="e">
        <f>VLOOKUP(A141,'Инвест политика'!$A$26:$H$130,8,FALSE)</f>
        <v>#N/A</v>
      </c>
      <c r="H141" s="180" t="str">
        <f t="shared" si="2"/>
        <v>Ошибка, не численные значения</v>
      </c>
    </row>
    <row r="142" spans="1:8" x14ac:dyDescent="0.25">
      <c r="A142" s="177">
        <f>'Инвест политика'!A165</f>
        <v>0</v>
      </c>
      <c r="B142" t="s">
        <v>429</v>
      </c>
      <c r="C142" t="s">
        <v>423</v>
      </c>
      <c r="D142">
        <v>0</v>
      </c>
      <c r="E142" t="s">
        <v>375</v>
      </c>
      <c r="F142" t="s">
        <v>425</v>
      </c>
      <c r="G142" s="180" t="e">
        <f>VLOOKUP(A142,'Инвест политика'!$A$26:$H$130,8,FALSE)</f>
        <v>#N/A</v>
      </c>
      <c r="H142" s="180" t="str">
        <f t="shared" si="2"/>
        <v>Ошибка, не численные значения</v>
      </c>
    </row>
    <row r="143" spans="1:8" x14ac:dyDescent="0.25">
      <c r="A143" s="177">
        <f>'Инвест политика'!A166</f>
        <v>0</v>
      </c>
      <c r="B143" t="s">
        <v>429</v>
      </c>
      <c r="C143" t="s">
        <v>423</v>
      </c>
      <c r="D143">
        <v>0</v>
      </c>
      <c r="E143" t="s">
        <v>375</v>
      </c>
      <c r="F143" t="s">
        <v>425</v>
      </c>
      <c r="G143" s="180" t="e">
        <f>VLOOKUP(A143,'Инвест политика'!$A$26:$H$130,8,FALSE)</f>
        <v>#N/A</v>
      </c>
      <c r="H143" s="180" t="str">
        <f t="shared" si="2"/>
        <v>Ошибка, не численные значения</v>
      </c>
    </row>
    <row r="144" spans="1:8" x14ac:dyDescent="0.25">
      <c r="A144" s="177">
        <f>'Инвест политика'!A167</f>
        <v>0</v>
      </c>
      <c r="B144" t="s">
        <v>429</v>
      </c>
      <c r="C144" t="s">
        <v>423</v>
      </c>
      <c r="D144">
        <v>0</v>
      </c>
      <c r="E144" t="s">
        <v>375</v>
      </c>
      <c r="F144" t="s">
        <v>425</v>
      </c>
      <c r="G144" s="180" t="e">
        <f>VLOOKUP(A144,'Инвест политика'!$A$26:$H$130,8,FALSE)</f>
        <v>#N/A</v>
      </c>
      <c r="H144" s="180" t="str">
        <f t="shared" si="2"/>
        <v>Ошибка, не численные значения</v>
      </c>
    </row>
    <row r="145" spans="1:8" x14ac:dyDescent="0.25">
      <c r="A145" s="177">
        <f>'Инвест политика'!A168</f>
        <v>0</v>
      </c>
      <c r="B145" t="s">
        <v>429</v>
      </c>
      <c r="C145" t="s">
        <v>423</v>
      </c>
      <c r="D145">
        <v>0</v>
      </c>
      <c r="E145" t="s">
        <v>375</v>
      </c>
      <c r="F145" t="s">
        <v>425</v>
      </c>
      <c r="G145" s="180" t="e">
        <f>VLOOKUP(A145,'Инвест политика'!$A$26:$H$130,8,FALSE)</f>
        <v>#N/A</v>
      </c>
      <c r="H145" s="180" t="str">
        <f t="shared" si="2"/>
        <v>Ошибка, не численные значения</v>
      </c>
    </row>
    <row r="146" spans="1:8" x14ac:dyDescent="0.25">
      <c r="A146" s="177">
        <f>'Инвест политика'!A169</f>
        <v>0</v>
      </c>
      <c r="B146" t="s">
        <v>429</v>
      </c>
      <c r="C146" t="s">
        <v>423</v>
      </c>
      <c r="D146">
        <v>0</v>
      </c>
      <c r="E146" t="s">
        <v>375</v>
      </c>
      <c r="F146" t="s">
        <v>425</v>
      </c>
      <c r="G146" s="180" t="e">
        <f>VLOOKUP(A146,'Инвест политика'!$A$26:$H$130,8,FALSE)</f>
        <v>#N/A</v>
      </c>
      <c r="H146" s="180" t="str">
        <f t="shared" si="2"/>
        <v>Ошибка, не численные значения</v>
      </c>
    </row>
    <row r="147" spans="1:8" x14ac:dyDescent="0.25">
      <c r="A147" s="177">
        <f>'Инвест политика'!A170</f>
        <v>0</v>
      </c>
      <c r="B147" t="s">
        <v>429</v>
      </c>
      <c r="C147" t="s">
        <v>423</v>
      </c>
      <c r="D147">
        <v>0</v>
      </c>
      <c r="E147" t="s">
        <v>375</v>
      </c>
      <c r="F147" t="s">
        <v>425</v>
      </c>
      <c r="G147" s="180" t="e">
        <f>VLOOKUP(A147,'Инвест политика'!$A$26:$H$130,8,FALSE)</f>
        <v>#N/A</v>
      </c>
      <c r="H147" s="180" t="str">
        <f t="shared" si="2"/>
        <v>Ошибка, не численные значения</v>
      </c>
    </row>
    <row r="148" spans="1:8" x14ac:dyDescent="0.25">
      <c r="A148" s="177">
        <f>'Инвест политика'!A171</f>
        <v>0</v>
      </c>
      <c r="B148" t="s">
        <v>429</v>
      </c>
      <c r="C148" t="s">
        <v>423</v>
      </c>
      <c r="D148">
        <v>0</v>
      </c>
      <c r="E148" t="s">
        <v>375</v>
      </c>
      <c r="F148" t="s">
        <v>425</v>
      </c>
      <c r="G148" s="180" t="e">
        <f>VLOOKUP(A148,'Инвест политика'!$A$26:$H$130,8,FALSE)</f>
        <v>#N/A</v>
      </c>
      <c r="H148" s="180" t="str">
        <f t="shared" si="2"/>
        <v>Ошибка, не численные значения</v>
      </c>
    </row>
    <row r="149" spans="1:8" x14ac:dyDescent="0.25">
      <c r="A149" s="177">
        <f>'Инвест политика'!A172</f>
        <v>0</v>
      </c>
      <c r="B149" t="s">
        <v>429</v>
      </c>
      <c r="C149" t="s">
        <v>423</v>
      </c>
      <c r="D149">
        <v>0</v>
      </c>
      <c r="E149" t="s">
        <v>375</v>
      </c>
      <c r="F149" t="s">
        <v>425</v>
      </c>
      <c r="G149" s="180" t="e">
        <f>VLOOKUP(A149,'Инвест политика'!$A$26:$H$130,8,FALSE)</f>
        <v>#N/A</v>
      </c>
      <c r="H149" s="180" t="str">
        <f t="shared" si="2"/>
        <v>Ошибка, не численные значения</v>
      </c>
    </row>
    <row r="150" spans="1:8" x14ac:dyDescent="0.25">
      <c r="A150" s="177">
        <f>'Инвест политика'!A173</f>
        <v>0</v>
      </c>
      <c r="B150" t="s">
        <v>429</v>
      </c>
      <c r="C150" t="s">
        <v>423</v>
      </c>
      <c r="D150">
        <v>0</v>
      </c>
      <c r="E150" t="s">
        <v>375</v>
      </c>
      <c r="F150" t="s">
        <v>425</v>
      </c>
      <c r="G150" s="180" t="e">
        <f>VLOOKUP(A150,'Инвест политика'!$A$26:$H$130,8,FALSE)</f>
        <v>#N/A</v>
      </c>
      <c r="H150" s="180" t="str">
        <f t="shared" si="2"/>
        <v>Ошибка, не численные значения</v>
      </c>
    </row>
    <row r="151" spans="1:8" x14ac:dyDescent="0.25">
      <c r="A151" s="177">
        <f>'Инвест политика'!A174</f>
        <v>0</v>
      </c>
      <c r="B151" t="s">
        <v>429</v>
      </c>
      <c r="C151" t="s">
        <v>423</v>
      </c>
      <c r="D151">
        <v>0</v>
      </c>
      <c r="E151" t="s">
        <v>375</v>
      </c>
      <c r="F151" t="s">
        <v>425</v>
      </c>
      <c r="G151" s="180" t="e">
        <f>VLOOKUP(A151,'Инвест политика'!$A$26:$H$130,8,FALSE)</f>
        <v>#N/A</v>
      </c>
      <c r="H151" s="180" t="str">
        <f t="shared" si="2"/>
        <v>Ошибка, не численные значения</v>
      </c>
    </row>
    <row r="152" spans="1:8" x14ac:dyDescent="0.25">
      <c r="A152" s="177">
        <f>'Инвест политика'!A175</f>
        <v>0</v>
      </c>
      <c r="B152" t="s">
        <v>429</v>
      </c>
      <c r="C152" t="s">
        <v>423</v>
      </c>
      <c r="D152">
        <v>0</v>
      </c>
      <c r="E152" t="s">
        <v>375</v>
      </c>
      <c r="F152" t="s">
        <v>425</v>
      </c>
      <c r="G152" s="180" t="e">
        <f>VLOOKUP(A152,'Инвест политика'!$A$26:$H$130,8,FALSE)</f>
        <v>#N/A</v>
      </c>
      <c r="H152" s="180" t="str">
        <f t="shared" si="2"/>
        <v>Ошибка, не численные значения</v>
      </c>
    </row>
    <row r="153" spans="1:8" x14ac:dyDescent="0.25">
      <c r="A153" s="177">
        <f>'Инвест политика'!A176</f>
        <v>0</v>
      </c>
      <c r="B153" t="s">
        <v>429</v>
      </c>
      <c r="C153" t="s">
        <v>423</v>
      </c>
      <c r="D153">
        <v>0</v>
      </c>
      <c r="E153" t="s">
        <v>375</v>
      </c>
      <c r="F153" t="s">
        <v>425</v>
      </c>
      <c r="G153" s="180" t="e">
        <f>VLOOKUP(A153,'Инвест политика'!$A$26:$H$130,8,FALSE)</f>
        <v>#N/A</v>
      </c>
      <c r="H153" s="180" t="str">
        <f t="shared" si="2"/>
        <v>Ошибка, не численные значения</v>
      </c>
    </row>
    <row r="154" spans="1:8" x14ac:dyDescent="0.25">
      <c r="A154" s="177">
        <f>'Инвест политика'!A177</f>
        <v>0</v>
      </c>
      <c r="B154" t="s">
        <v>429</v>
      </c>
      <c r="C154" t="s">
        <v>423</v>
      </c>
      <c r="D154">
        <v>0</v>
      </c>
      <c r="E154" t="s">
        <v>375</v>
      </c>
      <c r="F154" t="s">
        <v>425</v>
      </c>
      <c r="G154" s="180" t="e">
        <f>VLOOKUP(A154,'Инвест политика'!$A$26:$H$130,8,FALSE)</f>
        <v>#N/A</v>
      </c>
      <c r="H154" s="180" t="str">
        <f t="shared" si="2"/>
        <v>Ошибка, не численные значения</v>
      </c>
    </row>
    <row r="155" spans="1:8" x14ac:dyDescent="0.25">
      <c r="A155" s="177">
        <f>'Инвест политика'!A178</f>
        <v>0</v>
      </c>
      <c r="B155" t="s">
        <v>429</v>
      </c>
      <c r="C155" t="s">
        <v>423</v>
      </c>
      <c r="D155">
        <v>0</v>
      </c>
      <c r="E155" t="s">
        <v>375</v>
      </c>
      <c r="F155" t="s">
        <v>425</v>
      </c>
      <c r="G155" s="180" t="e">
        <f>VLOOKUP(A155,'Инвест политика'!$A$26:$H$130,8,FALSE)</f>
        <v>#N/A</v>
      </c>
      <c r="H155" s="180" t="str">
        <f t="shared" si="2"/>
        <v>Ошибка, не численные значения</v>
      </c>
    </row>
    <row r="156" spans="1:8" x14ac:dyDescent="0.25">
      <c r="A156" s="177">
        <f>'Инвест политика'!A179</f>
        <v>0</v>
      </c>
      <c r="B156" t="s">
        <v>429</v>
      </c>
      <c r="C156" t="s">
        <v>423</v>
      </c>
      <c r="D156">
        <v>0</v>
      </c>
      <c r="E156" t="s">
        <v>375</v>
      </c>
      <c r="F156" t="s">
        <v>425</v>
      </c>
      <c r="G156" s="180" t="e">
        <f>VLOOKUP(A156,'Инвест политика'!$A$26:$H$130,8,FALSE)</f>
        <v>#N/A</v>
      </c>
      <c r="H156" s="180" t="str">
        <f t="shared" si="2"/>
        <v>Ошибка, не численные значения</v>
      </c>
    </row>
    <row r="157" spans="1:8" x14ac:dyDescent="0.25">
      <c r="A157" s="177">
        <f>'Инвест политика'!A180</f>
        <v>0</v>
      </c>
      <c r="B157" t="s">
        <v>429</v>
      </c>
      <c r="C157" t="s">
        <v>423</v>
      </c>
      <c r="D157">
        <v>0</v>
      </c>
      <c r="E157" t="s">
        <v>375</v>
      </c>
      <c r="F157" t="s">
        <v>425</v>
      </c>
      <c r="G157" s="180" t="e">
        <f>VLOOKUP(A157,'Инвест политика'!$A$26:$H$130,8,FALSE)</f>
        <v>#N/A</v>
      </c>
      <c r="H157" s="180" t="str">
        <f t="shared" si="2"/>
        <v>Ошибка, не численные значения</v>
      </c>
    </row>
    <row r="158" spans="1:8" x14ac:dyDescent="0.25">
      <c r="A158" s="177">
        <f>'Инвест политика'!A181</f>
        <v>0</v>
      </c>
      <c r="B158" t="s">
        <v>429</v>
      </c>
      <c r="C158" t="s">
        <v>423</v>
      </c>
      <c r="D158">
        <v>0</v>
      </c>
      <c r="E158" t="s">
        <v>375</v>
      </c>
      <c r="F158" t="s">
        <v>425</v>
      </c>
      <c r="G158" s="180" t="e">
        <f>VLOOKUP(A158,'Инвест политика'!$A$26:$H$130,8,FALSE)</f>
        <v>#N/A</v>
      </c>
      <c r="H158" s="180" t="str">
        <f t="shared" si="2"/>
        <v>Ошибка, не численные значения</v>
      </c>
    </row>
    <row r="159" spans="1:8" x14ac:dyDescent="0.25">
      <c r="A159" s="177">
        <f>'Инвест политика'!A182</f>
        <v>0</v>
      </c>
      <c r="B159" t="s">
        <v>429</v>
      </c>
      <c r="C159" t="s">
        <v>423</v>
      </c>
      <c r="D159">
        <v>0</v>
      </c>
      <c r="E159" t="s">
        <v>375</v>
      </c>
      <c r="F159" t="s">
        <v>425</v>
      </c>
      <c r="G159" s="180" t="e">
        <f>VLOOKUP(A159,'Инвест политика'!$A$26:$H$130,8,FALSE)</f>
        <v>#N/A</v>
      </c>
      <c r="H159" s="180" t="str">
        <f t="shared" si="2"/>
        <v>Ошибка, не численные значения</v>
      </c>
    </row>
    <row r="160" spans="1:8" x14ac:dyDescent="0.25">
      <c r="A160" s="177">
        <f>'Инвест политика'!A183</f>
        <v>0</v>
      </c>
      <c r="B160" t="s">
        <v>429</v>
      </c>
      <c r="C160" t="s">
        <v>423</v>
      </c>
      <c r="D160">
        <v>0</v>
      </c>
      <c r="E160" t="s">
        <v>375</v>
      </c>
      <c r="F160" t="s">
        <v>425</v>
      </c>
      <c r="G160" s="180" t="e">
        <f>VLOOKUP(A160,'Инвест политика'!$A$26:$H$130,8,FALSE)</f>
        <v>#N/A</v>
      </c>
      <c r="H160" s="180" t="str">
        <f t="shared" si="2"/>
        <v>Ошибка, не численные значения</v>
      </c>
    </row>
    <row r="161" spans="1:8" x14ac:dyDescent="0.25">
      <c r="A161" s="177">
        <f>'Инвест политика'!A184</f>
        <v>0</v>
      </c>
      <c r="B161" t="s">
        <v>429</v>
      </c>
      <c r="C161" t="s">
        <v>423</v>
      </c>
      <c r="D161">
        <v>0</v>
      </c>
      <c r="E161" t="s">
        <v>375</v>
      </c>
      <c r="F161" t="s">
        <v>425</v>
      </c>
      <c r="G161" s="180" t="e">
        <f>VLOOKUP(A161,'Инвест политика'!$A$26:$H$130,8,FALSE)</f>
        <v>#N/A</v>
      </c>
      <c r="H161" s="180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topLeftCell="A16" workbookViewId="0">
      <selection activeCell="B40" sqref="B40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customWidth="1"/>
    <col min="8" max="8" width="20.28515625" customWidth="1"/>
    <col min="9" max="9" width="18.140625" customWidth="1"/>
  </cols>
  <sheetData>
    <row r="1" spans="1:9" x14ac:dyDescent="0.25">
      <c r="G1" t="s">
        <v>20</v>
      </c>
    </row>
    <row r="2" spans="1:9" ht="30" customHeight="1" x14ac:dyDescent="0.25">
      <c r="A2" s="5"/>
      <c r="B2" s="186" t="s">
        <v>441</v>
      </c>
      <c r="C2" s="186" t="s">
        <v>442</v>
      </c>
      <c r="D2" s="186" t="s">
        <v>443</v>
      </c>
      <c r="E2" s="186" t="s">
        <v>444</v>
      </c>
      <c r="F2" s="186" t="s">
        <v>445</v>
      </c>
      <c r="G2" s="191" t="s">
        <v>446</v>
      </c>
      <c r="H2" s="191" t="s">
        <v>471</v>
      </c>
      <c r="I2" s="191" t="s">
        <v>472</v>
      </c>
    </row>
    <row r="3" spans="1:9" x14ac:dyDescent="0.25">
      <c r="A3" s="5" t="s">
        <v>447</v>
      </c>
      <c r="B3" s="15">
        <v>17964.089510598817</v>
      </c>
      <c r="C3" s="15">
        <v>17479.938342013047</v>
      </c>
      <c r="D3" s="15">
        <v>2884.3065000000001</v>
      </c>
      <c r="E3" s="15">
        <v>3085.96</v>
      </c>
      <c r="F3" s="15">
        <v>11512.659</v>
      </c>
      <c r="G3" s="26">
        <v>15808.515864999999</v>
      </c>
      <c r="H3" s="26">
        <v>15479.185635</v>
      </c>
      <c r="I3" s="26">
        <v>15355.535384999999</v>
      </c>
    </row>
    <row r="4" spans="1:9" x14ac:dyDescent="0.25">
      <c r="A4" s="5" t="s">
        <v>430</v>
      </c>
      <c r="B4" s="15">
        <v>916.8516290459595</v>
      </c>
      <c r="C4" s="15">
        <v>588.46430723403364</v>
      </c>
      <c r="D4" s="15">
        <v>99.087716157416168</v>
      </c>
      <c r="E4" s="15">
        <v>117.93922089975614</v>
      </c>
      <c r="F4" s="15">
        <v>398.51551174570358</v>
      </c>
      <c r="G4" s="26">
        <v>498.71841491866803</v>
      </c>
      <c r="H4" s="26">
        <v>507</v>
      </c>
      <c r="I4" s="26">
        <v>501.08319123191905</v>
      </c>
    </row>
    <row r="5" spans="1:9" x14ac:dyDescent="0.25">
      <c r="A5" t="s">
        <v>430</v>
      </c>
      <c r="B5" s="187">
        <f>B4/B3</f>
        <v>5.1038023858933503E-2</v>
      </c>
      <c r="C5" s="187">
        <f t="shared" ref="C5:G5" si="0">C4/C3</f>
        <v>3.3665124883173025E-2</v>
      </c>
      <c r="D5" s="187">
        <f t="shared" si="0"/>
        <v>3.4354086903529903E-2</v>
      </c>
      <c r="E5" s="187">
        <f t="shared" si="0"/>
        <v>3.8218000524879177E-2</v>
      </c>
      <c r="F5" s="187">
        <f t="shared" si="0"/>
        <v>3.4615418709587731E-2</v>
      </c>
      <c r="G5" s="187">
        <f t="shared" si="0"/>
        <v>3.1547453232015847E-2</v>
      </c>
      <c r="H5" s="187">
        <f>H4/H3</f>
        <v>3.2753661074625393E-2</v>
      </c>
      <c r="I5" s="187">
        <f>I4/I3</f>
        <v>3.2632088603136586E-2</v>
      </c>
    </row>
    <row r="6" spans="1:9" x14ac:dyDescent="0.25">
      <c r="B6" s="213" t="s">
        <v>431</v>
      </c>
      <c r="C6" s="213" t="s">
        <v>431</v>
      </c>
      <c r="D6" s="213" t="s">
        <v>431</v>
      </c>
      <c r="E6" s="213" t="s">
        <v>431</v>
      </c>
      <c r="F6" s="213" t="s">
        <v>431</v>
      </c>
      <c r="G6" s="213" t="s">
        <v>431</v>
      </c>
      <c r="H6" s="213" t="s">
        <v>431</v>
      </c>
      <c r="I6" s="213" t="s">
        <v>431</v>
      </c>
    </row>
    <row r="7" spans="1:9" x14ac:dyDescent="0.25">
      <c r="B7" s="213" t="s">
        <v>432</v>
      </c>
      <c r="C7" s="213" t="s">
        <v>434</v>
      </c>
      <c r="D7" s="213" t="s">
        <v>433</v>
      </c>
      <c r="E7" s="213" t="s">
        <v>433</v>
      </c>
      <c r="F7" s="213" t="s">
        <v>435</v>
      </c>
      <c r="G7" s="213" t="s">
        <v>435</v>
      </c>
      <c r="H7" s="213" t="s">
        <v>435</v>
      </c>
      <c r="I7" s="213" t="s">
        <v>435</v>
      </c>
    </row>
    <row r="8" spans="1:9" x14ac:dyDescent="0.25">
      <c r="B8" s="213" t="s">
        <v>433</v>
      </c>
      <c r="C8" s="213" t="s">
        <v>433</v>
      </c>
      <c r="D8" s="213" t="s">
        <v>435</v>
      </c>
      <c r="E8" s="213" t="s">
        <v>435</v>
      </c>
      <c r="F8" s="213" t="s">
        <v>437</v>
      </c>
      <c r="G8" s="213" t="s">
        <v>437</v>
      </c>
      <c r="H8" s="213" t="s">
        <v>437</v>
      </c>
      <c r="I8" s="213" t="s">
        <v>437</v>
      </c>
    </row>
    <row r="9" spans="1:9" x14ac:dyDescent="0.25">
      <c r="B9" s="213"/>
      <c r="C9" s="213" t="s">
        <v>435</v>
      </c>
      <c r="D9" s="213"/>
      <c r="E9" s="213"/>
      <c r="F9" s="213"/>
      <c r="G9" s="213" t="s">
        <v>438</v>
      </c>
      <c r="H9" s="213" t="s">
        <v>438</v>
      </c>
      <c r="I9" s="213" t="s">
        <v>438</v>
      </c>
    </row>
    <row r="10" spans="1:9" x14ac:dyDescent="0.25">
      <c r="B10" s="213"/>
      <c r="C10" s="213"/>
      <c r="D10" s="213"/>
      <c r="E10" s="213" t="s">
        <v>436</v>
      </c>
      <c r="F10" s="213"/>
      <c r="G10" s="213" t="s">
        <v>440</v>
      </c>
      <c r="H10" s="213" t="s">
        <v>440</v>
      </c>
      <c r="I10" s="213" t="s">
        <v>440</v>
      </c>
    </row>
    <row r="11" spans="1:9" x14ac:dyDescent="0.25">
      <c r="B11" s="185"/>
      <c r="C11" s="185"/>
      <c r="D11" s="185"/>
      <c r="E11" s="185"/>
      <c r="F11" s="185"/>
    </row>
    <row r="12" spans="1:9" x14ac:dyDescent="0.25">
      <c r="B12" s="185"/>
      <c r="C12" s="185"/>
      <c r="D12" s="185"/>
      <c r="E12" s="185"/>
      <c r="F12" s="185"/>
    </row>
    <row r="33" spans="1:4" x14ac:dyDescent="0.25">
      <c r="C33" t="s">
        <v>450</v>
      </c>
      <c r="D33" t="s">
        <v>451</v>
      </c>
    </row>
    <row r="34" spans="1:4" x14ac:dyDescent="0.25">
      <c r="A34" s="192" t="s">
        <v>431</v>
      </c>
      <c r="B34" s="193">
        <v>661640000</v>
      </c>
      <c r="C34" s="192" t="s">
        <v>82</v>
      </c>
      <c r="D34" s="192"/>
    </row>
    <row r="35" spans="1:4" x14ac:dyDescent="0.25">
      <c r="A35" s="192" t="s">
        <v>435</v>
      </c>
      <c r="B35" s="193">
        <v>757022999.99999988</v>
      </c>
      <c r="C35" s="192" t="s">
        <v>80</v>
      </c>
      <c r="D35" s="192" t="s">
        <v>82</v>
      </c>
    </row>
    <row r="36" spans="1:4" x14ac:dyDescent="0.25">
      <c r="A36" s="192" t="s">
        <v>437</v>
      </c>
      <c r="B36" s="193">
        <v>9777031000</v>
      </c>
      <c r="C36" s="192" t="s">
        <v>84</v>
      </c>
      <c r="D36" s="192"/>
    </row>
    <row r="37" spans="1:4" x14ac:dyDescent="0.25">
      <c r="A37" s="192" t="s">
        <v>438</v>
      </c>
      <c r="B37" s="193">
        <v>374726384.99999994</v>
      </c>
      <c r="C37" s="192" t="s">
        <v>78</v>
      </c>
      <c r="D37" s="192"/>
    </row>
    <row r="38" spans="1:4" x14ac:dyDescent="0.25">
      <c r="A38" s="192" t="s">
        <v>439</v>
      </c>
      <c r="B38" s="193">
        <v>3785114999.9999995</v>
      </c>
      <c r="C38" s="192" t="s">
        <v>82</v>
      </c>
      <c r="D38" s="192"/>
    </row>
    <row r="39" spans="1:4" x14ac:dyDescent="0.25">
      <c r="B39" s="2">
        <f>SUM(B34:B38)</f>
        <v>15355535385</v>
      </c>
    </row>
    <row r="42" spans="1:4" x14ac:dyDescent="0.25">
      <c r="A42" t="s">
        <v>78</v>
      </c>
      <c r="B42" s="194">
        <f>SUMIF($C$34:$C$38,A42,$B$34:$B$38)</f>
        <v>374726384.99999994</v>
      </c>
      <c r="C42" s="197">
        <f>B42/$B$46</f>
        <v>2.4403342221857669E-2</v>
      </c>
    </row>
    <row r="43" spans="1:4" x14ac:dyDescent="0.25">
      <c r="A43" t="s">
        <v>80</v>
      </c>
      <c r="B43" s="194">
        <f t="shared" ref="B43:B45" si="1">SUMIF($C$34:$C$38,A43,$B$34:$B$38)</f>
        <v>757022999.99999988</v>
      </c>
      <c r="C43" s="197">
        <f t="shared" ref="C43:C45" si="2">B43/$B$46</f>
        <v>4.9299681256278115E-2</v>
      </c>
    </row>
    <row r="44" spans="1:4" x14ac:dyDescent="0.25">
      <c r="A44" t="s">
        <v>82</v>
      </c>
      <c r="B44" s="194">
        <f t="shared" si="1"/>
        <v>4446755000</v>
      </c>
      <c r="C44" s="197">
        <f t="shared" si="2"/>
        <v>0.2895864513030133</v>
      </c>
    </row>
    <row r="45" spans="1:4" x14ac:dyDescent="0.25">
      <c r="A45" t="s">
        <v>84</v>
      </c>
      <c r="B45" s="194">
        <f t="shared" si="1"/>
        <v>9777031000</v>
      </c>
      <c r="C45" s="197">
        <f t="shared" si="2"/>
        <v>0.63671052521885085</v>
      </c>
    </row>
    <row r="46" spans="1:4" x14ac:dyDescent="0.25">
      <c r="B46" s="2">
        <f>SUM(B42:B45)</f>
        <v>15355535385</v>
      </c>
    </row>
    <row r="47" spans="1:4" x14ac:dyDescent="0.25">
      <c r="A47" s="195" t="s">
        <v>14</v>
      </c>
      <c r="B47" s="196">
        <f>B46-B39</f>
        <v>0</v>
      </c>
    </row>
    <row r="48" spans="1:4" x14ac:dyDescent="0.25">
      <c r="A48" s="195"/>
      <c r="B48" s="195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D10" sqref="D10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466</v>
      </c>
    </row>
    <row r="2" spans="1:19" ht="15.75" thickBot="1" x14ac:dyDescent="0.3">
      <c r="A2" s="245" t="s">
        <v>43</v>
      </c>
      <c r="B2" s="246"/>
      <c r="C2" s="246"/>
      <c r="D2" s="246"/>
      <c r="E2" s="247"/>
      <c r="H2" s="245" t="s">
        <v>50</v>
      </c>
      <c r="I2" s="246"/>
      <c r="J2" s="246"/>
      <c r="K2" s="246"/>
      <c r="L2" s="247"/>
    </row>
    <row r="3" spans="1:19" x14ac:dyDescent="0.25">
      <c r="A3" s="243" t="s">
        <v>460</v>
      </c>
      <c r="B3" s="243"/>
      <c r="C3" s="243"/>
      <c r="D3" s="243"/>
      <c r="E3" s="243"/>
    </row>
    <row r="4" spans="1:19" ht="25.5" x14ac:dyDescent="0.25">
      <c r="A4" s="200" t="s">
        <v>45</v>
      </c>
      <c r="B4" s="200" t="s">
        <v>461</v>
      </c>
      <c r="C4" s="200" t="s">
        <v>103</v>
      </c>
      <c r="D4" s="201" t="s">
        <v>452</v>
      </c>
      <c r="E4" s="81" t="s">
        <v>166</v>
      </c>
    </row>
    <row r="5" spans="1:19" x14ac:dyDescent="0.25">
      <c r="A5" s="5"/>
      <c r="B5" s="5"/>
      <c r="C5" s="5"/>
      <c r="D5" s="202"/>
      <c r="E5" s="109" t="s">
        <v>78</v>
      </c>
    </row>
    <row r="8" spans="1:19" x14ac:dyDescent="0.25">
      <c r="A8" s="248" t="s">
        <v>462</v>
      </c>
      <c r="B8" s="248"/>
      <c r="C8" s="248"/>
      <c r="D8" s="248"/>
      <c r="E8" s="248"/>
      <c r="F8" s="248"/>
      <c r="G8" s="248"/>
      <c r="H8" s="248"/>
      <c r="I8" s="248"/>
      <c r="J8" s="248"/>
      <c r="K8" s="248"/>
      <c r="L8" s="248"/>
    </row>
    <row r="9" spans="1:19" x14ac:dyDescent="0.25">
      <c r="A9" s="243" t="s">
        <v>463</v>
      </c>
      <c r="B9" s="243"/>
      <c r="C9" s="243"/>
      <c r="D9" s="243"/>
      <c r="E9" s="243"/>
      <c r="H9" s="243" t="s">
        <v>463</v>
      </c>
      <c r="I9" s="243"/>
      <c r="J9" s="243"/>
      <c r="K9" s="243"/>
      <c r="L9" s="243"/>
      <c r="O9" s="243" t="s">
        <v>464</v>
      </c>
      <c r="P9" s="243"/>
      <c r="Q9" s="243"/>
      <c r="R9" s="243"/>
      <c r="S9" s="243"/>
    </row>
    <row r="10" spans="1:19" ht="25.5" x14ac:dyDescent="0.25">
      <c r="A10" s="200" t="s">
        <v>45</v>
      </c>
      <c r="B10" s="200" t="s">
        <v>461</v>
      </c>
      <c r="C10" s="200" t="s">
        <v>103</v>
      </c>
      <c r="D10" s="201" t="str">
        <f>D4</f>
        <v>Вложения (руб) на 01.03.2021</v>
      </c>
      <c r="E10" s="81" t="s">
        <v>166</v>
      </c>
      <c r="H10" s="200" t="s">
        <v>45</v>
      </c>
      <c r="I10" s="200" t="s">
        <v>461</v>
      </c>
      <c r="J10" s="200" t="s">
        <v>103</v>
      </c>
      <c r="K10" s="201" t="str">
        <f>D4</f>
        <v>Вложения (руб) на 01.03.2021</v>
      </c>
      <c r="L10" s="81" t="s">
        <v>166</v>
      </c>
      <c r="O10" s="244" t="s">
        <v>43</v>
      </c>
      <c r="P10" s="244"/>
      <c r="Q10" s="203"/>
      <c r="R10" s="244" t="s">
        <v>50</v>
      </c>
      <c r="S10" s="244"/>
    </row>
    <row r="11" spans="1:19" x14ac:dyDescent="0.25">
      <c r="A11" s="200" t="s">
        <v>43</v>
      </c>
      <c r="B11" s="200" t="s">
        <v>453</v>
      </c>
      <c r="C11" s="200" t="s">
        <v>164</v>
      </c>
      <c r="D11" s="202"/>
      <c r="E11" s="109" t="s">
        <v>78</v>
      </c>
      <c r="H11" s="5"/>
      <c r="I11" s="5"/>
      <c r="J11" s="5"/>
      <c r="K11" s="5"/>
      <c r="L11" s="5"/>
      <c r="O11" s="158" t="s">
        <v>72</v>
      </c>
      <c r="P11" s="142">
        <f>SUMIF($E$23:$E$88,O11,$D$23:D$88)</f>
        <v>0</v>
      </c>
      <c r="Q11" s="203"/>
      <c r="R11" s="158" t="s">
        <v>72</v>
      </c>
      <c r="S11" s="142">
        <f>SUMIF($L$23:L$39,R11,$K$23:$K$39)</f>
        <v>0</v>
      </c>
    </row>
    <row r="12" spans="1:19" x14ac:dyDescent="0.25">
      <c r="A12" s="204"/>
      <c r="B12" s="204"/>
      <c r="C12" s="204"/>
      <c r="D12" s="205"/>
      <c r="E12" s="206"/>
      <c r="O12" s="141" t="s">
        <v>74</v>
      </c>
      <c r="P12" s="142">
        <f>SUMIF($E$23:$E$88,O12,$D$23:D$88)</f>
        <v>0</v>
      </c>
      <c r="Q12" s="203"/>
      <c r="R12" s="141" t="s">
        <v>74</v>
      </c>
      <c r="S12" s="142">
        <f>SUMIF($L$23:L$39,R12,$K$23:$K$39)</f>
        <v>0</v>
      </c>
    </row>
    <row r="13" spans="1:19" x14ac:dyDescent="0.25">
      <c r="O13" s="141" t="s">
        <v>76</v>
      </c>
      <c r="P13" s="142">
        <f>SUMIF($E$23:$E$88,O13,$D$23:D$88)</f>
        <v>0</v>
      </c>
      <c r="Q13" s="203"/>
      <c r="R13" s="141" t="s">
        <v>76</v>
      </c>
      <c r="S13" s="142">
        <f>SUMIF($L$23:L$39,R13,$K$23:$K$39)</f>
        <v>0</v>
      </c>
    </row>
    <row r="14" spans="1:19" x14ac:dyDescent="0.25">
      <c r="A14" s="204"/>
      <c r="B14" s="204"/>
      <c r="C14" s="204"/>
      <c r="D14" s="205"/>
      <c r="E14" s="206"/>
      <c r="O14" s="141" t="s">
        <v>78</v>
      </c>
      <c r="P14" s="142">
        <f>SUMIF($E$23:$E$88,O14,$D$23:D$88)</f>
        <v>0</v>
      </c>
      <c r="Q14" s="203"/>
      <c r="R14" s="141" t="s">
        <v>78</v>
      </c>
      <c r="S14" s="142">
        <f>SUMIF($L$23:L$39,R14,$K$23:$K$39)</f>
        <v>0</v>
      </c>
    </row>
    <row r="15" spans="1:19" x14ac:dyDescent="0.25">
      <c r="A15" s="243" t="s">
        <v>465</v>
      </c>
      <c r="B15" s="243"/>
      <c r="C15" s="243"/>
      <c r="D15" s="243"/>
      <c r="E15" s="243"/>
      <c r="H15" s="243" t="s">
        <v>465</v>
      </c>
      <c r="I15" s="243"/>
      <c r="J15" s="243"/>
      <c r="K15" s="243"/>
      <c r="L15" s="243"/>
      <c r="O15" s="158" t="s">
        <v>80</v>
      </c>
      <c r="P15" s="142">
        <f>SUMIF($E$23:$E$88,O15,$D$23:D$88)</f>
        <v>0</v>
      </c>
      <c r="Q15" s="203"/>
      <c r="R15" s="158" t="s">
        <v>80</v>
      </c>
      <c r="S15" s="142">
        <f>SUMIF($L$23:L$39,R15,$K$23:$K$39)</f>
        <v>0</v>
      </c>
    </row>
    <row r="16" spans="1:19" ht="25.5" x14ac:dyDescent="0.25">
      <c r="A16" s="200" t="s">
        <v>45</v>
      </c>
      <c r="B16" s="200" t="s">
        <v>461</v>
      </c>
      <c r="C16" s="200" t="s">
        <v>103</v>
      </c>
      <c r="D16" s="201" t="str">
        <f>D4</f>
        <v>Вложения (руб) на 01.03.2021</v>
      </c>
      <c r="E16" s="81" t="s">
        <v>166</v>
      </c>
      <c r="H16" s="200" t="s">
        <v>45</v>
      </c>
      <c r="I16" s="200" t="s">
        <v>461</v>
      </c>
      <c r="J16" s="200" t="s">
        <v>103</v>
      </c>
      <c r="K16" s="201" t="str">
        <f>D4</f>
        <v>Вложения (руб) на 01.03.2021</v>
      </c>
      <c r="L16" s="81" t="s">
        <v>166</v>
      </c>
      <c r="O16" s="159" t="s">
        <v>82</v>
      </c>
      <c r="P16" s="142">
        <f>SUMIF($E$23:$E$88,O16,$D$23:D$88)</f>
        <v>0</v>
      </c>
      <c r="Q16" s="203"/>
      <c r="R16" s="159" t="s">
        <v>82</v>
      </c>
      <c r="S16" s="142">
        <f>SUMIF($L$23:L$39,R16,$K$23:$K$39)</f>
        <v>0</v>
      </c>
    </row>
    <row r="17" spans="1:21" x14ac:dyDescent="0.25">
      <c r="A17" s="200"/>
      <c r="B17" s="200"/>
      <c r="C17" s="200"/>
      <c r="D17" s="202">
        <v>0</v>
      </c>
      <c r="E17" s="109"/>
      <c r="H17" s="200"/>
      <c r="I17" s="200"/>
      <c r="J17" s="200"/>
      <c r="K17" s="202"/>
      <c r="L17" s="109"/>
      <c r="O17" s="159" t="s">
        <v>84</v>
      </c>
      <c r="P17" s="142">
        <f>SUMIF($E$23:$E$88,O17,$D$23:D$88)</f>
        <v>0</v>
      </c>
      <c r="Q17" s="203"/>
      <c r="R17" s="159" t="s">
        <v>84</v>
      </c>
      <c r="S17" s="142">
        <f>SUMIF($L$23:L$39,R17,$K$23:$K$39)</f>
        <v>0</v>
      </c>
    </row>
    <row r="18" spans="1:21" x14ac:dyDescent="0.25">
      <c r="O18" s="158" t="s">
        <v>86</v>
      </c>
      <c r="P18" s="142">
        <f>SUMIF($E$23:$E$88,O18,$D$23:D$88)</f>
        <v>0</v>
      </c>
      <c r="Q18" s="203"/>
      <c r="R18" s="158" t="s">
        <v>86</v>
      </c>
      <c r="S18" s="142">
        <f>SUMIF($L$23:L$39,R18,$K$23:$K$39)</f>
        <v>0</v>
      </c>
    </row>
    <row r="19" spans="1:21" x14ac:dyDescent="0.25">
      <c r="O19" s="158" t="s">
        <v>88</v>
      </c>
      <c r="P19" s="142">
        <f>SUMIF($E$23:$E$88,O19,$D$23:D$88)</f>
        <v>0</v>
      </c>
      <c r="Q19" s="203"/>
      <c r="R19" s="158" t="s">
        <v>88</v>
      </c>
      <c r="S19" s="142">
        <f>SUMIF($L$23:L$39,R19,$K$23:$K$39)</f>
        <v>0</v>
      </c>
    </row>
    <row r="20" spans="1:21" x14ac:dyDescent="0.25">
      <c r="O20" s="158" t="s">
        <v>90</v>
      </c>
      <c r="P20" s="142">
        <f>SUMIF($E$23:$E$88,O20,$D$23:D$88)</f>
        <v>0</v>
      </c>
      <c r="Q20" s="203"/>
      <c r="R20" s="158" t="s">
        <v>90</v>
      </c>
      <c r="S20" s="142">
        <f>SUMIF($L$23:L$39,R20,$K$23:$K$39)</f>
        <v>0</v>
      </c>
    </row>
    <row r="21" spans="1:21" x14ac:dyDescent="0.25">
      <c r="A21" s="243" t="s">
        <v>464</v>
      </c>
      <c r="B21" s="243"/>
      <c r="C21" s="243"/>
      <c r="D21" s="243"/>
      <c r="E21" s="243"/>
      <c r="F21" s="80"/>
      <c r="G21" s="80"/>
      <c r="H21" s="243" t="s">
        <v>464</v>
      </c>
      <c r="I21" s="243"/>
      <c r="J21" s="243"/>
      <c r="K21" s="243"/>
      <c r="L21" s="243"/>
      <c r="M21" s="80"/>
      <c r="N21" s="203"/>
      <c r="O21" s="158" t="s">
        <v>117</v>
      </c>
      <c r="P21" s="142">
        <f>SUMIF($E$23:$E$88,O21,$D$23:D$88)</f>
        <v>0</v>
      </c>
      <c r="Q21" s="203"/>
      <c r="R21" s="158" t="s">
        <v>117</v>
      </c>
      <c r="S21" s="142">
        <f>SUMIF($L$23:L$39,R21,$K$23:$K$39)</f>
        <v>0</v>
      </c>
    </row>
    <row r="22" spans="1:21" ht="38.25" customHeight="1" x14ac:dyDescent="0.25">
      <c r="A22" s="200" t="s">
        <v>45</v>
      </c>
      <c r="B22" s="200" t="s">
        <v>461</v>
      </c>
      <c r="C22" s="200" t="s">
        <v>103</v>
      </c>
      <c r="D22" s="201" t="str">
        <f>D4</f>
        <v>Вложения (руб) на 01.03.2021</v>
      </c>
      <c r="E22" s="81" t="s">
        <v>166</v>
      </c>
      <c r="F22" s="206"/>
      <c r="G22" s="206"/>
      <c r="H22" s="200" t="s">
        <v>45</v>
      </c>
      <c r="I22" s="200" t="s">
        <v>461</v>
      </c>
      <c r="J22" s="200" t="s">
        <v>103</v>
      </c>
      <c r="K22" s="201" t="str">
        <f>D4</f>
        <v>Вложения (руб) на 01.03.2021</v>
      </c>
      <c r="L22" s="81" t="s">
        <v>166</v>
      </c>
      <c r="M22" s="206"/>
      <c r="N22" s="203"/>
      <c r="O22" s="158"/>
      <c r="P22" s="142">
        <f>SUM(P11:P21)</f>
        <v>0</v>
      </c>
      <c r="Q22" s="203"/>
      <c r="R22" s="158"/>
      <c r="S22" s="142">
        <f>SUM(S11:S21)</f>
        <v>0</v>
      </c>
    </row>
    <row r="23" spans="1:21" x14ac:dyDescent="0.25">
      <c r="A23" s="200"/>
      <c r="B23" s="200"/>
      <c r="C23" s="200"/>
      <c r="D23" s="202"/>
      <c r="E23" s="109"/>
      <c r="F23" s="207"/>
      <c r="G23" s="207"/>
      <c r="H23" s="200"/>
      <c r="I23" s="200"/>
      <c r="J23" s="200"/>
      <c r="K23" s="202"/>
      <c r="L23" s="109"/>
      <c r="M23" s="207"/>
      <c r="N23" s="203"/>
      <c r="O23" s="146" t="s">
        <v>14</v>
      </c>
      <c r="P23" s="142">
        <f ca="1">P22+D5+D11+D17-'портефль до погашения'!F3</f>
        <v>-54505861880.169998</v>
      </c>
      <c r="Q23" s="203"/>
      <c r="R23" s="146" t="s">
        <v>14</v>
      </c>
      <c r="S23" s="142">
        <f ca="1">S22+K11+K17-'портефль до погашения'!F4</f>
        <v>-3197845220.7771502</v>
      </c>
    </row>
    <row r="24" spans="1:21" x14ac:dyDescent="0.25">
      <c r="A24" s="200"/>
      <c r="B24" s="200"/>
      <c r="C24" s="200"/>
      <c r="D24" s="202"/>
      <c r="E24" s="109"/>
      <c r="F24" s="207"/>
      <c r="G24" s="207"/>
      <c r="H24" s="200"/>
      <c r="I24" s="200"/>
      <c r="J24" s="200"/>
      <c r="K24" s="202"/>
      <c r="L24" s="109"/>
      <c r="M24" s="207"/>
      <c r="N24" s="203"/>
      <c r="O24" s="203"/>
      <c r="P24" s="203"/>
      <c r="Q24" s="203"/>
      <c r="R24" s="203"/>
      <c r="S24" s="203"/>
    </row>
    <row r="25" spans="1:21" x14ac:dyDescent="0.25">
      <c r="A25" s="200"/>
      <c r="B25" s="200"/>
      <c r="C25" s="200"/>
      <c r="D25" s="202"/>
      <c r="E25" s="109"/>
      <c r="F25" s="207"/>
      <c r="G25" s="207"/>
      <c r="H25" s="200"/>
      <c r="I25" s="200"/>
      <c r="J25" s="200"/>
      <c r="K25" s="202"/>
      <c r="L25" s="109"/>
      <c r="M25" s="207"/>
      <c r="N25" s="203"/>
      <c r="O25" s="203"/>
      <c r="P25" s="203"/>
      <c r="Q25" s="203"/>
      <c r="R25" s="203"/>
      <c r="S25" s="203"/>
    </row>
    <row r="26" spans="1:21" x14ac:dyDescent="0.25">
      <c r="A26" s="200"/>
      <c r="B26" s="200"/>
      <c r="C26" s="200"/>
      <c r="D26" s="202"/>
      <c r="E26" s="109"/>
      <c r="F26" s="207"/>
      <c r="G26" s="207"/>
      <c r="H26" s="200"/>
      <c r="I26" s="200"/>
      <c r="J26" s="200"/>
      <c r="K26" s="202"/>
      <c r="L26" s="109"/>
      <c r="M26" s="207"/>
      <c r="N26" s="203"/>
      <c r="O26" s="203"/>
      <c r="P26" s="203"/>
      <c r="Q26" s="203"/>
      <c r="R26" s="203"/>
      <c r="S26" s="203"/>
    </row>
    <row r="27" spans="1:21" x14ac:dyDescent="0.25">
      <c r="A27" s="200"/>
      <c r="B27" s="200"/>
      <c r="C27" s="200"/>
      <c r="D27" s="202"/>
      <c r="E27" s="109"/>
      <c r="F27" s="207"/>
      <c r="G27" s="207"/>
      <c r="H27" s="200"/>
      <c r="I27" s="200"/>
      <c r="J27" s="200"/>
      <c r="K27" s="202"/>
      <c r="L27" s="109"/>
      <c r="M27" s="207"/>
      <c r="N27" s="203"/>
      <c r="O27" s="203"/>
      <c r="P27" s="203"/>
      <c r="Q27" s="203"/>
      <c r="R27" s="203"/>
      <c r="S27" s="203"/>
      <c r="T27" s="203"/>
      <c r="U27" s="203"/>
    </row>
    <row r="28" spans="1:21" x14ac:dyDescent="0.25">
      <c r="A28" s="200"/>
      <c r="B28" s="200"/>
      <c r="C28" s="200"/>
      <c r="D28" s="202"/>
      <c r="E28" s="109"/>
      <c r="F28" s="207"/>
      <c r="G28" s="207"/>
      <c r="H28" s="200"/>
      <c r="I28" s="200"/>
      <c r="J28" s="200"/>
      <c r="K28" s="202"/>
      <c r="L28" s="109"/>
      <c r="M28" s="207"/>
      <c r="N28" s="203"/>
      <c r="O28" s="203"/>
      <c r="P28" s="203"/>
      <c r="Q28" s="203"/>
      <c r="R28" s="203"/>
      <c r="S28" s="203"/>
      <c r="T28" s="203"/>
      <c r="U28" s="203"/>
    </row>
    <row r="29" spans="1:21" x14ac:dyDescent="0.25">
      <c r="A29" s="200"/>
      <c r="B29" s="200"/>
      <c r="C29" s="200"/>
      <c r="D29" s="202"/>
      <c r="E29" s="109"/>
      <c r="F29" s="207"/>
      <c r="G29" s="207"/>
      <c r="H29" s="200"/>
      <c r="I29" s="200"/>
      <c r="J29" s="200"/>
      <c r="K29" s="202"/>
      <c r="L29" s="109"/>
      <c r="M29" s="207"/>
      <c r="N29" s="203"/>
      <c r="O29" s="203"/>
      <c r="P29" s="203"/>
      <c r="Q29" s="203"/>
      <c r="R29" s="203"/>
      <c r="S29" s="203"/>
      <c r="T29" s="203"/>
      <c r="U29" s="203"/>
    </row>
    <row r="30" spans="1:21" x14ac:dyDescent="0.25">
      <c r="A30" s="200"/>
      <c r="B30" s="200"/>
      <c r="C30" s="200"/>
      <c r="D30" s="202"/>
      <c r="E30" s="109"/>
      <c r="F30" s="207"/>
      <c r="G30" s="207"/>
      <c r="H30" s="200"/>
      <c r="I30" s="200"/>
      <c r="J30" s="200"/>
      <c r="K30" s="202"/>
      <c r="L30" s="109"/>
      <c r="M30" s="207"/>
      <c r="N30" s="203"/>
      <c r="O30" s="203"/>
      <c r="P30" s="203"/>
      <c r="Q30" s="203"/>
      <c r="R30" s="203"/>
      <c r="S30" s="203"/>
      <c r="T30" s="203"/>
      <c r="U30" s="203"/>
    </row>
    <row r="31" spans="1:21" x14ac:dyDescent="0.25">
      <c r="A31" s="200"/>
      <c r="B31" s="200"/>
      <c r="C31" s="200"/>
      <c r="D31" s="202"/>
      <c r="E31" s="109"/>
      <c r="F31" s="207"/>
      <c r="G31" s="207"/>
      <c r="H31" s="207"/>
      <c r="I31" s="207"/>
      <c r="J31" s="207"/>
      <c r="K31" s="207"/>
      <c r="L31" s="207"/>
      <c r="M31" s="207"/>
      <c r="N31" s="203"/>
      <c r="O31" s="203"/>
      <c r="P31" s="203"/>
      <c r="Q31" s="203"/>
      <c r="R31" s="203"/>
      <c r="S31" s="203"/>
      <c r="T31" s="203"/>
      <c r="U31" s="203"/>
    </row>
    <row r="32" spans="1:21" x14ac:dyDescent="0.25">
      <c r="A32" s="200"/>
      <c r="B32" s="200"/>
      <c r="C32" s="200"/>
      <c r="D32" s="202"/>
      <c r="E32" s="109"/>
      <c r="F32" s="207"/>
      <c r="G32" s="207"/>
      <c r="H32" s="207"/>
      <c r="I32" s="207"/>
      <c r="J32" s="207"/>
      <c r="K32" s="207"/>
      <c r="L32" s="207"/>
      <c r="M32" s="207"/>
      <c r="N32" s="203"/>
      <c r="O32" s="203"/>
      <c r="P32" s="203"/>
      <c r="Q32" s="203"/>
      <c r="R32" s="203"/>
      <c r="S32" s="203"/>
      <c r="T32" s="203"/>
      <c r="U32" s="203"/>
    </row>
    <row r="33" spans="1:21" x14ac:dyDescent="0.25">
      <c r="A33" s="200"/>
      <c r="B33" s="200"/>
      <c r="C33" s="200"/>
      <c r="D33" s="202"/>
      <c r="E33" s="109"/>
      <c r="F33" s="207"/>
      <c r="G33" s="207"/>
      <c r="H33" s="207"/>
      <c r="I33" s="207"/>
      <c r="J33" s="207"/>
      <c r="K33" s="207"/>
      <c r="L33" s="207"/>
      <c r="M33" s="207"/>
      <c r="N33" s="203"/>
      <c r="O33" s="203"/>
      <c r="P33" s="203"/>
      <c r="Q33" s="203"/>
      <c r="R33" s="203"/>
      <c r="S33" s="203"/>
      <c r="T33" s="203"/>
      <c r="U33" s="203"/>
    </row>
    <row r="34" spans="1:21" x14ac:dyDescent="0.25">
      <c r="A34" s="200"/>
      <c r="B34" s="200"/>
      <c r="C34" s="200"/>
      <c r="D34" s="202"/>
      <c r="E34" s="109"/>
      <c r="F34" s="207"/>
      <c r="G34" s="207"/>
      <c r="H34" s="207"/>
      <c r="I34" s="207"/>
      <c r="J34" s="207"/>
      <c r="K34" s="207"/>
      <c r="L34" s="207"/>
      <c r="M34" s="207"/>
      <c r="N34" s="203"/>
      <c r="O34" s="203"/>
      <c r="P34" s="203"/>
      <c r="Q34" s="203"/>
      <c r="R34" s="203"/>
      <c r="S34" s="203"/>
      <c r="T34" s="203"/>
      <c r="U34" s="203"/>
    </row>
    <row r="35" spans="1:21" x14ac:dyDescent="0.25">
      <c r="A35" s="200"/>
      <c r="B35" s="200"/>
      <c r="C35" s="200"/>
      <c r="D35" s="202"/>
      <c r="E35" s="109"/>
      <c r="F35" s="207"/>
      <c r="G35" s="207"/>
      <c r="H35" s="207"/>
      <c r="I35" s="207"/>
      <c r="J35" s="207"/>
      <c r="K35" s="207"/>
      <c r="L35" s="207"/>
      <c r="M35" s="207"/>
      <c r="N35" s="203"/>
      <c r="O35" s="203"/>
      <c r="P35" s="203"/>
      <c r="Q35" s="203"/>
      <c r="R35" s="203"/>
      <c r="S35" s="203"/>
    </row>
    <row r="36" spans="1:21" x14ac:dyDescent="0.25">
      <c r="A36" s="200"/>
      <c r="B36" s="200"/>
      <c r="C36" s="200"/>
      <c r="D36" s="202"/>
      <c r="E36" s="109"/>
      <c r="F36" s="207"/>
      <c r="G36" s="207"/>
      <c r="H36" s="207"/>
      <c r="I36" s="207"/>
      <c r="J36" s="207"/>
      <c r="K36" s="207"/>
      <c r="L36" s="207"/>
      <c r="M36" s="207"/>
      <c r="N36" s="203"/>
      <c r="O36" s="203"/>
      <c r="P36" s="203"/>
      <c r="Q36" s="203"/>
      <c r="R36" s="203"/>
      <c r="S36" s="203"/>
    </row>
    <row r="37" spans="1:21" x14ac:dyDescent="0.25">
      <c r="A37" s="200"/>
      <c r="B37" s="200"/>
      <c r="C37" s="200"/>
      <c r="D37" s="202"/>
      <c r="E37" s="109"/>
      <c r="F37" s="207"/>
      <c r="G37" s="207"/>
      <c r="H37" s="207"/>
      <c r="I37" s="207"/>
      <c r="J37" s="207"/>
      <c r="K37" s="207"/>
      <c r="L37" s="207"/>
      <c r="M37" s="207"/>
      <c r="N37" s="203"/>
      <c r="O37" s="203"/>
      <c r="P37" s="203"/>
      <c r="Q37" s="203"/>
      <c r="R37" s="203"/>
      <c r="S37" s="203"/>
    </row>
    <row r="38" spans="1:21" x14ac:dyDescent="0.25">
      <c r="A38" s="200"/>
      <c r="B38" s="200"/>
      <c r="C38" s="200"/>
      <c r="D38" s="202"/>
      <c r="E38" s="109"/>
      <c r="F38" s="207"/>
      <c r="G38" s="207"/>
      <c r="H38" s="207"/>
      <c r="I38" s="207"/>
      <c r="J38" s="207"/>
      <c r="K38" s="207"/>
      <c r="L38" s="207"/>
      <c r="M38" s="207"/>
      <c r="N38" s="203"/>
      <c r="O38" s="203"/>
      <c r="P38" s="203"/>
      <c r="Q38" s="203"/>
      <c r="R38" s="203"/>
      <c r="S38" s="203"/>
    </row>
    <row r="39" spans="1:21" x14ac:dyDescent="0.25">
      <c r="A39" s="200"/>
      <c r="B39" s="200"/>
      <c r="C39" s="200"/>
      <c r="D39" s="202"/>
      <c r="E39" s="109"/>
      <c r="F39" s="207"/>
      <c r="G39" s="207"/>
      <c r="H39" s="207"/>
      <c r="I39" s="207"/>
      <c r="J39" s="207"/>
      <c r="K39" s="207"/>
      <c r="L39" s="207"/>
      <c r="M39" s="207"/>
      <c r="N39" s="203"/>
      <c r="O39" s="203"/>
      <c r="P39" s="203"/>
      <c r="Q39" s="203"/>
      <c r="R39" s="203"/>
      <c r="S39" s="203"/>
    </row>
    <row r="40" spans="1:21" x14ac:dyDescent="0.25">
      <c r="A40" s="200"/>
      <c r="B40" s="200"/>
      <c r="C40" s="200"/>
      <c r="D40" s="202"/>
      <c r="E40" s="109"/>
      <c r="F40" s="207"/>
      <c r="G40" s="207"/>
      <c r="H40" s="207"/>
      <c r="I40" s="207"/>
      <c r="J40" s="207"/>
      <c r="K40" s="207"/>
      <c r="L40" s="207"/>
      <c r="M40" s="207"/>
      <c r="N40" s="203"/>
      <c r="O40" s="203"/>
      <c r="P40" s="203"/>
      <c r="Q40" s="203"/>
      <c r="R40" s="203"/>
      <c r="S40" s="203"/>
    </row>
    <row r="41" spans="1:21" x14ac:dyDescent="0.25">
      <c r="A41" s="200"/>
      <c r="B41" s="200"/>
      <c r="C41" s="200"/>
      <c r="D41" s="202"/>
      <c r="E41" s="109"/>
      <c r="F41" s="207"/>
      <c r="G41" s="207"/>
      <c r="H41" s="207"/>
      <c r="I41" s="207"/>
      <c r="J41" s="207"/>
      <c r="K41" s="207"/>
      <c r="L41" s="207"/>
      <c r="M41" s="207"/>
      <c r="N41" s="203"/>
      <c r="O41" s="203"/>
      <c r="P41" s="203"/>
      <c r="Q41" s="203"/>
      <c r="R41" s="203"/>
      <c r="S41" s="203"/>
    </row>
    <row r="42" spans="1:21" x14ac:dyDescent="0.25">
      <c r="A42" s="200"/>
      <c r="B42" s="200"/>
      <c r="C42" s="200"/>
      <c r="D42" s="202"/>
      <c r="E42" s="109"/>
      <c r="F42" s="207"/>
      <c r="G42" s="207"/>
      <c r="H42" s="207"/>
      <c r="I42" s="207"/>
      <c r="J42" s="207"/>
      <c r="K42" s="207"/>
      <c r="L42" s="207"/>
      <c r="M42" s="207"/>
      <c r="N42" s="203"/>
      <c r="O42" s="203"/>
      <c r="P42" s="203"/>
      <c r="Q42" s="203"/>
      <c r="R42" s="203"/>
      <c r="S42" s="203"/>
    </row>
    <row r="43" spans="1:21" x14ac:dyDescent="0.25">
      <c r="A43" s="200"/>
      <c r="B43" s="200"/>
      <c r="C43" s="200"/>
      <c r="D43" s="202"/>
      <c r="E43" s="109"/>
      <c r="F43" s="207"/>
      <c r="G43" s="207"/>
      <c r="H43" s="207"/>
      <c r="I43" s="207"/>
      <c r="J43" s="207"/>
      <c r="K43" s="207"/>
      <c r="L43" s="207"/>
      <c r="M43" s="207"/>
      <c r="N43" s="203"/>
      <c r="O43" s="203"/>
      <c r="P43" s="203"/>
      <c r="Q43" s="203"/>
      <c r="R43" s="203"/>
      <c r="S43" s="203"/>
    </row>
    <row r="44" spans="1:21" x14ac:dyDescent="0.25">
      <c r="A44" s="200"/>
      <c r="B44" s="200"/>
      <c r="C44" s="200"/>
      <c r="D44" s="202"/>
      <c r="E44" s="109"/>
      <c r="F44" s="207"/>
      <c r="G44" s="207"/>
      <c r="H44" s="207"/>
      <c r="I44" s="207"/>
      <c r="J44" s="207"/>
      <c r="K44" s="207"/>
      <c r="L44" s="207"/>
      <c r="M44" s="207"/>
      <c r="N44" s="203"/>
      <c r="O44" s="203"/>
      <c r="P44" s="203"/>
      <c r="Q44" s="203"/>
      <c r="R44" s="203"/>
      <c r="S44" s="203"/>
    </row>
    <row r="45" spans="1:21" x14ac:dyDescent="0.25">
      <c r="A45" s="200"/>
      <c r="B45" s="200"/>
      <c r="C45" s="200"/>
      <c r="D45" s="202"/>
      <c r="E45" s="109"/>
      <c r="F45" s="207"/>
      <c r="G45" s="207"/>
      <c r="H45" s="207"/>
      <c r="I45" s="207"/>
      <c r="J45" s="207"/>
      <c r="K45" s="207"/>
      <c r="L45" s="207"/>
      <c r="M45" s="207"/>
      <c r="N45" s="203"/>
      <c r="O45" s="203"/>
      <c r="P45" s="203"/>
      <c r="Q45" s="203"/>
      <c r="R45" s="203"/>
      <c r="S45" s="203"/>
    </row>
    <row r="46" spans="1:21" x14ac:dyDescent="0.25">
      <c r="A46" s="200"/>
      <c r="B46" s="200"/>
      <c r="C46" s="200"/>
      <c r="D46" s="202"/>
      <c r="E46" s="109"/>
      <c r="F46" s="207"/>
      <c r="G46" s="207"/>
      <c r="H46" s="207"/>
      <c r="I46" s="207"/>
      <c r="J46" s="207"/>
      <c r="K46" s="207"/>
      <c r="L46" s="207"/>
      <c r="M46" s="207"/>
      <c r="N46" s="203"/>
      <c r="O46" s="203"/>
      <c r="P46" s="203"/>
      <c r="Q46" s="203"/>
      <c r="R46" s="203"/>
      <c r="S46" s="203"/>
    </row>
    <row r="47" spans="1:21" x14ac:dyDescent="0.25">
      <c r="A47" s="200"/>
      <c r="B47" s="200"/>
      <c r="C47" s="200"/>
      <c r="D47" s="202"/>
      <c r="E47" s="109"/>
      <c r="F47" s="207"/>
      <c r="G47" s="207"/>
      <c r="H47" s="207"/>
      <c r="I47" s="207"/>
      <c r="J47" s="207"/>
      <c r="K47" s="207"/>
      <c r="L47" s="207"/>
      <c r="M47" s="207"/>
      <c r="N47" s="203"/>
      <c r="O47" s="203"/>
      <c r="P47" s="203"/>
      <c r="Q47" s="203"/>
      <c r="R47" s="203"/>
      <c r="S47" s="203"/>
    </row>
    <row r="48" spans="1:21" x14ac:dyDescent="0.25">
      <c r="A48" s="200"/>
      <c r="B48" s="200"/>
      <c r="C48" s="200"/>
      <c r="D48" s="202"/>
      <c r="E48" s="109"/>
      <c r="F48" s="207"/>
      <c r="G48" s="207"/>
      <c r="H48" s="207"/>
      <c r="I48" s="207"/>
      <c r="J48" s="207"/>
      <c r="K48" s="207"/>
      <c r="L48" s="207"/>
      <c r="M48" s="207"/>
      <c r="N48" s="203"/>
      <c r="O48" s="203"/>
      <c r="P48" s="203"/>
      <c r="Q48" s="203"/>
      <c r="R48" s="203"/>
      <c r="S48" s="203"/>
    </row>
    <row r="49" spans="1:19" x14ac:dyDescent="0.25">
      <c r="A49" s="200"/>
      <c r="B49" s="200"/>
      <c r="C49" s="200"/>
      <c r="D49" s="202"/>
      <c r="E49" s="109"/>
      <c r="F49" s="207"/>
      <c r="G49" s="207"/>
      <c r="H49" s="207"/>
      <c r="I49" s="207"/>
      <c r="J49" s="207"/>
      <c r="K49" s="207"/>
      <c r="L49" s="207"/>
      <c r="M49" s="207"/>
      <c r="N49" s="203"/>
      <c r="O49" s="203"/>
      <c r="P49" s="203"/>
      <c r="Q49" s="203"/>
      <c r="R49" s="203"/>
      <c r="S49" s="203"/>
    </row>
    <row r="50" spans="1:19" x14ac:dyDescent="0.25">
      <c r="A50" s="200"/>
      <c r="B50" s="200"/>
      <c r="C50" s="200"/>
      <c r="D50" s="202"/>
      <c r="E50" s="109"/>
      <c r="F50" s="207"/>
      <c r="G50" s="207"/>
      <c r="H50" s="207"/>
      <c r="I50" s="207"/>
      <c r="J50" s="207"/>
      <c r="K50" s="207"/>
      <c r="L50" s="207"/>
      <c r="M50" s="207"/>
      <c r="N50" s="203"/>
      <c r="O50" s="203"/>
      <c r="P50" s="203"/>
      <c r="Q50" s="203"/>
      <c r="R50" s="203"/>
      <c r="S50" s="203"/>
    </row>
    <row r="51" spans="1:19" x14ac:dyDescent="0.25">
      <c r="A51" s="200"/>
      <c r="B51" s="200"/>
      <c r="C51" s="200"/>
      <c r="D51" s="202"/>
      <c r="E51" s="109"/>
      <c r="F51" s="207"/>
      <c r="G51" s="207"/>
      <c r="H51" s="207"/>
      <c r="I51" s="207"/>
      <c r="J51" s="207"/>
      <c r="K51" s="207"/>
      <c r="L51" s="207"/>
      <c r="M51" s="207"/>
      <c r="N51" s="203"/>
      <c r="O51" s="203"/>
      <c r="P51" s="203"/>
      <c r="Q51" s="203"/>
      <c r="R51" s="203"/>
      <c r="S51" s="203"/>
    </row>
    <row r="52" spans="1:19" x14ac:dyDescent="0.25">
      <c r="A52" s="200"/>
      <c r="B52" s="200"/>
      <c r="C52" s="200"/>
      <c r="D52" s="202"/>
      <c r="E52" s="109"/>
      <c r="F52" s="207"/>
      <c r="G52" s="207"/>
      <c r="H52" s="207"/>
      <c r="I52" s="207"/>
      <c r="J52" s="207"/>
      <c r="K52" s="207"/>
      <c r="L52" s="207"/>
      <c r="M52" s="207"/>
      <c r="N52" s="203"/>
      <c r="O52" s="203"/>
      <c r="P52" s="203"/>
      <c r="Q52" s="203"/>
      <c r="R52" s="203"/>
      <c r="S52" s="203"/>
    </row>
    <row r="53" spans="1:19" x14ac:dyDescent="0.25">
      <c r="A53" s="200"/>
      <c r="B53" s="200"/>
      <c r="C53" s="200"/>
      <c r="D53" s="202"/>
      <c r="E53" s="109"/>
      <c r="F53" s="207"/>
      <c r="G53" s="207"/>
      <c r="H53" s="207"/>
      <c r="I53" s="207"/>
      <c r="J53" s="207"/>
      <c r="K53" s="207"/>
      <c r="L53" s="207"/>
      <c r="M53" s="207"/>
      <c r="N53" s="203"/>
      <c r="O53" s="203"/>
      <c r="P53" s="203"/>
      <c r="Q53" s="203"/>
      <c r="R53" s="203"/>
      <c r="S53" s="203"/>
    </row>
    <row r="54" spans="1:19" x14ac:dyDescent="0.25">
      <c r="A54" s="200"/>
      <c r="B54" s="200"/>
      <c r="C54" s="200"/>
      <c r="D54" s="202"/>
      <c r="E54" s="109"/>
      <c r="F54" s="207"/>
      <c r="G54" s="207"/>
      <c r="H54" s="207"/>
      <c r="I54" s="207"/>
      <c r="J54" s="207"/>
      <c r="K54" s="207"/>
      <c r="L54" s="207"/>
      <c r="M54" s="207"/>
      <c r="N54" s="203"/>
      <c r="O54" s="203"/>
      <c r="P54" s="203"/>
      <c r="Q54" s="203"/>
      <c r="R54" s="203"/>
      <c r="S54" s="203"/>
    </row>
    <row r="55" spans="1:19" x14ac:dyDescent="0.25">
      <c r="A55" s="200"/>
      <c r="B55" s="200"/>
      <c r="C55" s="200"/>
      <c r="D55" s="202"/>
      <c r="E55" s="109"/>
      <c r="F55" s="207"/>
      <c r="G55" s="207"/>
      <c r="H55" s="207"/>
      <c r="I55" s="207"/>
      <c r="J55" s="207"/>
      <c r="K55" s="207"/>
      <c r="L55" s="207"/>
      <c r="M55" s="207"/>
      <c r="N55" s="203"/>
      <c r="O55" s="203"/>
      <c r="P55" s="203"/>
      <c r="Q55" s="203"/>
      <c r="R55" s="203"/>
      <c r="S55" s="203"/>
    </row>
    <row r="56" spans="1:19" x14ac:dyDescent="0.25">
      <c r="A56" s="200"/>
      <c r="B56" s="200"/>
      <c r="C56" s="200"/>
      <c r="D56" s="202"/>
      <c r="E56" s="109"/>
      <c r="F56" s="207"/>
      <c r="G56" s="207"/>
      <c r="H56" s="207"/>
      <c r="I56" s="207"/>
      <c r="J56" s="207"/>
      <c r="K56" s="207"/>
      <c r="L56" s="207"/>
      <c r="M56" s="207"/>
      <c r="N56" s="203"/>
      <c r="O56" s="203"/>
      <c r="P56" s="203"/>
      <c r="Q56" s="203"/>
      <c r="R56" s="203"/>
      <c r="S56" s="203"/>
    </row>
    <row r="57" spans="1:19" x14ac:dyDescent="0.25">
      <c r="A57" s="200"/>
      <c r="B57" s="200"/>
      <c r="C57" s="200"/>
      <c r="D57" s="202"/>
      <c r="E57" s="109"/>
      <c r="F57" s="207"/>
      <c r="G57" s="207"/>
      <c r="H57" s="207"/>
      <c r="I57" s="207"/>
      <c r="J57" s="207"/>
      <c r="K57" s="207"/>
      <c r="L57" s="207"/>
      <c r="M57" s="207"/>
      <c r="N57" s="203"/>
      <c r="O57" s="203"/>
      <c r="P57" s="203"/>
      <c r="Q57" s="203"/>
      <c r="R57" s="203"/>
      <c r="S57" s="203"/>
    </row>
    <row r="58" spans="1:19" x14ac:dyDescent="0.25">
      <c r="A58" s="200"/>
      <c r="B58" s="200"/>
      <c r="C58" s="200"/>
      <c r="D58" s="202"/>
      <c r="E58" s="109"/>
      <c r="F58" s="207"/>
      <c r="G58" s="207"/>
      <c r="H58" s="207"/>
      <c r="I58" s="207"/>
      <c r="J58" s="207"/>
      <c r="K58" s="207"/>
      <c r="L58" s="207"/>
      <c r="M58" s="207"/>
      <c r="N58" s="203"/>
      <c r="O58" s="203"/>
      <c r="P58" s="203"/>
      <c r="Q58" s="203"/>
      <c r="R58" s="203"/>
      <c r="S58" s="203"/>
    </row>
    <row r="59" spans="1:19" x14ac:dyDescent="0.25">
      <c r="A59" s="200"/>
      <c r="B59" s="200"/>
      <c r="C59" s="200"/>
      <c r="D59" s="202"/>
      <c r="E59" s="109"/>
      <c r="F59" s="207"/>
      <c r="G59" s="207"/>
      <c r="H59" s="207"/>
      <c r="I59" s="207"/>
      <c r="J59" s="207"/>
      <c r="K59" s="207"/>
      <c r="L59" s="207"/>
      <c r="M59" s="207"/>
      <c r="N59" s="203"/>
      <c r="O59" s="203"/>
      <c r="P59" s="203"/>
      <c r="Q59" s="203"/>
      <c r="R59" s="203"/>
      <c r="S59" s="203"/>
    </row>
    <row r="60" spans="1:19" x14ac:dyDescent="0.25">
      <c r="A60" s="200"/>
      <c r="B60" s="200"/>
      <c r="C60" s="200"/>
      <c r="D60" s="202"/>
      <c r="E60" s="109"/>
      <c r="F60" s="207"/>
      <c r="G60" s="207"/>
      <c r="H60" s="207"/>
      <c r="I60" s="207"/>
      <c r="J60" s="207"/>
      <c r="K60" s="207"/>
      <c r="L60" s="207"/>
      <c r="M60" s="207"/>
      <c r="N60" s="203"/>
      <c r="O60" s="203"/>
      <c r="P60" s="203"/>
      <c r="Q60" s="203"/>
      <c r="R60" s="203"/>
      <c r="S60" s="203"/>
    </row>
    <row r="61" spans="1:19" x14ac:dyDescent="0.25">
      <c r="A61" s="200"/>
      <c r="B61" s="200"/>
      <c r="C61" s="200"/>
      <c r="D61" s="202"/>
      <c r="E61" s="109"/>
      <c r="F61" s="207"/>
      <c r="G61" s="207"/>
      <c r="H61" s="207"/>
      <c r="I61" s="207"/>
      <c r="J61" s="207"/>
      <c r="K61" s="207"/>
      <c r="L61" s="207"/>
      <c r="M61" s="207"/>
      <c r="N61" s="203"/>
      <c r="O61" s="203"/>
      <c r="P61" s="203"/>
      <c r="Q61" s="203"/>
      <c r="R61" s="203"/>
      <c r="S61" s="203"/>
    </row>
    <row r="62" spans="1:19" x14ac:dyDescent="0.25">
      <c r="A62" s="200"/>
      <c r="B62" s="200"/>
      <c r="C62" s="200"/>
      <c r="D62" s="202"/>
      <c r="E62" s="109"/>
      <c r="F62" s="207"/>
      <c r="G62" s="207"/>
      <c r="H62" s="207"/>
      <c r="I62" s="207"/>
      <c r="J62" s="207"/>
      <c r="K62" s="207"/>
      <c r="L62" s="207"/>
      <c r="M62" s="207"/>
      <c r="N62" s="203"/>
      <c r="O62" s="203"/>
      <c r="P62" s="203"/>
      <c r="Q62" s="203"/>
      <c r="R62" s="203"/>
      <c r="S62" s="203"/>
    </row>
    <row r="63" spans="1:19" x14ac:dyDescent="0.25">
      <c r="A63" s="200"/>
      <c r="B63" s="200"/>
      <c r="C63" s="200"/>
      <c r="D63" s="202"/>
      <c r="E63" s="109"/>
      <c r="F63" s="207"/>
      <c r="G63" s="207"/>
      <c r="H63" s="207"/>
      <c r="I63" s="207"/>
      <c r="J63" s="207"/>
      <c r="K63" s="207"/>
      <c r="L63" s="207"/>
      <c r="M63" s="207"/>
      <c r="N63" s="203"/>
      <c r="O63" s="203"/>
      <c r="P63" s="203"/>
      <c r="Q63" s="203"/>
      <c r="R63" s="203"/>
      <c r="S63" s="203"/>
    </row>
    <row r="64" spans="1:19" x14ac:dyDescent="0.25">
      <c r="A64" s="200"/>
      <c r="B64" s="200"/>
      <c r="C64" s="200"/>
      <c r="D64" s="202"/>
      <c r="E64" s="109"/>
      <c r="F64" s="207"/>
      <c r="G64" s="207"/>
      <c r="H64" s="207"/>
      <c r="I64" s="207"/>
      <c r="J64" s="207"/>
      <c r="K64" s="207"/>
      <c r="L64" s="207"/>
      <c r="M64" s="207"/>
      <c r="N64" s="203"/>
      <c r="O64" s="203"/>
      <c r="P64" s="203"/>
      <c r="Q64" s="203"/>
      <c r="R64" s="203"/>
      <c r="S64" s="203"/>
    </row>
    <row r="65" spans="1:19" x14ac:dyDescent="0.25">
      <c r="A65" s="200"/>
      <c r="B65" s="200"/>
      <c r="C65" s="200"/>
      <c r="D65" s="202"/>
      <c r="E65" s="109"/>
      <c r="F65" s="207"/>
      <c r="G65" s="207"/>
      <c r="H65" s="207"/>
      <c r="I65" s="207"/>
      <c r="J65" s="207"/>
      <c r="K65" s="207"/>
      <c r="L65" s="207"/>
      <c r="M65" s="207"/>
      <c r="N65" s="203"/>
      <c r="O65" s="203"/>
      <c r="P65" s="203"/>
      <c r="Q65" s="203"/>
      <c r="R65" s="203"/>
      <c r="S65" s="203"/>
    </row>
    <row r="66" spans="1:19" x14ac:dyDescent="0.25">
      <c r="A66" s="200"/>
      <c r="B66" s="200"/>
      <c r="C66" s="200"/>
      <c r="D66" s="202"/>
      <c r="E66" s="109"/>
      <c r="F66" s="207"/>
      <c r="G66" s="207"/>
      <c r="H66" s="207"/>
      <c r="I66" s="207"/>
      <c r="J66" s="207"/>
      <c r="K66" s="207"/>
      <c r="L66" s="207"/>
      <c r="M66" s="207"/>
      <c r="N66" s="203"/>
      <c r="O66" s="203"/>
      <c r="P66" s="203"/>
      <c r="Q66" s="203"/>
      <c r="R66" s="203"/>
      <c r="S66" s="203"/>
    </row>
    <row r="67" spans="1:19" x14ac:dyDescent="0.25">
      <c r="A67" s="200"/>
      <c r="B67" s="200"/>
      <c r="C67" s="200"/>
      <c r="D67" s="202"/>
      <c r="E67" s="109"/>
      <c r="F67" s="207"/>
      <c r="G67" s="207"/>
      <c r="H67" s="207"/>
      <c r="I67" s="207"/>
      <c r="J67" s="207"/>
      <c r="K67" s="207"/>
      <c r="L67" s="207"/>
      <c r="M67" s="207"/>
      <c r="N67" s="203"/>
      <c r="O67" s="203"/>
      <c r="P67" s="203"/>
      <c r="Q67" s="203"/>
      <c r="R67" s="203"/>
      <c r="S67" s="203"/>
    </row>
    <row r="68" spans="1:19" x14ac:dyDescent="0.25">
      <c r="A68" s="200"/>
      <c r="B68" s="200"/>
      <c r="C68" s="200"/>
      <c r="D68" s="202"/>
      <c r="E68" s="109"/>
      <c r="F68" s="207"/>
      <c r="G68" s="207"/>
      <c r="H68" s="207"/>
      <c r="I68" s="207"/>
      <c r="J68" s="207"/>
      <c r="K68" s="207"/>
      <c r="L68" s="207"/>
      <c r="M68" s="207"/>
      <c r="N68" s="203"/>
      <c r="O68" s="203"/>
      <c r="P68" s="203"/>
      <c r="Q68" s="203"/>
      <c r="R68" s="203"/>
      <c r="S68" s="203"/>
    </row>
    <row r="69" spans="1:19" x14ac:dyDescent="0.25">
      <c r="A69" s="200"/>
      <c r="B69" s="200"/>
      <c r="C69" s="200"/>
      <c r="D69" s="202"/>
      <c r="E69" s="109"/>
      <c r="F69" s="207"/>
      <c r="G69" s="207"/>
      <c r="H69" s="207"/>
      <c r="I69" s="207"/>
      <c r="J69" s="207"/>
      <c r="K69" s="207"/>
      <c r="L69" s="207"/>
      <c r="M69" s="207"/>
      <c r="N69" s="203"/>
      <c r="O69" s="203"/>
      <c r="P69" s="203"/>
      <c r="Q69" s="203"/>
      <c r="R69" s="203"/>
      <c r="S69" s="203"/>
    </row>
    <row r="70" spans="1:19" x14ac:dyDescent="0.25">
      <c r="A70" s="200"/>
      <c r="B70" s="200"/>
      <c r="C70" s="200"/>
      <c r="D70" s="202"/>
      <c r="E70" s="109"/>
      <c r="F70" s="207"/>
      <c r="G70" s="207"/>
      <c r="H70" s="207"/>
      <c r="I70" s="207"/>
      <c r="J70" s="207"/>
      <c r="K70" s="207"/>
      <c r="L70" s="207"/>
      <c r="M70" s="207"/>
      <c r="N70" s="203"/>
      <c r="O70" s="203"/>
      <c r="P70" s="203"/>
      <c r="Q70" s="203"/>
      <c r="R70" s="203"/>
      <c r="S70" s="203"/>
    </row>
    <row r="71" spans="1:19" x14ac:dyDescent="0.25">
      <c r="A71" s="200"/>
      <c r="B71" s="200"/>
      <c r="C71" s="200"/>
      <c r="D71" s="202"/>
      <c r="E71" s="109"/>
      <c r="F71" s="207"/>
      <c r="G71" s="207"/>
      <c r="H71" s="207"/>
      <c r="I71" s="207"/>
      <c r="J71" s="207"/>
      <c r="K71" s="207"/>
      <c r="L71" s="207"/>
      <c r="M71" s="207"/>
      <c r="N71" s="203"/>
    </row>
    <row r="72" spans="1:19" x14ac:dyDescent="0.25">
      <c r="A72" s="200"/>
      <c r="B72" s="200"/>
      <c r="C72" s="200"/>
      <c r="D72" s="202"/>
      <c r="E72" s="109"/>
      <c r="F72" s="207"/>
      <c r="G72" s="207"/>
      <c r="H72" s="207"/>
      <c r="I72" s="207"/>
      <c r="J72" s="207"/>
      <c r="K72" s="207"/>
      <c r="L72" s="207"/>
      <c r="M72" s="207"/>
      <c r="N72" s="203"/>
    </row>
    <row r="73" spans="1:19" x14ac:dyDescent="0.25">
      <c r="A73" s="200"/>
      <c r="B73" s="200"/>
      <c r="C73" s="200"/>
      <c r="D73" s="202"/>
      <c r="E73" s="109"/>
      <c r="F73" s="207"/>
      <c r="G73" s="207"/>
      <c r="H73" s="207"/>
      <c r="I73" s="207"/>
      <c r="J73" s="207"/>
      <c r="K73" s="207"/>
      <c r="L73" s="207"/>
      <c r="M73" s="207"/>
      <c r="N73" s="203"/>
    </row>
    <row r="74" spans="1:19" x14ac:dyDescent="0.25">
      <c r="A74" s="200"/>
      <c r="B74" s="200"/>
      <c r="C74" s="200"/>
      <c r="D74" s="202"/>
      <c r="E74" s="109"/>
      <c r="F74" s="207"/>
      <c r="G74" s="207"/>
      <c r="H74" s="207"/>
      <c r="I74" s="207"/>
      <c r="J74" s="207"/>
      <c r="K74" s="207"/>
      <c r="L74" s="207"/>
      <c r="M74" s="207"/>
      <c r="N74" s="203"/>
    </row>
    <row r="75" spans="1:19" x14ac:dyDescent="0.25">
      <c r="A75" s="200"/>
      <c r="B75" s="200"/>
      <c r="C75" s="200"/>
      <c r="D75" s="202"/>
      <c r="E75" s="109"/>
      <c r="F75" s="207"/>
      <c r="G75" s="207"/>
      <c r="H75" s="207"/>
      <c r="I75" s="207"/>
      <c r="J75" s="207"/>
      <c r="K75" s="207"/>
      <c r="L75" s="207"/>
      <c r="M75" s="207"/>
      <c r="N75" s="203"/>
    </row>
    <row r="76" spans="1:19" x14ac:dyDescent="0.25">
      <c r="A76" s="200"/>
      <c r="B76" s="200"/>
      <c r="C76" s="200"/>
      <c r="D76" s="202"/>
      <c r="E76" s="109"/>
      <c r="F76" s="207"/>
      <c r="G76" s="207"/>
      <c r="H76" s="207"/>
      <c r="I76" s="207"/>
      <c r="J76" s="207"/>
      <c r="K76" s="207"/>
      <c r="L76" s="207"/>
      <c r="M76" s="207"/>
      <c r="N76" s="203"/>
    </row>
    <row r="77" spans="1:19" x14ac:dyDescent="0.25">
      <c r="A77" s="200"/>
      <c r="B77" s="200"/>
      <c r="C77" s="200"/>
      <c r="D77" s="202"/>
      <c r="E77" s="109"/>
      <c r="F77" s="207"/>
      <c r="G77" s="207"/>
      <c r="H77" s="207"/>
      <c r="I77" s="207"/>
      <c r="J77" s="207"/>
      <c r="K77" s="207"/>
      <c r="L77" s="207"/>
      <c r="M77" s="207"/>
      <c r="N77" s="203"/>
    </row>
    <row r="78" spans="1:19" x14ac:dyDescent="0.25">
      <c r="A78" s="200"/>
      <c r="B78" s="200"/>
      <c r="C78" s="200"/>
      <c r="D78" s="202"/>
      <c r="E78" s="109"/>
      <c r="F78" s="207"/>
      <c r="G78" s="207"/>
      <c r="H78" s="207"/>
      <c r="I78" s="207"/>
      <c r="J78" s="207"/>
      <c r="K78" s="207"/>
      <c r="L78" s="207"/>
      <c r="M78" s="207"/>
      <c r="N78" s="203"/>
    </row>
    <row r="79" spans="1:19" x14ac:dyDescent="0.25">
      <c r="A79" s="200"/>
      <c r="B79" s="200"/>
      <c r="C79" s="200"/>
      <c r="D79" s="202"/>
      <c r="E79" s="109"/>
      <c r="F79" s="207"/>
      <c r="G79" s="207"/>
      <c r="H79" s="207"/>
      <c r="I79" s="207"/>
      <c r="J79" s="207"/>
      <c r="K79" s="207"/>
      <c r="L79" s="207"/>
      <c r="M79" s="207"/>
      <c r="N79" s="203"/>
    </row>
    <row r="80" spans="1:19" x14ac:dyDescent="0.25">
      <c r="A80" s="200"/>
      <c r="B80" s="200"/>
      <c r="C80" s="200"/>
      <c r="D80" s="202"/>
      <c r="E80" s="109"/>
      <c r="F80" s="207"/>
      <c r="G80" s="207"/>
      <c r="H80" s="207"/>
      <c r="I80" s="207"/>
      <c r="J80" s="207"/>
      <c r="K80" s="207"/>
      <c r="L80" s="207"/>
      <c r="M80" s="207"/>
      <c r="N80" s="203"/>
    </row>
    <row r="81" spans="1:14" x14ac:dyDescent="0.25">
      <c r="A81" s="200"/>
      <c r="B81" s="200"/>
      <c r="C81" s="200"/>
      <c r="D81" s="202"/>
      <c r="E81" s="109"/>
      <c r="F81" s="207"/>
      <c r="G81" s="207"/>
      <c r="H81" s="207"/>
      <c r="I81" s="207"/>
      <c r="J81" s="207"/>
      <c r="K81" s="207"/>
      <c r="L81" s="207"/>
      <c r="M81" s="207"/>
      <c r="N81" s="203"/>
    </row>
    <row r="82" spans="1:14" x14ac:dyDescent="0.25">
      <c r="A82" s="200"/>
      <c r="B82" s="200"/>
      <c r="C82" s="200"/>
      <c r="D82" s="202"/>
      <c r="E82" s="109"/>
      <c r="F82" s="207"/>
      <c r="G82" s="207"/>
      <c r="H82" s="207"/>
      <c r="I82" s="207"/>
      <c r="J82" s="207"/>
      <c r="K82" s="207"/>
      <c r="L82" s="207"/>
      <c r="M82" s="207"/>
      <c r="N82" s="203"/>
    </row>
    <row r="83" spans="1:14" x14ac:dyDescent="0.25">
      <c r="F83" s="207"/>
      <c r="G83" s="207"/>
      <c r="H83" s="207"/>
      <c r="I83" s="207"/>
      <c r="J83" s="207"/>
      <c r="K83" s="207"/>
      <c r="L83" s="207"/>
      <c r="M83" s="207"/>
      <c r="N83" s="203"/>
    </row>
  </sheetData>
  <autoFilter ref="A22:E82"/>
  <mergeCells count="13">
    <mergeCell ref="A21:E21"/>
    <mergeCell ref="H21:L21"/>
    <mergeCell ref="A2:E2"/>
    <mergeCell ref="H2:L2"/>
    <mergeCell ref="A3:E3"/>
    <mergeCell ref="A8:L8"/>
    <mergeCell ref="A9:E9"/>
    <mergeCell ref="H9:L9"/>
    <mergeCell ref="O9:S9"/>
    <mergeCell ref="O10:P10"/>
    <mergeCell ref="R10:S10"/>
    <mergeCell ref="A15:E15"/>
    <mergeCell ref="H15:L1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6" customWidth="1"/>
    <col min="2" max="2" width="18.42578125" style="66"/>
    <col min="3" max="3" width="25.28515625" style="73" customWidth="1"/>
    <col min="4" max="4" width="34.7109375" style="66" customWidth="1"/>
    <col min="5" max="5" width="50.42578125" style="66" customWidth="1"/>
    <col min="6" max="16384" width="18.42578125" style="66"/>
  </cols>
  <sheetData>
    <row r="1" spans="1:5" x14ac:dyDescent="0.25">
      <c r="A1" s="63">
        <v>43922</v>
      </c>
      <c r="B1" s="64"/>
      <c r="C1" s="65"/>
      <c r="D1" s="64"/>
    </row>
    <row r="2" spans="1:5" s="85" customFormat="1" ht="12.75" x14ac:dyDescent="0.2">
      <c r="A2" s="89" t="s">
        <v>22</v>
      </c>
      <c r="B2" s="90" t="s">
        <v>25</v>
      </c>
      <c r="C2" s="91" t="s">
        <v>21</v>
      </c>
      <c r="D2" s="90" t="s">
        <v>21</v>
      </c>
      <c r="E2" s="85" t="s">
        <v>98</v>
      </c>
    </row>
    <row r="3" spans="1:5" s="85" customFormat="1" ht="12.75" x14ac:dyDescent="0.2">
      <c r="A3" s="107" t="s">
        <v>120</v>
      </c>
      <c r="B3" s="105" t="s">
        <v>99</v>
      </c>
      <c r="C3" s="106" t="s">
        <v>100</v>
      </c>
      <c r="D3" s="105" t="str">
        <f>A51</f>
        <v>Отказ в установлении</v>
      </c>
    </row>
    <row r="4" spans="1:5" s="85" customFormat="1" ht="12.75" x14ac:dyDescent="0.2">
      <c r="A4" s="92" t="s">
        <v>106</v>
      </c>
      <c r="B4" s="93">
        <v>43949</v>
      </c>
      <c r="C4" s="91" t="s">
        <v>121</v>
      </c>
      <c r="D4" s="90" t="str">
        <f>A50</f>
        <v>Установление/Увеличение лимита</v>
      </c>
    </row>
    <row r="5" spans="1:5" s="85" customFormat="1" ht="12.75" x14ac:dyDescent="0.2">
      <c r="A5" s="92" t="s">
        <v>118</v>
      </c>
      <c r="B5" s="90" t="s">
        <v>99</v>
      </c>
      <c r="C5" s="91" t="s">
        <v>122</v>
      </c>
      <c r="D5" s="90" t="str">
        <f>A49</f>
        <v>Закрытие / Приостановление</v>
      </c>
    </row>
    <row r="6" spans="1:5" s="85" customFormat="1" ht="12.75" x14ac:dyDescent="0.2">
      <c r="A6" s="92" t="s">
        <v>119</v>
      </c>
      <c r="B6" s="90" t="s">
        <v>99</v>
      </c>
      <c r="C6" s="91" t="s">
        <v>122</v>
      </c>
      <c r="D6" s="90" t="str">
        <f>A49</f>
        <v>Закрытие / Приостановление</v>
      </c>
    </row>
    <row r="7" spans="1:5" s="85" customFormat="1" ht="12.75" x14ac:dyDescent="0.2">
      <c r="A7" s="104" t="s">
        <v>102</v>
      </c>
      <c r="B7" s="105" t="s">
        <v>99</v>
      </c>
      <c r="C7" s="106"/>
      <c r="D7" s="105" t="str">
        <f>A52</f>
        <v>Аналитическая справка</v>
      </c>
    </row>
    <row r="8" spans="1:5" s="85" customFormat="1" ht="12.75" x14ac:dyDescent="0.2">
      <c r="A8" s="104" t="s">
        <v>105</v>
      </c>
      <c r="B8" s="105" t="s">
        <v>99</v>
      </c>
      <c r="C8" s="106"/>
      <c r="D8" s="105" t="str">
        <f>A52</f>
        <v>Аналитическая справка</v>
      </c>
    </row>
    <row r="9" spans="1:5" s="85" customFormat="1" ht="12.75" x14ac:dyDescent="0.2">
      <c r="A9" s="104" t="s">
        <v>123</v>
      </c>
      <c r="B9" s="105" t="s">
        <v>99</v>
      </c>
      <c r="C9" s="106"/>
      <c r="D9" s="105" t="str">
        <f>A52</f>
        <v>Аналитическая справка</v>
      </c>
    </row>
    <row r="10" spans="1:5" s="85" customFormat="1" ht="12.75" x14ac:dyDescent="0.2">
      <c r="A10" s="107" t="s">
        <v>101</v>
      </c>
      <c r="B10" s="105" t="s">
        <v>99</v>
      </c>
      <c r="C10" s="106"/>
      <c r="D10" s="105" t="str">
        <f>A52</f>
        <v>Аналитическая справка</v>
      </c>
    </row>
    <row r="11" spans="1:5" s="85" customFormat="1" ht="12.75" x14ac:dyDescent="0.2">
      <c r="A11" s="107" t="s">
        <v>124</v>
      </c>
      <c r="B11" s="105" t="s">
        <v>99</v>
      </c>
      <c r="C11" s="106"/>
      <c r="D11" s="105" t="str">
        <f>A52</f>
        <v>Аналитическая справка</v>
      </c>
    </row>
    <row r="12" spans="1:5" s="85" customFormat="1" ht="12.75" x14ac:dyDescent="0.2">
      <c r="A12" s="104" t="s">
        <v>125</v>
      </c>
      <c r="B12" s="105" t="s">
        <v>99</v>
      </c>
      <c r="C12" s="106"/>
      <c r="D12" s="105" t="str">
        <f>A52</f>
        <v>Аналитическая справка</v>
      </c>
    </row>
    <row r="13" spans="1:5" s="85" customFormat="1" ht="12.75" x14ac:dyDescent="0.2">
      <c r="A13" s="104" t="s">
        <v>106</v>
      </c>
      <c r="B13" s="105" t="s">
        <v>99</v>
      </c>
      <c r="C13" s="106"/>
      <c r="D13" s="105" t="str">
        <f>A52</f>
        <v>Аналитическая справка</v>
      </c>
    </row>
    <row r="14" spans="1:5" s="85" customFormat="1" ht="12.75" x14ac:dyDescent="0.2">
      <c r="A14" s="104" t="s">
        <v>126</v>
      </c>
      <c r="B14" s="105" t="s">
        <v>99</v>
      </c>
      <c r="C14" s="106"/>
      <c r="D14" s="105" t="str">
        <f>A52</f>
        <v>Аналитическая справка</v>
      </c>
    </row>
    <row r="15" spans="1:5" s="85" customFormat="1" ht="12.75" x14ac:dyDescent="0.2">
      <c r="A15" s="104" t="s">
        <v>127</v>
      </c>
      <c r="B15" s="105" t="s">
        <v>99</v>
      </c>
      <c r="C15" s="106"/>
      <c r="D15" s="105" t="str">
        <f>A52</f>
        <v>Аналитическая справка</v>
      </c>
    </row>
    <row r="16" spans="1:5" s="85" customFormat="1" ht="12.75" hidden="1" x14ac:dyDescent="0.2">
      <c r="A16" s="86"/>
      <c r="B16" s="83"/>
      <c r="C16" s="84"/>
      <c r="D16" s="83"/>
    </row>
    <row r="17" spans="1:5" s="85" customFormat="1" ht="12.75" hidden="1" x14ac:dyDescent="0.2">
      <c r="A17" s="86"/>
      <c r="B17" s="83"/>
      <c r="C17" s="84"/>
      <c r="D17" s="83"/>
    </row>
    <row r="18" spans="1:5" s="85" customFormat="1" ht="12.75" hidden="1" x14ac:dyDescent="0.2">
      <c r="A18" s="86"/>
      <c r="B18" s="83"/>
      <c r="C18" s="84"/>
      <c r="D18" s="86"/>
    </row>
    <row r="19" spans="1:5" s="85" customFormat="1" ht="12.75" hidden="1" x14ac:dyDescent="0.2">
      <c r="A19" s="86"/>
      <c r="B19" s="83"/>
      <c r="C19" s="84"/>
      <c r="D19" s="86"/>
    </row>
    <row r="20" spans="1:5" s="85" customFormat="1" ht="12.75" hidden="1" x14ac:dyDescent="0.2">
      <c r="A20" s="86"/>
      <c r="B20" s="83"/>
      <c r="C20" s="84"/>
      <c r="D20" s="86"/>
    </row>
    <row r="21" spans="1:5" s="85" customFormat="1" ht="12.75" hidden="1" x14ac:dyDescent="0.2">
      <c r="A21" s="86"/>
      <c r="B21" s="83"/>
      <c r="C21" s="84"/>
      <c r="D21" s="86"/>
    </row>
    <row r="22" spans="1:5" s="85" customFormat="1" ht="12.75" hidden="1" x14ac:dyDescent="0.2">
      <c r="A22" s="86"/>
      <c r="B22" s="83"/>
      <c r="C22" s="84"/>
      <c r="D22" s="86"/>
    </row>
    <row r="23" spans="1:5" s="85" customFormat="1" ht="12.75" hidden="1" x14ac:dyDescent="0.2">
      <c r="A23" s="86"/>
      <c r="B23" s="83"/>
      <c r="C23" s="84"/>
      <c r="D23" s="86"/>
    </row>
    <row r="24" spans="1:5" s="85" customFormat="1" ht="12.75" x14ac:dyDescent="0.2">
      <c r="A24" s="86"/>
      <c r="B24" s="83"/>
      <c r="C24" s="84"/>
      <c r="D24" s="86"/>
    </row>
    <row r="25" spans="1:5" x14ac:dyDescent="0.25">
      <c r="A25" s="70"/>
      <c r="B25" s="71"/>
      <c r="C25" s="72"/>
      <c r="D25" s="70"/>
    </row>
    <row r="26" spans="1:5" x14ac:dyDescent="0.25">
      <c r="A26" s="89" t="s">
        <v>35</v>
      </c>
      <c r="B26" s="100" t="s">
        <v>25</v>
      </c>
      <c r="C26" s="101" t="s">
        <v>21</v>
      </c>
      <c r="D26" s="100" t="s">
        <v>21</v>
      </c>
    </row>
    <row r="27" spans="1:5" x14ac:dyDescent="0.25">
      <c r="A27" s="89"/>
      <c r="B27" s="100"/>
      <c r="C27" s="101"/>
      <c r="D27" s="100"/>
    </row>
    <row r="28" spans="1:5" hidden="1" x14ac:dyDescent="0.25">
      <c r="A28" s="67"/>
      <c r="B28" s="68"/>
      <c r="C28" s="69"/>
      <c r="D28" s="68"/>
    </row>
    <row r="29" spans="1:5" ht="30" hidden="1" x14ac:dyDescent="0.25">
      <c r="A29" s="67"/>
      <c r="B29" s="68"/>
      <c r="C29" s="69"/>
      <c r="D29" s="68"/>
      <c r="E29" s="73" t="s">
        <v>42</v>
      </c>
    </row>
    <row r="30" spans="1:5" hidden="1" x14ac:dyDescent="0.25">
      <c r="A30" s="67"/>
      <c r="B30" s="68"/>
      <c r="C30" s="69"/>
      <c r="D30" s="68"/>
    </row>
    <row r="31" spans="1:5" hidden="1" x14ac:dyDescent="0.25">
      <c r="A31" s="67"/>
      <c r="B31" s="68"/>
      <c r="C31" s="69"/>
      <c r="D31" s="68"/>
    </row>
    <row r="32" spans="1:5" hidden="1" x14ac:dyDescent="0.25">
      <c r="A32" s="67"/>
      <c r="B32" s="68"/>
      <c r="C32" s="69"/>
      <c r="D32" s="68"/>
    </row>
    <row r="33" spans="1:5" hidden="1" x14ac:dyDescent="0.25">
      <c r="A33" s="68"/>
      <c r="B33" s="74"/>
      <c r="C33" s="69"/>
      <c r="D33" s="68"/>
    </row>
    <row r="34" spans="1:5" hidden="1" x14ac:dyDescent="0.25">
      <c r="A34" s="68"/>
      <c r="B34" s="74"/>
      <c r="C34" s="69"/>
      <c r="D34" s="68"/>
    </row>
    <row r="35" spans="1:5" hidden="1" x14ac:dyDescent="0.25">
      <c r="A35" s="68"/>
      <c r="B35" s="74"/>
      <c r="C35" s="69"/>
      <c r="D35" s="68"/>
    </row>
    <row r="36" spans="1:5" hidden="1" x14ac:dyDescent="0.25">
      <c r="A36" s="68"/>
      <c r="B36" s="74"/>
      <c r="C36" s="69"/>
      <c r="D36" s="68"/>
    </row>
    <row r="37" spans="1:5" hidden="1" x14ac:dyDescent="0.25">
      <c r="A37" s="68"/>
      <c r="B37" s="74"/>
      <c r="C37" s="69"/>
      <c r="D37" s="68"/>
    </row>
    <row r="38" spans="1:5" hidden="1" x14ac:dyDescent="0.25">
      <c r="A38" s="68"/>
      <c r="B38" s="74"/>
      <c r="C38" s="69"/>
      <c r="D38" s="68"/>
    </row>
    <row r="39" spans="1:5" hidden="1" x14ac:dyDescent="0.25">
      <c r="A39" s="68"/>
      <c r="B39" s="74"/>
      <c r="C39" s="69"/>
      <c r="D39" s="68"/>
    </row>
    <row r="40" spans="1:5" hidden="1" x14ac:dyDescent="0.25">
      <c r="A40" s="68"/>
      <c r="B40" s="74"/>
      <c r="C40" s="69"/>
      <c r="D40" s="68"/>
    </row>
    <row r="41" spans="1:5" hidden="1" x14ac:dyDescent="0.25">
      <c r="A41" s="75"/>
      <c r="B41" s="76"/>
      <c r="C41" s="77"/>
      <c r="D41" s="75"/>
    </row>
    <row r="42" spans="1:5" hidden="1" x14ac:dyDescent="0.25">
      <c r="A42" s="75"/>
      <c r="B42" s="76"/>
      <c r="C42" s="77"/>
      <c r="D42" s="75"/>
    </row>
    <row r="43" spans="1:5" hidden="1" x14ac:dyDescent="0.25"/>
    <row r="46" spans="1:5" s="94" customFormat="1" x14ac:dyDescent="0.25">
      <c r="A46" s="10"/>
      <c r="B46" s="10" t="s">
        <v>22</v>
      </c>
      <c r="C46" s="10" t="s">
        <v>23</v>
      </c>
      <c r="D46" s="10" t="s">
        <v>29</v>
      </c>
      <c r="E46" s="10" t="s">
        <v>36</v>
      </c>
    </row>
    <row r="47" spans="1:5" s="94" customFormat="1" hidden="1" x14ac:dyDescent="0.25">
      <c r="A47" s="95" t="s">
        <v>26</v>
      </c>
      <c r="B47" s="95">
        <f>SUM(B48:B53)</f>
        <v>13</v>
      </c>
      <c r="C47" s="95">
        <f>SUM(C48:C51)</f>
        <v>0</v>
      </c>
      <c r="D47" s="95">
        <f>SUM(D48:D51)</f>
        <v>4</v>
      </c>
      <c r="E47" s="96"/>
    </row>
    <row r="48" spans="1:5" s="99" customFormat="1" x14ac:dyDescent="0.25">
      <c r="A48" s="97" t="s">
        <v>24</v>
      </c>
      <c r="B48" s="97"/>
      <c r="C48" s="97"/>
      <c r="D48" s="97">
        <f>B48+C48</f>
        <v>0</v>
      </c>
      <c r="E48" s="98" t="s">
        <v>132</v>
      </c>
    </row>
    <row r="49" spans="1:5" s="73" customFormat="1" ht="30" x14ac:dyDescent="0.25">
      <c r="A49" s="97" t="s">
        <v>27</v>
      </c>
      <c r="B49" s="97">
        <v>2</v>
      </c>
      <c r="C49" s="78"/>
      <c r="D49" s="97">
        <f>B49+C49</f>
        <v>2</v>
      </c>
      <c r="E49" s="102" t="s">
        <v>130</v>
      </c>
    </row>
    <row r="50" spans="1:5" s="73" customFormat="1" ht="30" x14ac:dyDescent="0.25">
      <c r="A50" s="97" t="s">
        <v>28</v>
      </c>
      <c r="B50" s="97">
        <v>1</v>
      </c>
      <c r="C50" s="78"/>
      <c r="D50" s="97">
        <f t="shared" ref="D50:D53" si="0">B50+C50</f>
        <v>1</v>
      </c>
      <c r="E50" s="103" t="s">
        <v>128</v>
      </c>
    </row>
    <row r="51" spans="1:5" s="99" customFormat="1" ht="30" x14ac:dyDescent="0.25">
      <c r="A51" s="97" t="s">
        <v>33</v>
      </c>
      <c r="B51" s="97">
        <v>1</v>
      </c>
      <c r="C51" s="97"/>
      <c r="D51" s="97">
        <f t="shared" si="0"/>
        <v>1</v>
      </c>
      <c r="E51" s="97" t="s">
        <v>129</v>
      </c>
    </row>
    <row r="52" spans="1:5" s="99" customFormat="1" ht="30" x14ac:dyDescent="0.25">
      <c r="A52" s="97" t="s">
        <v>34</v>
      </c>
      <c r="B52" s="97">
        <v>9</v>
      </c>
      <c r="C52" s="97"/>
      <c r="D52" s="97">
        <f t="shared" si="0"/>
        <v>9</v>
      </c>
      <c r="E52" s="97" t="s">
        <v>131</v>
      </c>
    </row>
    <row r="53" spans="1:5" s="73" customFormat="1" x14ac:dyDescent="0.25">
      <c r="A53" s="97" t="s">
        <v>32</v>
      </c>
      <c r="B53" s="78"/>
      <c r="C53" s="78"/>
      <c r="D53" s="97">
        <f t="shared" si="0"/>
        <v>0</v>
      </c>
      <c r="E53" s="78"/>
    </row>
    <row r="56" spans="1:5" x14ac:dyDescent="0.25">
      <c r="A56" s="66">
        <f>B50+C50</f>
        <v>1</v>
      </c>
    </row>
    <row r="58" spans="1:5" x14ac:dyDescent="0.25">
      <c r="A58" s="66">
        <f>B48+B50+C50+B51+C384+B49</f>
        <v>4</v>
      </c>
    </row>
    <row r="66" spans="1:1" x14ac:dyDescent="0.25">
      <c r="A66" s="66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1</vt:lpstr>
      <vt:lpstr>портефль до погашения</vt:lpstr>
      <vt:lpstr>РейтPD FRED Graph</vt:lpstr>
      <vt:lpstr>Инвест политика</vt:lpstr>
      <vt:lpstr>Справочник отрасли</vt:lpstr>
      <vt:lpstr>Эшелоны результат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2024-04-18T10:06:09Z</dcterms:modified>
</cp:coreProperties>
</file>
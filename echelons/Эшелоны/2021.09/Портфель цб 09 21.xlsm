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791" activeTab="6"/>
  </bookViews>
  <sheets>
    <sheet name="1" sheetId="16" r:id="rId1"/>
    <sheet name="портефль до погашения" sheetId="19" r:id="rId2"/>
    <sheet name="страт портфель" sheetId="33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Синдикаты" sheetId="29" state="hidden" r:id="rId8"/>
    <sheet name="для стресс-теста" sheetId="30" state="hidden" r:id="rId9"/>
    <sheet name="Для КУАП" sheetId="18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DumProb">OFFSET([1]BetaSolver!$R$4,0,0,COUNTA([1]BetaSolver!$R$5:$R$1000),1)</definedName>
    <definedName name="_xlnm._FilterDatabase" localSheetId="9" hidden="1">'Для КУАП'!$A$2:$E$24</definedName>
    <definedName name="_xlnm._FilterDatabase" localSheetId="8" hidden="1">'для стресс-теста'!$A$22:$E$82</definedName>
    <definedName name="_xlnm._FilterDatabase" localSheetId="4" hidden="1">'Инвест политика'!$A$25:$V$125</definedName>
    <definedName name="_xlnm._FilterDatabase" localSheetId="1" hidden="1">'портефль до погашения'!$A$7:$O$73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портфель'!$A$20:$N$33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8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8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8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8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8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8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8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2" i="19" l="1"/>
  <c r="C116" i="20" l="1"/>
  <c r="F10" i="25" l="1"/>
  <c r="E18" i="33" l="1"/>
  <c r="I29" i="33"/>
  <c r="B3" i="33" l="1"/>
  <c r="B4" i="33"/>
  <c r="B5" i="33"/>
  <c r="B6" i="33"/>
  <c r="B7" i="33"/>
  <c r="B8" i="33"/>
  <c r="B9" i="33"/>
  <c r="B10" i="33"/>
  <c r="B11" i="33"/>
  <c r="B12" i="33"/>
  <c r="B2" i="33"/>
  <c r="B13" i="33" l="1"/>
  <c r="B14" i="33" s="1"/>
  <c r="J4" i="25"/>
  <c r="C3" i="33" l="1"/>
  <c r="C6" i="33"/>
  <c r="C2" i="33"/>
  <c r="C9" i="33"/>
  <c r="C5" i="33"/>
  <c r="C12" i="33"/>
  <c r="C8" i="33"/>
  <c r="C4" i="33"/>
  <c r="C10" i="33"/>
  <c r="C11" i="33"/>
  <c r="C7" i="33"/>
  <c r="G13" i="16" l="1"/>
  <c r="L13" i="16" s="1"/>
  <c r="I21" i="33" l="1"/>
  <c r="E20" i="33" l="1"/>
  <c r="P33" i="33" l="1"/>
  <c r="P32" i="33"/>
  <c r="P31" i="33"/>
  <c r="P30" i="33"/>
  <c r="P29" i="33"/>
  <c r="I28" i="33"/>
  <c r="P28" i="33" s="1"/>
  <c r="I27" i="33"/>
  <c r="P27" i="33" s="1"/>
  <c r="I26" i="33"/>
  <c r="P26" i="33" s="1"/>
  <c r="I25" i="33"/>
  <c r="P25" i="33" s="1"/>
  <c r="I24" i="33"/>
  <c r="P24" i="33" s="1"/>
  <c r="I23" i="33"/>
  <c r="P23" i="33" s="1"/>
  <c r="I22" i="33"/>
  <c r="P21" i="33"/>
  <c r="N17" i="33"/>
  <c r="I18" i="33" l="1"/>
  <c r="J18" i="33" s="1"/>
  <c r="P22" i="33"/>
  <c r="K5" i="29"/>
  <c r="E13" i="16" l="1"/>
  <c r="H13" i="16" s="1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26" i="25"/>
  <c r="M29" i="25"/>
  <c r="M37" i="25"/>
  <c r="M38" i="25"/>
  <c r="M48" i="25"/>
  <c r="M49" i="25"/>
  <c r="M51" i="25"/>
  <c r="M55" i="25"/>
  <c r="M57" i="25"/>
  <c r="M58" i="25"/>
  <c r="M59" i="25"/>
  <c r="M61" i="25"/>
  <c r="M63" i="25"/>
  <c r="M66" i="25"/>
  <c r="M68" i="25"/>
  <c r="M72" i="25"/>
  <c r="M74" i="25"/>
  <c r="C81" i="16" l="1"/>
  <c r="J68" i="19"/>
  <c r="J69" i="19"/>
  <c r="B42" i="29" l="1"/>
  <c r="B49" i="29"/>
  <c r="B48" i="29"/>
  <c r="J5" i="29" l="1"/>
  <c r="E124" i="16"/>
  <c r="G79" i="16" l="1"/>
  <c r="G83" i="16"/>
  <c r="C78" i="16" l="1"/>
  <c r="G78" i="16" s="1"/>
  <c r="H12" i="16" l="1"/>
  <c r="H3" i="28"/>
  <c r="M26" i="25" l="1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T4" i="20"/>
  <c r="S4" i="20"/>
  <c r="E32" i="20" l="1"/>
  <c r="E115" i="20" s="1"/>
  <c r="E31" i="20"/>
  <c r="E99" i="20" s="1"/>
  <c r="J5" i="24"/>
  <c r="D82" i="20" l="1"/>
  <c r="D72" i="20"/>
  <c r="D108" i="20"/>
  <c r="D65" i="20"/>
  <c r="X4" i="20"/>
  <c r="X6" i="20" s="1"/>
  <c r="U4" i="20" s="1"/>
  <c r="V4" i="20" s="1"/>
  <c r="E102" i="20"/>
  <c r="D66" i="20"/>
  <c r="E111" i="20"/>
  <c r="E66" i="20"/>
  <c r="E68" i="20"/>
  <c r="D67" i="20"/>
  <c r="E97" i="20"/>
  <c r="D75" i="20"/>
  <c r="E85" i="20"/>
  <c r="D113" i="20"/>
  <c r="D49" i="20"/>
  <c r="D55" i="20"/>
  <c r="E61" i="20"/>
  <c r="D63" i="20"/>
  <c r="D91" i="20"/>
  <c r="D54" i="20"/>
  <c r="D84" i="20"/>
  <c r="D60" i="20"/>
  <c r="E91" i="20"/>
  <c r="E71" i="20"/>
  <c r="D81" i="20"/>
  <c r="E84" i="20"/>
  <c r="D110" i="20"/>
  <c r="E93" i="20"/>
  <c r="E79" i="20"/>
  <c r="E98" i="20"/>
  <c r="E94" i="20"/>
  <c r="E75" i="20"/>
  <c r="E65" i="20"/>
  <c r="D90" i="20"/>
  <c r="D80" i="20"/>
  <c r="D114" i="20"/>
  <c r="D95" i="20"/>
  <c r="E56" i="20"/>
  <c r="E57" i="20"/>
  <c r="E60" i="20"/>
  <c r="D78" i="20"/>
  <c r="D76" i="20"/>
  <c r="D106" i="20"/>
  <c r="D97" i="20"/>
  <c r="E100" i="20"/>
  <c r="E58" i="20"/>
  <c r="E116" i="20"/>
  <c r="D96" i="20"/>
  <c r="E109" i="20"/>
  <c r="D58" i="20"/>
  <c r="E95" i="20"/>
  <c r="D79" i="20"/>
  <c r="E82" i="20"/>
  <c r="D107" i="20"/>
  <c r="E78" i="20"/>
  <c r="E73" i="20"/>
  <c r="D48" i="20"/>
  <c r="D64" i="20"/>
  <c r="E81" i="20"/>
  <c r="D102" i="20"/>
  <c r="E67" i="20"/>
  <c r="E110" i="20"/>
  <c r="E89" i="20"/>
  <c r="D99" i="20"/>
  <c r="D88" i="20"/>
  <c r="E101" i="20"/>
  <c r="D68" i="20"/>
  <c r="E87" i="20"/>
  <c r="D104" i="20"/>
  <c r="D109" i="20"/>
  <c r="D93" i="20"/>
  <c r="D77" i="20"/>
  <c r="D61" i="20"/>
  <c r="E112" i="20"/>
  <c r="E96" i="20"/>
  <c r="E80" i="20"/>
  <c r="D103" i="20"/>
  <c r="E106" i="20"/>
  <c r="E51" i="20"/>
  <c r="E59" i="20"/>
  <c r="E54" i="20"/>
  <c r="E83" i="20"/>
  <c r="E62" i="20"/>
  <c r="D94" i="20"/>
  <c r="D51" i="20"/>
  <c r="E53" i="20"/>
  <c r="D52" i="20"/>
  <c r="D70" i="20"/>
  <c r="E103" i="20"/>
  <c r="D100" i="20"/>
  <c r="D105" i="20"/>
  <c r="D89" i="20"/>
  <c r="D73" i="20"/>
  <c r="D57" i="20"/>
  <c r="E108" i="20"/>
  <c r="E92" i="20"/>
  <c r="E76" i="20"/>
  <c r="D87" i="20"/>
  <c r="E90" i="20"/>
  <c r="D92" i="20"/>
  <c r="E107" i="20"/>
  <c r="D115" i="20"/>
  <c r="D116" i="20"/>
  <c r="D56" i="20"/>
  <c r="E77" i="20"/>
  <c r="D98" i="20"/>
  <c r="E63" i="20"/>
  <c r="D111" i="20"/>
  <c r="E114" i="20"/>
  <c r="D50" i="20"/>
  <c r="D59" i="20"/>
  <c r="E64" i="20"/>
  <c r="E50" i="20"/>
  <c r="E86" i="20"/>
  <c r="E49" i="20"/>
  <c r="E113" i="20"/>
  <c r="D62" i="20"/>
  <c r="E48" i="20"/>
  <c r="E52" i="20"/>
  <c r="D74" i="20"/>
  <c r="E70" i="20"/>
  <c r="E69" i="20"/>
  <c r="D86" i="20"/>
  <c r="E55" i="20"/>
  <c r="D112" i="20"/>
  <c r="D101" i="20"/>
  <c r="D85" i="20"/>
  <c r="D69" i="20"/>
  <c r="D53" i="20"/>
  <c r="E104" i="20"/>
  <c r="E88" i="20"/>
  <c r="E72" i="20"/>
  <c r="D71" i="20"/>
  <c r="E74" i="20"/>
  <c r="E105" i="20"/>
  <c r="D83" i="20"/>
  <c r="H35" i="20"/>
  <c r="I35" i="20" s="1"/>
  <c r="H31" i="20"/>
  <c r="I31" i="20" s="1"/>
  <c r="H34" i="20"/>
  <c r="I34" i="20" s="1"/>
  <c r="H33" i="20"/>
  <c r="I33" i="20" s="1"/>
  <c r="H32" i="20"/>
  <c r="I32" i="20" s="1"/>
  <c r="D22" i="30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S22" i="30" l="1"/>
  <c r="P22" i="30"/>
  <c r="Q8" i="25"/>
  <c r="J8" i="19" l="1"/>
  <c r="Q8" i="19" s="1"/>
  <c r="H5" i="29" l="1"/>
  <c r="B46" i="29" l="1"/>
  <c r="B47" i="29"/>
  <c r="B45" i="29"/>
  <c r="B50" i="29" s="1"/>
  <c r="C49" i="29" s="1"/>
  <c r="B51" i="29" l="1"/>
  <c r="C58" i="16"/>
  <c r="C59" i="16"/>
  <c r="C60" i="16"/>
  <c r="C61" i="16"/>
  <c r="C62" i="16"/>
  <c r="C63" i="16"/>
  <c r="C64" i="16"/>
  <c r="C65" i="16"/>
  <c r="C66" i="16"/>
  <c r="C67" i="16"/>
  <c r="C57" i="16"/>
  <c r="C46" i="29" l="1"/>
  <c r="C45" i="29"/>
  <c r="C47" i="29"/>
  <c r="C48" i="29"/>
  <c r="C68" i="16"/>
  <c r="D64" i="16" s="1"/>
  <c r="C50" i="29" l="1"/>
  <c r="D62" i="16"/>
  <c r="D67" i="16"/>
  <c r="D66" i="16"/>
  <c r="D60" i="16"/>
  <c r="D59" i="16"/>
  <c r="D65" i="16"/>
  <c r="D61" i="16"/>
  <c r="D58" i="16"/>
  <c r="D63" i="16"/>
  <c r="D57" i="16"/>
  <c r="D68" i="16" l="1"/>
  <c r="C5" i="29" l="1"/>
  <c r="D5" i="29"/>
  <c r="E5" i="29"/>
  <c r="F5" i="29"/>
  <c r="G5" i="29"/>
  <c r="B5" i="29"/>
  <c r="F9" i="25" l="1"/>
  <c r="F11" i="25" s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H93" i="28"/>
  <c r="H32" i="28"/>
  <c r="H31" i="28"/>
  <c r="H53" i="28"/>
  <c r="H101" i="28"/>
  <c r="H64" i="28"/>
  <c r="H142" i="28"/>
  <c r="H9" i="28"/>
  <c r="H134" i="28"/>
  <c r="H52" i="28"/>
  <c r="H151" i="28"/>
  <c r="H97" i="28"/>
  <c r="H59" i="28"/>
  <c r="H26" i="28"/>
  <c r="H70" i="28"/>
  <c r="H132" i="28"/>
  <c r="H74" i="28"/>
  <c r="H76" i="28"/>
  <c r="H119" i="28"/>
  <c r="H127" i="28"/>
  <c r="H120" i="28"/>
  <c r="H6" i="28"/>
  <c r="H140" i="28"/>
  <c r="H68" i="28"/>
  <c r="H12" i="28"/>
  <c r="H49" i="28"/>
  <c r="H123" i="28"/>
  <c r="H19" i="28"/>
  <c r="H81" i="28"/>
  <c r="H60" i="28"/>
  <c r="H124" i="28"/>
  <c r="H57" i="28"/>
  <c r="H102" i="28"/>
  <c r="H115" i="28"/>
  <c r="H21" i="28"/>
  <c r="H71" i="28"/>
  <c r="H117" i="28"/>
  <c r="H146" i="28"/>
  <c r="H42" i="28"/>
  <c r="H100" i="28"/>
  <c r="H155" i="28"/>
  <c r="H131" i="28"/>
  <c r="H4" i="28"/>
  <c r="H150" i="28"/>
  <c r="H133" i="28"/>
  <c r="H18" i="28"/>
  <c r="H95" i="28"/>
  <c r="H79" i="28"/>
  <c r="H143" i="28"/>
  <c r="H145" i="28"/>
  <c r="H24" i="28"/>
  <c r="H15" i="28"/>
  <c r="H35" i="28"/>
  <c r="H11" i="28"/>
  <c r="H160" i="28"/>
  <c r="H89" i="28"/>
  <c r="H77" i="28"/>
  <c r="H29" i="28"/>
  <c r="H141" i="28"/>
  <c r="H138" i="28"/>
  <c r="H50" i="28"/>
  <c r="H90" i="28"/>
  <c r="H48" i="28"/>
  <c r="H111" i="28"/>
  <c r="H156" i="28"/>
  <c r="H149" i="28"/>
  <c r="H159" i="28"/>
  <c r="H84" i="28"/>
  <c r="H17" i="28"/>
  <c r="H148" i="28"/>
  <c r="H126" i="28"/>
  <c r="H94" i="28"/>
  <c r="H135" i="28"/>
  <c r="H63" i="28"/>
  <c r="H22" i="28"/>
  <c r="H58" i="28"/>
  <c r="H107" i="28"/>
  <c r="H43" i="28"/>
  <c r="H152" i="28"/>
  <c r="H23" i="28"/>
  <c r="H104" i="28"/>
  <c r="H37" i="28"/>
  <c r="H5" i="28"/>
  <c r="H82" i="28"/>
  <c r="H161" i="28"/>
  <c r="H61" i="28"/>
  <c r="H55" i="28"/>
  <c r="H72" i="28"/>
  <c r="H25" i="28"/>
  <c r="H98" i="28"/>
  <c r="H78" i="28"/>
  <c r="H121" i="28"/>
  <c r="H30" i="28"/>
  <c r="H56" i="28"/>
  <c r="H40" i="28"/>
  <c r="H73" i="28"/>
  <c r="H51" i="28"/>
  <c r="H129" i="28"/>
  <c r="H38" i="28"/>
  <c r="H125" i="28"/>
  <c r="H47" i="28"/>
  <c r="H157" i="28"/>
  <c r="H154" i="28"/>
  <c r="H91" i="28"/>
  <c r="H20" i="28"/>
  <c r="H103" i="28"/>
  <c r="H14" i="28"/>
  <c r="H147" i="28"/>
  <c r="H139" i="28"/>
  <c r="H122" i="28"/>
  <c r="H27" i="28"/>
  <c r="H118" i="28"/>
  <c r="H75" i="28"/>
  <c r="H66" i="28"/>
  <c r="H109" i="28"/>
  <c r="H39" i="28"/>
  <c r="H130" i="28"/>
  <c r="H33" i="28"/>
  <c r="H28" i="28"/>
  <c r="H113" i="28"/>
  <c r="H112" i="28"/>
  <c r="H105" i="28"/>
  <c r="H108" i="28"/>
  <c r="H128" i="28"/>
  <c r="H10" i="28"/>
  <c r="H116" i="28"/>
  <c r="H114" i="28"/>
  <c r="H87" i="28"/>
  <c r="H34" i="28"/>
  <c r="H83" i="28"/>
  <c r="H96" i="28"/>
  <c r="H36" i="28"/>
  <c r="H137" i="28"/>
  <c r="H92" i="28"/>
  <c r="H41" i="28"/>
  <c r="H54" i="28"/>
  <c r="H45" i="28"/>
  <c r="H110" i="28"/>
  <c r="H46" i="28"/>
  <c r="H88" i="28"/>
  <c r="H44" i="28"/>
  <c r="H13" i="28"/>
  <c r="H106" i="28"/>
  <c r="H144" i="28"/>
  <c r="H8" i="28"/>
  <c r="H136" i="28"/>
  <c r="H62" i="28"/>
  <c r="H16" i="28"/>
  <c r="H158" i="28"/>
  <c r="H65" i="28"/>
  <c r="H86" i="28"/>
  <c r="H7" i="28"/>
  <c r="H99" i="28"/>
  <c r="H153" i="28"/>
  <c r="H67" i="28"/>
  <c r="B1" i="28"/>
  <c r="J108" i="25" l="1"/>
  <c r="G85" i="28"/>
  <c r="G80" i="28"/>
  <c r="H80" i="28"/>
  <c r="H85" i="28"/>
  <c r="G69" i="28" l="1"/>
  <c r="H69" i="28"/>
  <c r="G3" i="28" l="1"/>
  <c r="J31" i="25" l="1"/>
  <c r="J47" i="25"/>
  <c r="J95" i="25"/>
  <c r="J58" i="25"/>
  <c r="J36" i="25"/>
  <c r="J52" i="25"/>
  <c r="J104" i="25"/>
  <c r="J41" i="25"/>
  <c r="J57" i="25"/>
  <c r="J105" i="25"/>
  <c r="J62" i="25"/>
  <c r="J106" i="25"/>
  <c r="J39" i="25"/>
  <c r="J55" i="25"/>
  <c r="J71" i="25"/>
  <c r="J87" i="25"/>
  <c r="J28" i="25"/>
  <c r="J44" i="25"/>
  <c r="J90" i="25"/>
  <c r="J49" i="25"/>
  <c r="J81" i="25"/>
  <c r="J42" i="25"/>
  <c r="J98" i="25"/>
  <c r="J48" i="25"/>
  <c r="J100" i="25"/>
  <c r="J54" i="25"/>
  <c r="J37" i="25"/>
  <c r="J53" i="25"/>
  <c r="J85" i="25"/>
  <c r="J94" i="25"/>
  <c r="J35" i="25"/>
  <c r="J51" i="25"/>
  <c r="J67" i="25"/>
  <c r="J99" i="25"/>
  <c r="J70" i="25"/>
  <c r="J40" i="25"/>
  <c r="J56" i="25"/>
  <c r="J88" i="25"/>
  <c r="J34" i="25"/>
  <c r="J29" i="25"/>
  <c r="J45" i="25"/>
  <c r="J93" i="25"/>
  <c r="J30" i="25"/>
  <c r="J74" i="25"/>
  <c r="J107" i="25"/>
  <c r="J96" i="25"/>
  <c r="J46" i="25"/>
  <c r="J33" i="25"/>
  <c r="J97" i="25"/>
  <c r="J86" i="25"/>
  <c r="J27" i="25"/>
  <c r="J43" i="25"/>
  <c r="J75" i="25"/>
  <c r="J91" i="25"/>
  <c r="J38" i="25"/>
  <c r="J32" i="25"/>
  <c r="J80" i="25"/>
  <c r="J102" i="25"/>
  <c r="J101" i="25"/>
  <c r="J50" i="25"/>
  <c r="J103" i="25"/>
  <c r="J92" i="25"/>
  <c r="J26" i="25"/>
  <c r="M8" i="25" l="1"/>
  <c r="M10" i="25"/>
  <c r="M9" i="25"/>
  <c r="M11" i="25"/>
  <c r="C82" i="16"/>
  <c r="G82" i="16" s="1"/>
  <c r="M12" i="25" l="1"/>
  <c r="J5" i="25" l="1"/>
  <c r="J6" i="25"/>
  <c r="J7" i="25"/>
  <c r="J8" i="25"/>
  <c r="J9" i="25"/>
  <c r="J10" i="25"/>
  <c r="J11" i="25"/>
  <c r="J12" i="25"/>
  <c r="J13" i="25"/>
  <c r="J14" i="25"/>
  <c r="J15" i="25" l="1"/>
  <c r="N8" i="25"/>
  <c r="M13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5" i="25"/>
  <c r="Q10" i="25" l="1"/>
  <c r="Q11" i="25" l="1"/>
  <c r="Q12" i="25" s="1"/>
  <c r="M7" i="25"/>
  <c r="F8" i="25"/>
  <c r="A1" i="25"/>
  <c r="B1" i="25"/>
  <c r="R9" i="25" l="1"/>
  <c r="R8" i="25"/>
  <c r="R10" i="25"/>
  <c r="M27" i="25"/>
  <c r="M28" i="25"/>
  <c r="M30" i="25"/>
  <c r="M31" i="25"/>
  <c r="M32" i="25"/>
  <c r="M33" i="25"/>
  <c r="M34" i="25"/>
  <c r="M35" i="25"/>
  <c r="M36" i="25"/>
  <c r="M39" i="25"/>
  <c r="M40" i="25"/>
  <c r="M41" i="25"/>
  <c r="M42" i="25"/>
  <c r="M43" i="25"/>
  <c r="M44" i="25"/>
  <c r="M45" i="25"/>
  <c r="M46" i="25"/>
  <c r="M47" i="25"/>
  <c r="M50" i="25"/>
  <c r="M52" i="25"/>
  <c r="M53" i="25"/>
  <c r="M54" i="25"/>
  <c r="M56" i="25"/>
  <c r="M60" i="25"/>
  <c r="M62" i="25"/>
  <c r="M64" i="25"/>
  <c r="M65" i="25"/>
  <c r="M67" i="25"/>
  <c r="M69" i="25"/>
  <c r="M70" i="25"/>
  <c r="M71" i="25"/>
  <c r="M73" i="25"/>
  <c r="M75" i="25"/>
  <c r="M76" i="25"/>
  <c r="M77" i="25" l="1"/>
  <c r="G9" i="25"/>
  <c r="G10" i="25"/>
  <c r="N70" i="25" l="1"/>
  <c r="N48" i="25"/>
  <c r="N51" i="25"/>
  <c r="N57" i="25"/>
  <c r="N59" i="25"/>
  <c r="N63" i="25"/>
  <c r="N68" i="25"/>
  <c r="N74" i="25"/>
  <c r="N37" i="25"/>
  <c r="N66" i="25"/>
  <c r="N61" i="25"/>
  <c r="N58" i="25"/>
  <c r="N55" i="25"/>
  <c r="N49" i="25"/>
  <c r="N38" i="25"/>
  <c r="N72" i="25"/>
  <c r="N29" i="25"/>
  <c r="N31" i="25"/>
  <c r="N47" i="25"/>
  <c r="N60" i="25"/>
  <c r="N28" i="25"/>
  <c r="N44" i="25"/>
  <c r="N53" i="25"/>
  <c r="N35" i="25"/>
  <c r="N67" i="25"/>
  <c r="N32" i="25"/>
  <c r="N33" i="25"/>
  <c r="N26" i="25"/>
  <c r="N39" i="25"/>
  <c r="N71" i="25"/>
  <c r="N76" i="25"/>
  <c r="N36" i="25"/>
  <c r="N56" i="25"/>
  <c r="N30" i="25"/>
  <c r="N27" i="25"/>
  <c r="N43" i="25"/>
  <c r="N75" i="25"/>
  <c r="N73" i="25"/>
  <c r="N40" i="25"/>
  <c r="N64" i="25"/>
  <c r="N42" i="25"/>
  <c r="N46" i="25"/>
  <c r="N45" i="25"/>
  <c r="N65" i="25"/>
  <c r="N62" i="25"/>
  <c r="N52" i="25"/>
  <c r="N69" i="25"/>
  <c r="N41" i="25"/>
  <c r="N34" i="25"/>
  <c r="N50" i="25"/>
  <c r="N54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26" i="25"/>
  <c r="B18" i="25" l="1"/>
  <c r="B16" i="25"/>
  <c r="B17" i="25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9" i="25" l="1"/>
  <c r="B20" i="25" s="1"/>
  <c r="G73" i="25" l="1"/>
  <c r="G42" i="25"/>
  <c r="G34" i="25"/>
  <c r="G45" i="25"/>
  <c r="G107" i="25"/>
  <c r="C15" i="25"/>
  <c r="G37" i="25"/>
  <c r="G99" i="25"/>
  <c r="G98" i="25"/>
  <c r="G76" i="25"/>
  <c r="G55" i="25"/>
  <c r="G84" i="25"/>
  <c r="C3" i="25"/>
  <c r="G48" i="25"/>
  <c r="G28" i="25"/>
  <c r="G51" i="25"/>
  <c r="G105" i="25"/>
  <c r="C2" i="25"/>
  <c r="G75" i="25"/>
  <c r="G108" i="25"/>
  <c r="G70" i="25"/>
  <c r="G30" i="25"/>
  <c r="G41" i="25"/>
  <c r="G90" i="25"/>
  <c r="C14" i="25"/>
  <c r="G47" i="25"/>
  <c r="G26" i="25"/>
  <c r="G77" i="25"/>
  <c r="G67" i="25"/>
  <c r="G40" i="25"/>
  <c r="G78" i="25"/>
  <c r="G54" i="25"/>
  <c r="G43" i="25"/>
  <c r="G81" i="25"/>
  <c r="C10" i="25"/>
  <c r="G57" i="25"/>
  <c r="G101" i="25"/>
  <c r="C18" i="25"/>
  <c r="G33" i="25"/>
  <c r="C4" i="25"/>
  <c r="G50" i="25"/>
  <c r="G35" i="25"/>
  <c r="G100" i="25"/>
  <c r="G89" i="25"/>
  <c r="G61" i="25"/>
  <c r="C11" i="25"/>
  <c r="G38" i="25"/>
  <c r="G58" i="25"/>
  <c r="G27" i="25"/>
  <c r="G92" i="25"/>
  <c r="G64" i="25"/>
  <c r="G53" i="25"/>
  <c r="C13" i="25"/>
  <c r="G71" i="25"/>
  <c r="G80" i="25"/>
  <c r="G94" i="25"/>
  <c r="G96" i="25"/>
  <c r="G82" i="25"/>
  <c r="G63" i="25"/>
  <c r="G87" i="25"/>
  <c r="G69" i="25"/>
  <c r="C12" i="25"/>
  <c r="G106" i="25"/>
  <c r="G74" i="25"/>
  <c r="M78" i="25"/>
  <c r="G52" i="25"/>
  <c r="G46" i="25"/>
  <c r="G44" i="25"/>
  <c r="C6" i="25"/>
  <c r="G104" i="25"/>
  <c r="G31" i="25"/>
  <c r="C9" i="25"/>
  <c r="C7" i="25"/>
  <c r="G88" i="25"/>
  <c r="G36" i="25"/>
  <c r="C17" i="25"/>
  <c r="F12" i="25"/>
  <c r="G83" i="25"/>
  <c r="G68" i="25"/>
  <c r="G56" i="25"/>
  <c r="G29" i="25"/>
  <c r="G102" i="25"/>
  <c r="C8" i="25"/>
  <c r="G66" i="25"/>
  <c r="G91" i="25"/>
  <c r="G59" i="25"/>
  <c r="G32" i="25"/>
  <c r="G97" i="25"/>
  <c r="G86" i="25"/>
  <c r="C16" i="25"/>
  <c r="G79" i="25"/>
  <c r="G85" i="25"/>
  <c r="G103" i="25"/>
  <c r="G93" i="25"/>
  <c r="G62" i="25"/>
  <c r="G60" i="25"/>
  <c r="G72" i="25"/>
  <c r="G65" i="25"/>
  <c r="G95" i="25"/>
  <c r="G39" i="25"/>
  <c r="G49" i="25"/>
  <c r="C5" i="25"/>
  <c r="H52" i="16"/>
  <c r="C19" i="25" l="1"/>
  <c r="J66" i="19"/>
  <c r="J67" i="19"/>
  <c r="D126" i="16" l="1"/>
  <c r="E34" i="16" l="1"/>
  <c r="E51" i="16" l="1"/>
  <c r="G51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6" i="16" l="1"/>
  <c r="G81" i="16" l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U13" i="20" l="1"/>
  <c r="V13" i="20" s="1"/>
  <c r="U14" i="20"/>
  <c r="V14" i="20" s="1"/>
  <c r="U17" i="20"/>
  <c r="V17" i="20" s="1"/>
  <c r="M56" i="19" s="1"/>
  <c r="N56" i="19" s="1"/>
  <c r="U24" i="20"/>
  <c r="V24" i="20" s="1"/>
  <c r="U20" i="20"/>
  <c r="V20" i="20" s="1"/>
  <c r="U7" i="20"/>
  <c r="V7" i="20" s="1"/>
  <c r="U5" i="20"/>
  <c r="V5" i="20" s="1"/>
  <c r="U18" i="20"/>
  <c r="V18" i="20" s="1"/>
  <c r="M31" i="19" s="1"/>
  <c r="N31" i="19" s="1"/>
  <c r="U12" i="20"/>
  <c r="V12" i="20" s="1"/>
  <c r="U15" i="20"/>
  <c r="V15" i="20" s="1"/>
  <c r="U21" i="20"/>
  <c r="V21" i="20" s="1"/>
  <c r="U23" i="20"/>
  <c r="V23" i="20" s="1"/>
  <c r="U10" i="20"/>
  <c r="V10" i="20" s="1"/>
  <c r="M46" i="19"/>
  <c r="N46" i="19" s="1"/>
  <c r="M49" i="19"/>
  <c r="N49" i="19" s="1"/>
  <c r="M16" i="19"/>
  <c r="N16" i="19" s="1"/>
  <c r="M22" i="19"/>
  <c r="N22" i="19" s="1"/>
  <c r="F126" i="16"/>
  <c r="G126" i="16" s="1"/>
  <c r="H126" i="16" s="1"/>
  <c r="I126" i="16" s="1"/>
  <c r="M51" i="19"/>
  <c r="N51" i="19" s="1"/>
  <c r="M40" i="19"/>
  <c r="N40" i="19" s="1"/>
  <c r="M41" i="19"/>
  <c r="N41" i="19" s="1"/>
  <c r="M26" i="19"/>
  <c r="N26" i="19" s="1"/>
  <c r="M61" i="19"/>
  <c r="N61" i="19" s="1"/>
  <c r="M38" i="19"/>
  <c r="N38" i="19" s="1"/>
  <c r="M68" i="19" l="1"/>
  <c r="N68" i="19" s="1"/>
  <c r="O68" i="19" s="1"/>
  <c r="M30" i="19"/>
  <c r="N30" i="19" s="1"/>
  <c r="M37" i="19"/>
  <c r="N37" i="19" s="1"/>
  <c r="M62" i="19"/>
  <c r="N62" i="19" s="1"/>
  <c r="O62" i="19" s="1"/>
  <c r="L27" i="33"/>
  <c r="M27" i="33" s="1"/>
  <c r="N27" i="33" s="1"/>
  <c r="L29" i="33"/>
  <c r="M29" i="33" s="1"/>
  <c r="N29" i="33" s="1"/>
  <c r="L28" i="33"/>
  <c r="M28" i="33" s="1"/>
  <c r="N28" i="33" s="1"/>
  <c r="L21" i="33"/>
  <c r="M21" i="33" s="1"/>
  <c r="N21" i="33" s="1"/>
  <c r="L23" i="33"/>
  <c r="M23" i="33" s="1"/>
  <c r="N23" i="33" s="1"/>
  <c r="L24" i="33"/>
  <c r="M24" i="33" s="1"/>
  <c r="N24" i="33" s="1"/>
  <c r="L25" i="33"/>
  <c r="M25" i="33" s="1"/>
  <c r="N25" i="33" s="1"/>
  <c r="L22" i="33"/>
  <c r="M22" i="33" s="1"/>
  <c r="N22" i="33" s="1"/>
  <c r="M55" i="19"/>
  <c r="N55" i="19" s="1"/>
  <c r="M69" i="19"/>
  <c r="N69" i="19" s="1"/>
  <c r="O69" i="19" s="1"/>
  <c r="L26" i="33"/>
  <c r="M26" i="33" s="1"/>
  <c r="N26" i="33" s="1"/>
  <c r="M35" i="19"/>
  <c r="N35" i="19" s="1"/>
  <c r="M59" i="19"/>
  <c r="N59" i="19" s="1"/>
  <c r="M12" i="19"/>
  <c r="N12" i="19" s="1"/>
  <c r="M70" i="19"/>
  <c r="N70" i="19" s="1"/>
  <c r="O70" i="19" s="1"/>
  <c r="M60" i="19"/>
  <c r="N60" i="19" s="1"/>
  <c r="M50" i="19"/>
  <c r="N50" i="19" s="1"/>
  <c r="M20" i="19"/>
  <c r="N20" i="19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M10" i="19"/>
  <c r="N10" i="19" s="1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N18" i="33" l="1"/>
  <c r="O18" i="33" s="1"/>
  <c r="N6" i="19"/>
  <c r="Q72" i="19"/>
  <c r="J63" i="19"/>
  <c r="J64" i="19"/>
  <c r="J65" i="19"/>
  <c r="Q62" i="19" l="1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4" i="19" l="1"/>
  <c r="O3" i="19"/>
  <c r="O6" i="19"/>
  <c r="O2" i="19" l="1"/>
  <c r="F3" i="19" l="1"/>
  <c r="P23" i="30" s="1"/>
  <c r="P3" i="19" l="1"/>
  <c r="A66" i="18"/>
  <c r="H6" i="19" l="1"/>
  <c r="I6" i="19"/>
  <c r="F6" i="19"/>
  <c r="A58" i="18" l="1"/>
  <c r="A56" i="18"/>
  <c r="L11" i="16" l="1"/>
  <c r="L12" i="16"/>
  <c r="F4" i="19" l="1"/>
  <c r="S23" i="30" s="1"/>
  <c r="P4" i="19" l="1"/>
  <c r="G35" i="16"/>
  <c r="G10" i="16"/>
  <c r="G14" i="16" s="1"/>
  <c r="F2" i="19"/>
  <c r="C69" i="16" s="1"/>
  <c r="J4" i="19"/>
  <c r="J3" i="19"/>
  <c r="E10" i="16" s="1"/>
  <c r="E14" i="16" s="1"/>
  <c r="G15" i="16" l="1"/>
  <c r="L14" i="16"/>
  <c r="L10" i="16"/>
  <c r="E35" i="16"/>
  <c r="C80" i="16" s="1"/>
  <c r="J2" i="19"/>
  <c r="G80" i="16" l="1"/>
  <c r="C84" i="16"/>
  <c r="H14" i="16"/>
  <c r="G9" i="16" l="1"/>
  <c r="C47" i="18" l="1"/>
  <c r="B47" i="18"/>
  <c r="D47" i="18" l="1"/>
  <c r="G33" i="16"/>
  <c r="H11" i="16"/>
  <c r="H10" i="16"/>
  <c r="H35" i="16"/>
  <c r="G84" i="16" l="1"/>
  <c r="C77" i="16" l="1"/>
  <c r="G34" i="16"/>
</calcChain>
</file>

<file path=xl/comments1.xml><?xml version="1.0" encoding="utf-8"?>
<comments xmlns="http://schemas.openxmlformats.org/spreadsheetml/2006/main">
  <authors>
    <author>Автор</author>
  </authors>
  <commentList>
    <comment ref="E125" authorId="0" shapeId="0">
      <text>
        <r>
          <rPr>
            <b/>
            <sz val="9"/>
            <color indexed="81"/>
            <rFont val="Tahoma"/>
            <family val="2"/>
            <charset val="204"/>
          </rPr>
          <t>рейтинг "для принятия решений" на 01.07.21 В-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J2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<sst xmlns="http://schemas.openxmlformats.org/spreadsheetml/2006/main" count="2215" uniqueCount="674">
  <si>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</si>
  <si>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</si>
  <si>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</si>
  <si>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</si>
  <si>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</si>
  <si>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</si>
  <si>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</si>
  <si>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</si>
  <si>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</si>
  <si>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</si>
  <si>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</si>
  <si>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</si>
  <si>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</si>
  <si>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</si>
  <si>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</si>
  <si>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</si>
  <si>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</si>
  <si>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</si>
  <si>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</si>
  <si>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</si>
  <si>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</si>
  <si>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</si>
  <si>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</si>
  <si>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</si>
  <si>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</si>
  <si>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</si>
  <si>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</si>
  <si>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</si>
  <si>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</si>
  <si>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</si>
  <si>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</si>
  <si>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</si>
  <si>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</si>
  <si>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</si>
  <si>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</si>
  <si>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</si>
  <si>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</si>
  <si>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</si>
  <si>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</si>
  <si>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</si>
  <si>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</si>
  <si>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</si>
  <si>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</si>
  <si>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</si>
  <si>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</si>
  <si>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</si>
  <si>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</si>
  <si>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</si>
  <si>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</si>
  <si>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</si>
  <si>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</si>
  <si>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</si>
  <si>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</si>
  <si>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</si>
  <si>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</si>
  <si>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</si>
  <si>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</si>
  <si>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</si>
  <si>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</si>
  <si>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</si>
  <si>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</si>
  <si>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</si>
  <si>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</si>
  <si>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</si>
  <si>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</si>
  <si>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</si>
  <si>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</si>
  <si>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</si>
  <si>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</si>
  <si>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</si>
  <si>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</si>
  <si>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</si>
  <si>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</si>
  <si>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</si>
  <si>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</si>
  <si>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</si>
  <si>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</si>
  <si>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</si>
  <si>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</si>
  <si>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</si>
  <si>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</si>
  <si>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</si>
  <si>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</si>
  <si>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</si>
  <si>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</si>
  <si>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</si>
  <si>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</si>
  <si>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</si>
  <si>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</si>
  <si>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</si>
  <si>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</si>
  <si>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</si>
  <si>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</si>
  <si>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</si>
  <si>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</si>
  <si>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</si>
  <si>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</si>
  <si>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</si>
  <si>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</si>
  <si>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</si>
  <si>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</si>
  <si>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</si>
  <si>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</si>
  <si>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</si>
  <si>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</si>
  <si>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</si>
  <si>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</si>
  <si>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</si>
  <si>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</si>
  <si>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</si>
  <si>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</si>
  <si>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</si>
  <si>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</si>
  <si>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</si>
  <si>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</si>
  <si>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</si>
  <si>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</si>
  <si>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</si>
  <si>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</si>
  <si>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</si>
  <si>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</si>
  <si>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</si>
  <si>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</si>
  <si>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</si>
  <si>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</si>
  <si>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</si>
  <si>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</si>
  <si>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</si>
  <si>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</si>
  <si>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</si>
  <si>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</si>
  <si>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</si>
  <si>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</si>
  <si>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</si>
  <si>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</si>
  <si>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</si>
  <si>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</si>
  <si>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</si>
  <si>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</si>
  <si>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</si>
  <si>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</si>
  <si>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</si>
  <si>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</si>
  <si>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</si>
  <si>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</si>
  <si>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</si>
  <si>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</si>
  <si>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</si>
  <si>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</si>
  <si>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</si>
  <si>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</si>
  <si>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</si>
  <si>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</si>
  <si>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</si>
  <si>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</si>
  <si>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</si>
  <si>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</si>
  <si>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</si>
  <si>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</si>
  <si>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</si>
  <si>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</si>
  <si>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</si>
  <si>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</si>
  <si>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</si>
  <si>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</si>
  <si>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</si>
  <si>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</si>
  <si>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</si>
  <si>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</si>
  <si>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</si>
  <si>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</si>
  <si>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</si>
  <si>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</si>
  <si>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</si>
  <si>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</si>
  <si>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</si>
  <si>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</si>
  <si>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</si>
  <si>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</si>
  <si>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</si>
  <si>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</si>
  <si>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</si>
  <si>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</si>
  <si>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</si>
  <si>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</si>
  <si>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</si>
  <si>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</si>
  <si>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</si>
  <si>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</si>
  <si>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</si>
  <si>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</si>
  <si>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</si>
  <si>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</si>
  <si>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</si>
  <si>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</si>
  <si>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</si>
  <si>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</si>
  <si>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</si>
  <si>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</si>
  <si>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</si>
  <si>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</si>
  <si>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</si>
  <si>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</si>
  <si>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</si>
  <si>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</si>
  <si>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</si>
  <si>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</si>
  <si>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</si>
  <si>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</si>
  <si>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</si>
  <si>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</si>
  <si>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</si>
  <si>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</si>
  <si>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</si>
  <si>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</si>
  <si>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</si>
  <si>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</si>
  <si>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</si>
  <si>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</si>
  <si>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</si>
  <si>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</si>
  <si>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</si>
  <si>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</si>
  <si>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</si>
  <si>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</si>
  <si>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</si>
  <si>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</si>
  <si>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</si>
  <si>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</si>
  <si>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</si>
  <si>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</si>
  <si>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</si>
  <si>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</si>
  <si>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</si>
  <si>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</si>
  <si>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</si>
  <si>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</si>
  <si>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</si>
  <si>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</si>
  <si>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</si>
  <si>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</si>
  <si>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</si>
  <si>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</si>
  <si>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</si>
  <si>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</si>
  <si>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</si>
  <si>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</si>
  <si>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</si>
  <si>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</si>
  <si>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</si>
  <si>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</si>
  <si>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</si>
  <si>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</si>
  <si>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</si>
  <si>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</si>
  <si>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</si>
  <si>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</si>
  <si>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</si>
  <si>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</si>
  <si>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</si>
  <si>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</si>
  <si>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</si>
  <si>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</si>
  <si>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</si>
  <si>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</si>
  <si>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</si>
  <si>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</si>
  <si>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</si>
  <si>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</si>
  <si>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</si>
  <si>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</si>
  <si>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</si>
  <si>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</si>
  <si>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</si>
  <si>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</si>
  <si>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</si>
  <si>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</si>
  <si>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</si>
  <si>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</si>
  <si>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</si>
  <si>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</si>
  <si>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</si>
  <si>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</si>
  <si>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</si>
  <si>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</si>
  <si>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</si>
  <si>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</si>
  <si>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</si>
  <si>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</si>
  <si>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</si>
  <si>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</si>
  <si>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</si>
  <si>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</si>
  <si>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</si>
  <si>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</si>
  <si>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</si>
  <si>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</si>
  <si>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</si>
  <si>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</si>
  <si>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</si>
  <si>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</si>
  <si>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</si>
  <si>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</si>
  <si>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</si>
  <si>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</si>
  <si>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</si>
  <si>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</si>
  <si>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</si>
  <si>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</si>
  <si>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</si>
  <si>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</si>
  <si>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</si>
  <si>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</si>
  <si>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</si>
  <si>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</si>
  <si>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</si>
  <si>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</si>
  <si>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</si>
  <si>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</si>
  <si>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</si>
  <si>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</si>
  <si>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</si>
  <si>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</si>
  <si>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</si>
  <si>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</si>
  <si>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</si>
  <si>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</si>
  <si>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</si>
  <si>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</si>
  <si>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</si>
  <si>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</si>
  <si>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</si>
  <si>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</si>
  <si>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</si>
  <si>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</si>
  <si>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</si>
  <si>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</si>
  <si>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</si>
  <si>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</si>
  <si>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</si>
  <si>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</si>
  <si>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</si>
  <si>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</si>
  <si>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</si>
  <si>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</si>
  <si>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</si>
  <si>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</si>
  <si>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</si>
  <si>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</si>
  <si>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</si>
  <si>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</si>
  <si>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</si>
  <si>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</si>
  <si>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</si>
  <si>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</si>
  <si>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</si>
  <si>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</si>
  <si>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</si>
  <si>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</si>
  <si>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</si>
  <si>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</si>
  <si>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</si>
  <si>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</si>
  <si>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</si>
  <si>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</si>
  <si>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</si>
  <si>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</si>
  <si>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</si>
  <si>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</si>
  <si>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</si>
  <si>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</si>
  <si>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</si>
  <si>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</si>
  <si>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</si>
  <si>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</si>
  <si>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</si>
  <si>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</si>
  <si>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</si>
  <si>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</si>
  <si>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IIB    6.750 05/16/23</t>
  </si>
  <si>
    <t>SVKBK 10.350 12/21/21</t>
  </si>
  <si>
    <t>AFKS   6.700 08/26/30 PUT</t>
  </si>
  <si>
    <t>IIB    5.950 03/10/23</t>
  </si>
  <si>
    <t>HEDTR  6.450 12/11/23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</si>
  <si>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</si>
  <si>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</si>
  <si>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</si>
  <si>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</si>
  <si>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</si>
  <si>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</si>
  <si>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</si>
  <si>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</si>
  <si>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</si>
  <si>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</si>
  <si>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</si>
  <si>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</si>
  <si>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</si>
  <si>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6.000 10/06/27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</si>
  <si>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</si>
  <si>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</si>
  <si>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</si>
  <si>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</si>
  <si>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</si>
  <si>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</si>
  <si>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</si>
  <si>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</si>
  <si>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</si>
  <si>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</si>
  <si>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</si>
  <si>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</si>
  <si>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</si>
  <si>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</si>
  <si>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</si>
  <si>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</si>
  <si>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</si>
  <si>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</si>
  <si>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</si>
  <si>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</si>
  <si>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</si>
  <si>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</si>
  <si>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</si>
  <si>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</si>
  <si>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</si>
  <si>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</si>
  <si>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</si>
  <si>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</si>
  <si>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</si>
  <si>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</si>
  <si>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</si>
  <si>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</si>
  <si>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</si>
  <si>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</si>
  <si>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</si>
  <si>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</si>
  <si>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</si>
  <si>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</si>
  <si>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</si>
  <si>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</si>
  <si>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</si>
  <si>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</si>
  <si>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</si>
  <si>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</si>
  <si>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</si>
  <si>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</si>
  <si>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</si>
  <si>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</si>
  <si>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</si>
  <si>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</si>
  <si>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</si>
  <si>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</si>
  <si>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</si>
  <si>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</si>
  <si>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cvar, % (по наилучшему рейтингу)</t>
  </si>
  <si>
    <t>VON    3.375 11/25/27 '27 MTN</t>
  </si>
  <si>
    <t>MMCFN  3.849 04/08/22 '22</t>
  </si>
  <si>
    <t>GAZFI  4.599 Perp     '25 FRN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</si>
  <si>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</si>
  <si>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</si>
  <si>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</si>
  <si>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</si>
  <si>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</si>
  <si>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Брусника</t>
  </si>
  <si>
    <t>МСП Банк</t>
  </si>
  <si>
    <t>ММК, ао</t>
  </si>
  <si>
    <t>НЛМК, ао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</si>
  <si>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</si>
  <si>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</si>
  <si>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</si>
  <si>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</si>
  <si>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BRSSD  9.600 04/01/24</t>
  </si>
  <si>
    <t>VNESH  6.200 03/17/22 PUT</t>
  </si>
  <si>
    <t>VNESH  6.250 08/11/22 PUT</t>
  </si>
  <si>
    <t>1 июня 2021
Европлан
SOCAR
   CB Entreprises Sàrl 
Societe Generale
 (НорНикель) 
SUEK Ltd 
Уралкалий
 Coral Energy Pte</t>
  </si>
  <si>
    <t>Биржевой код ЦБ</t>
  </si>
  <si>
    <t>Портфель обособленный, без АББ</t>
  </si>
  <si>
    <t>BYGV   5.875 02/24/26</t>
  </si>
  <si>
    <t>EVRE   5.375 03/20/23</t>
  </si>
  <si>
    <t>CrVar "резерв ликвидности"</t>
  </si>
  <si>
    <t>кредитный риск портфель "резерв ликвидности"</t>
  </si>
  <si>
    <t>Mail.ru</t>
  </si>
  <si>
    <t>ТМК</t>
  </si>
  <si>
    <t>MAILR  1.625 10/01/25 CVT</t>
  </si>
  <si>
    <t>TRMK   7.600 05/21/27 PUT</t>
  </si>
  <si>
    <t>АБФ-БО</t>
  </si>
  <si>
    <t>корпоративные еврооблигации</t>
  </si>
  <si>
    <t>корпоративные рублевые облигации</t>
  </si>
  <si>
    <t>госеврооблигации</t>
  </si>
  <si>
    <t>РОСНАНО</t>
  </si>
  <si>
    <t>Московский Кредитный Банк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</si>
  <si>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</si>
  <si>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</si>
  <si>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</si>
  <si>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</si>
  <si>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</si>
  <si>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</si>
  <si>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</si>
  <si>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</si>
  <si>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</si>
  <si>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</si>
  <si>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</si>
  <si>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</si>
  <si>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</si>
  <si>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</si>
  <si>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</si>
  <si>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</si>
  <si>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</si>
  <si>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</si>
  <si>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</si>
  <si>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</si>
  <si>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</si>
  <si>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Евраз-2023-еврооб</t>
  </si>
  <si>
    <t>Беларусь-2026-еврооб</t>
  </si>
  <si>
    <t>Mail.ru-2025-еврооб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</si>
  <si>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</si>
  <si>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</si>
  <si>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</si>
  <si>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</si>
  <si>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</si>
  <si>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</si>
  <si>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</si>
  <si>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СистемаАФК-001P-04-боб</t>
  </si>
  <si>
    <t>ГТЛК-4-боб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</si>
  <si>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</si>
  <si>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</si>
  <si>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</si>
  <si>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</si>
  <si>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</si>
  <si>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</si>
  <si>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</si>
  <si>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</si>
  <si>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</si>
  <si>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</si>
  <si>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</si>
  <si>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Совкомбанк Лизинг-п01-боб</t>
  </si>
  <si>
    <t>РусГидро-2022-еврооб</t>
  </si>
  <si>
    <t>Металлоинвест-2-об</t>
  </si>
  <si>
    <t>Металлоинвест-3-об</t>
  </si>
  <si>
    <t>Брусника-1P02-об</t>
  </si>
  <si>
    <t>МСП-01-об</t>
  </si>
  <si>
    <t>МСП-02-об</t>
  </si>
  <si>
    <t>ТМК-БО-7</t>
  </si>
  <si>
    <t>ОФЗ-29007</t>
  </si>
  <si>
    <t>Россия-2032-еврооб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</si>
  <si>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</si>
  <si>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</si>
  <si>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</si>
  <si>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</si>
  <si>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</si>
  <si>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</si>
  <si>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</si>
  <si>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</si>
  <si>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</si>
  <si>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</si>
  <si>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</si>
  <si>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</si>
  <si>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</si>
  <si>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</si>
  <si>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</si>
  <si>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</si>
  <si>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</si>
  <si>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</si>
  <si>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</si>
  <si>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</si>
  <si>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</si>
  <si>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XS0743596040</t>
  </si>
  <si>
    <t>XS1634369067</t>
  </si>
  <si>
    <t>XS2243631095</t>
  </si>
  <si>
    <t>XS1951067039</t>
  </si>
  <si>
    <t>XS2099763075</t>
  </si>
  <si>
    <t>XS1533915721</t>
  </si>
  <si>
    <t>XS2120091991</t>
  </si>
  <si>
    <t>XS2239639433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</si>
  <si>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</si>
  <si>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</si>
  <si>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</si>
  <si>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</si>
  <si>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</si>
  <si>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</si>
  <si>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</si>
  <si>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RU000A0JWYQ5</t>
  </si>
  <si>
    <t>RU000A0JVA10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</si>
  <si>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</si>
  <si>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</si>
  <si>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</si>
  <si>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</si>
  <si>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</si>
  <si>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</si>
  <si>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</si>
  <si>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</si>
  <si>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</si>
  <si>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</si>
  <si>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</si>
  <si>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</si>
  <si>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</si>
  <si>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</si>
  <si>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</si>
  <si>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RU000A102Y58</t>
  </si>
  <si>
    <t>RU000A0JS5R1</t>
  </si>
  <si>
    <t>RU000A0JS603</t>
  </si>
  <si>
    <t>RU000A0JXSF8</t>
  </si>
  <si>
    <t>RU000A0JV4M0</t>
  </si>
  <si>
    <t>RU000A102CL3</t>
  </si>
  <si>
    <t>XS1964558339</t>
  </si>
  <si>
    <t>XS2159874002</t>
  </si>
  <si>
    <t>XS2131995958</t>
  </si>
  <si>
    <t>XS2249778247</t>
  </si>
  <si>
    <t xml:space="preserve"> Средний рейтинг </t>
  </si>
  <si>
    <t>Ипотечный агент ДОМ.РФ</t>
  </si>
  <si>
    <t>МТС-Банк</t>
  </si>
  <si>
    <t>Москва</t>
  </si>
  <si>
    <t>ИА ДОМ.РФ-02р-об</t>
  </si>
  <si>
    <t>ИА ДОМ.РФ-06р-об</t>
  </si>
  <si>
    <t>ИА ДОМ.РФ-009р-об</t>
  </si>
  <si>
    <t>ИА ДОМ.РФ-010P-боб</t>
  </si>
  <si>
    <t>РЖД-2028</t>
  </si>
  <si>
    <t>МТС-Банк-01-об</t>
  </si>
  <si>
    <t>ИА ДОМ.РФ-8P2-об</t>
  </si>
  <si>
    <t>ИА ДОМ.РФ-Б1P4-об</t>
  </si>
  <si>
    <t>Москва-74-об</t>
  </si>
  <si>
    <t>облигации субъектов РФ</t>
  </si>
  <si>
    <t>RU000A0ZYJT2</t>
  </si>
  <si>
    <t>RU000A0ZZV86</t>
  </si>
  <si>
    <t>RU000A100DQ4</t>
  </si>
  <si>
    <t>RU000A100ZB9</t>
  </si>
  <si>
    <t>XS2318748956</t>
  </si>
  <si>
    <t>RU000A1034T9</t>
  </si>
  <si>
    <t>RU000A0ZZZ09</t>
  </si>
  <si>
    <t>RU000A102K13</t>
  </si>
  <si>
    <t>RU000A1033Z8</t>
  </si>
  <si>
    <t>акции обыкновенные</t>
  </si>
  <si>
    <t>акции привилегированные</t>
  </si>
  <si>
    <t>Норникель-2025-еврооб</t>
  </si>
  <si>
    <t>Газпром-2029-еврооб</t>
  </si>
  <si>
    <t>ВТБ-2012-еврооб</t>
  </si>
  <si>
    <t>VEON Holdings-2027-еврооб</t>
  </si>
  <si>
    <t>Открытие Холдинг-5-об</t>
  </si>
  <si>
    <t>Тинькофф-001P-03R-боб</t>
  </si>
  <si>
    <t>Росбанк-11-боб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</si>
  <si>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</si>
  <si>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</si>
  <si>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</si>
  <si>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</si>
  <si>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</si>
  <si>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</si>
  <si>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ОФЗ-52002</t>
  </si>
  <si>
    <t>ОФЗ-26232</t>
  </si>
  <si>
    <t>SNGS</t>
  </si>
  <si>
    <t>YNDX</t>
  </si>
  <si>
    <t>GMKN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</si>
  <si>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</si>
  <si>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</si>
  <si>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</si>
  <si>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</si>
  <si>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</si>
  <si>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</si>
  <si>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</si>
  <si>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RU000A0JTM36</t>
  </si>
  <si>
    <t>RU000A0JTM51</t>
  </si>
  <si>
    <t>RU000A1023K1</t>
  </si>
  <si>
    <t>RU000A1023H7</t>
  </si>
  <si>
    <t>RU000A102GY7</t>
  </si>
  <si>
    <t>RU000A102RF3</t>
  </si>
  <si>
    <t>RU000A0ZYZ26</t>
  </si>
  <si>
    <t>RU000A1014N4</t>
  </si>
  <si>
    <t>BANEP</t>
  </si>
  <si>
    <t>Вложения (руб) на 01.09.2021</t>
  </si>
  <si>
    <t>Internal error</t>
  </si>
  <si>
    <t>GTLK   6.890 12/16/25 PUT</t>
  </si>
  <si>
    <t>GTLK   6.250 12/31/32 FRN PUT</t>
  </si>
  <si>
    <t>GTLK   6.150 01/18/33 FRN PUT</t>
  </si>
  <si>
    <t>GTLK   7.350 03/18/33 PUT</t>
  </si>
  <si>
    <t>GTLK   7.980 03/06/25 PUT</t>
  </si>
  <si>
    <t>RUGV   6.460 03/03/27 FRN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</si>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</sst>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</cellStyleXfs>
  <cellXfs count="254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39" fillId="0" borderId="0" xfId="0" applyFont="1" applyBorder="1"/>
    <xf numFmtId="3" fontId="41" fillId="0" borderId="0" xfId="0" applyNumberFormat="1" applyFont="1" applyBorder="1"/>
    <xf numFmtId="3" fontId="40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center" wrapText="1"/>
    </xf>
    <xf numFmtId="3" fontId="0" fillId="2" borderId="1" xfId="0" applyNumberFormat="1" applyFill="1" applyBorder="1"/>
    <xf numFmtId="0" fontId="18" fillId="6" borderId="1" xfId="1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wrapText="1"/>
    </xf>
    <xf numFmtId="14" fontId="11" fillId="2" borderId="1" xfId="0" applyNumberFormat="1" applyFont="1" applyFill="1" applyBorder="1"/>
    <xf numFmtId="0" fontId="16" fillId="2" borderId="1" xfId="10" applyFont="1" applyFill="1" applyBorder="1" applyAlignment="1">
      <alignment vertical="center"/>
    </xf>
    <xf numFmtId="3" fontId="16" fillId="2" borderId="1" xfId="10" applyNumberFormat="1" applyFont="1" applyFill="1" applyBorder="1" applyAlignment="1">
      <alignment vertical="center"/>
    </xf>
    <xf numFmtId="10" fontId="16" fillId="2" borderId="1" xfId="10" applyNumberFormat="1" applyFont="1" applyFill="1" applyBorder="1" applyAlignment="1">
      <alignment vertical="center"/>
    </xf>
    <xf numFmtId="9" fontId="0" fillId="0" borderId="1" xfId="0" applyNumberFormat="1" applyBorder="1"/>
    <xf numFmtId="3" fontId="38" fillId="0" borderId="0" xfId="1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 wrapText="1"/>
    </xf>
    <xf numFmtId="0" fontId="39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39" fillId="0" borderId="3" xfId="0" applyFont="1" applyBorder="1" applyAlignment="1">
      <alignment horizontal="center"/>
    </xf>
  </cellXfs>
  <cellStyles count="22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D3E9E6"/>
      <color rgb="FFB4EFCF"/>
      <color rgb="FF939598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7/1/2021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1577047436181627E-3"/>
                  <c:y val="-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0055325169924472E-3"/>
                  <c:y val="-1.59362499807855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6279-4934-BFC5-4E58ABD1A0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'1'!$C$10:$C$14</c:f>
              <c:numCache>
                <c:formatCode>#,##0</c:formatCode>
                <c:ptCount val="5"/>
                <c:pt idx="0">
                  <c:v>1593.0526031934919</c:v>
                </c:pt>
                <c:pt idx="1">
                  <c:v>758.27136024701895</c:v>
                </c:pt>
                <c:pt idx="2">
                  <c:v>2245</c:v>
                </c:pt>
                <c:pt idx="3">
                  <c:v>791.01617014370504</c:v>
                </c:pt>
                <c:pt idx="4">
                  <c:v>5387.3401335842154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8/1/2021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5.5896702145628394E-3"/>
                  <c:y val="-1.59362499807855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'1'!$D$10:$D$14</c:f>
              <c:numCache>
                <c:formatCode>#,##0</c:formatCode>
                <c:ptCount val="5"/>
                <c:pt idx="0">
                  <c:v>2229.7578277997818</c:v>
                </c:pt>
                <c:pt idx="1">
                  <c:v>990</c:v>
                </c:pt>
                <c:pt idx="2">
                  <c:v>1708</c:v>
                </c:pt>
                <c:pt idx="3">
                  <c:v>777.38015035666888</c:v>
                </c:pt>
                <c:pt idx="4">
                  <c:v>5705.137978156451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9/1/2021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935521521733612E-2"/>
                  <c:y val="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6362034320013508E-3"/>
                  <c:y val="-7.3040301977465778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94-4458-A860-A9A1885088A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'1'!$E$10:$E$14</c:f>
              <c:numCache>
                <c:formatCode>#,##0</c:formatCode>
                <c:ptCount val="5"/>
                <c:pt idx="0">
                  <c:v>2226.5899497846872</c:v>
                </c:pt>
                <c:pt idx="1">
                  <c:v>938.87583969508898</c:v>
                </c:pt>
                <c:pt idx="2">
                  <c:v>2130</c:v>
                </c:pt>
                <c:pt idx="3">
                  <c:v>758.71682959291832</c:v>
                </c:pt>
                <c:pt idx="4">
                  <c:v>6054.1826190726952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592438080"/>
        <c:axId val="-592437536"/>
      </c:barChart>
      <c:catAx>
        <c:axId val="-59243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92437536"/>
        <c:crosses val="autoZero"/>
        <c:auto val="1"/>
        <c:lblAlgn val="ctr"/>
        <c:lblOffset val="100"/>
        <c:noMultiLvlLbl val="0"/>
      </c:catAx>
      <c:valAx>
        <c:axId val="-5924375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59243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'1'!$C$34</c:f>
              <c:strCache>
                <c:ptCount val="1"/>
                <c:pt idx="0">
                  <c:v>7/1/2021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'1'!$C$35</c:f>
              <c:numCache>
                <c:formatCode>#,##0.0</c:formatCode>
                <c:ptCount val="1"/>
                <c:pt idx="0">
                  <c:v>99.284319848700505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'1'!$D$34</c:f>
              <c:strCache>
                <c:ptCount val="1"/>
                <c:pt idx="0">
                  <c:v>8/1/2021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'1'!$D$35</c:f>
              <c:numCache>
                <c:formatCode>#,##0.0</c:formatCode>
                <c:ptCount val="1"/>
                <c:pt idx="0">
                  <c:v>109.34117930812197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'1'!$E$34</c:f>
              <c:strCache>
                <c:ptCount val="1"/>
                <c:pt idx="0">
                  <c:v>9/1/2021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'1'!$E$35</c:f>
              <c:numCache>
                <c:formatCode>#,##0</c:formatCode>
                <c:ptCount val="1"/>
                <c:pt idx="0">
                  <c:v>106.49371526008588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592428288"/>
        <c:axId val="-592429920"/>
      </c:barChart>
      <c:catAx>
        <c:axId val="-59242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92429920"/>
        <c:crosses val="autoZero"/>
        <c:auto val="1"/>
        <c:lblAlgn val="ctr"/>
        <c:lblOffset val="100"/>
        <c:noMultiLvlLbl val="0"/>
      </c:catAx>
      <c:valAx>
        <c:axId val="-592429920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-5924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09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af-ZA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'1'!$B$78:$B$83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портфель "резерв ликвидности"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'1'!$C$78:$C$83</c:f>
              <c:numCache>
                <c:formatCode>#,##0</c:formatCode>
                <c:ptCount val="6"/>
                <c:pt idx="0">
                  <c:v>938.87583969508898</c:v>
                </c:pt>
                <c:pt idx="1">
                  <c:v>477</c:v>
                </c:pt>
                <c:pt idx="2">
                  <c:v>2333.0836650447732</c:v>
                </c:pt>
                <c:pt idx="3">
                  <c:v>758.71682959291832</c:v>
                </c:pt>
                <c:pt idx="4">
                  <c:v>2130</c:v>
                </c:pt>
                <c:pt idx="5">
                  <c:v>7.9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1461318051575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7.5176632373494215E-2"/>
                  <c:y val="-0.1301494333265648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6.3306637788205652E-2"/>
                  <c:y val="7.640878701050620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3523E-3"/>
                  <c:y val="-0.114613180515759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0.20772490524254986"/>
                  <c:y val="-5.348615090735434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политика'!$A$2:$A$18</c:f>
              <c:strCache>
                <c:ptCount val="17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Прочее</c:v>
                </c:pt>
              </c:strCache>
            </c:strRef>
          </c:cat>
          <c:val>
            <c:numRef>
              <c:f>'Инвест политика'!$C$2:$C$18</c:f>
              <c:numCache>
                <c:formatCode>0%</c:formatCode>
                <c:ptCount val="17"/>
                <c:pt idx="0" formatCode="0.0%">
                  <c:v>0.36173467820837873</c:v>
                </c:pt>
                <c:pt idx="1">
                  <c:v>1.6416235399234605E-2</c:v>
                </c:pt>
                <c:pt idx="2">
                  <c:v>1.5701593024176463E-2</c:v>
                </c:pt>
                <c:pt idx="3">
                  <c:v>0.25455347577465487</c:v>
                </c:pt>
                <c:pt idx="4">
                  <c:v>3.4463682663086977E-2</c:v>
                </c:pt>
                <c:pt idx="5">
                  <c:v>1.8459973879650347E-2</c:v>
                </c:pt>
                <c:pt idx="6">
                  <c:v>1.6566799135179149E-2</c:v>
                </c:pt>
                <c:pt idx="7">
                  <c:v>4.6627639108463743E-2</c:v>
                </c:pt>
                <c:pt idx="8">
                  <c:v>4.7794935805804718E-2</c:v>
                </c:pt>
                <c:pt idx="9">
                  <c:v>0</c:v>
                </c:pt>
                <c:pt idx="10">
                  <c:v>0.12540089360913179</c:v>
                </c:pt>
                <c:pt idx="11">
                  <c:v>7.4967993384606182E-3</c:v>
                </c:pt>
                <c:pt idx="12">
                  <c:v>4.4076341266563637E-2</c:v>
                </c:pt>
                <c:pt idx="13">
                  <c:v>9.112864597642982E-3</c:v>
                </c:pt>
                <c:pt idx="14">
                  <c:v>6.5927220348730006E-4</c:v>
                </c:pt>
                <c:pt idx="15">
                  <c:v>0</c:v>
                </c:pt>
                <c:pt idx="16">
                  <c:v>9.3481598608406518E-4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политика'!$A$2:$A$18</c15:sqref>
                        </c15:formulaRef>
                      </c:ext>
                    </c:extLst>
                    <c:strCache>
                      <c:ptCount val="17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24438613755.66</c:v>
                      </c:pt>
                      <c:pt idx="1">
                        <c:v>1109072644.71</c:v>
                      </c:pt>
                      <c:pt idx="2">
                        <c:v>1060791763.64</c:v>
                      </c:pt>
                      <c:pt idx="3">
                        <c:v>17197505379.989998</c:v>
                      </c:pt>
                      <c:pt idx="4">
                        <c:v>2328349146.3199997</c:v>
                      </c:pt>
                      <c:pt idx="5">
                        <c:v>1247146593.24</c:v>
                      </c:pt>
                      <c:pt idx="6">
                        <c:v>1119244655.3299999</c:v>
                      </c:pt>
                      <c:pt idx="7">
                        <c:v>3150139953.8299999</c:v>
                      </c:pt>
                      <c:pt idx="8">
                        <c:v>3229001934.2900004</c:v>
                      </c:pt>
                      <c:pt idx="9">
                        <c:v>0</c:v>
                      </c:pt>
                      <c:pt idx="10">
                        <c:v>8472021589.71</c:v>
                      </c:pt>
                      <c:pt idx="11">
                        <c:v>506480010</c:v>
                      </c:pt>
                      <c:pt idx="12">
                        <c:v>2977775548.9499998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7969072515783042E-2"/>
                  <c:y val="0.1473532850572545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184394164394609E-2"/>
                  <c:y val="-9.284493414952754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5086040331054652E-2"/>
                  <c:y val="-5.964276645682524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2211882811078578E-2"/>
                  <c:y val="6.156020708873739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2.8536191730782062E-2"/>
                  <c:y val="0.102141850056657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7075202897688311E-3"/>
                  <c:y val="-9.486181908410187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3.4178486086377323E-2"/>
                  <c:y val="9.176874726246565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('1'!$B$57,'1'!$B$59:$B$65)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'1'!$D$57:$D$67</c15:sqref>
                  </c15:fullRef>
                </c:ext>
              </c:extLst>
              <c:f>('1'!$D$57,'1'!$D$59:$D$65)</c:f>
              <c:numCache>
                <c:formatCode>0%</c:formatCode>
                <c:ptCount val="8"/>
                <c:pt idx="0">
                  <c:v>2.0850169029855186E-2</c:v>
                </c:pt>
                <c:pt idx="1">
                  <c:v>0.18807353754476833</c:v>
                </c:pt>
                <c:pt idx="2">
                  <c:v>0.30494957806850048</c:v>
                </c:pt>
                <c:pt idx="3">
                  <c:v>0.17268340458174883</c:v>
                </c:pt>
                <c:pt idx="4">
                  <c:v>0.1684671075813397</c:v>
                </c:pt>
                <c:pt idx="5">
                  <c:v>3.4115585504854141E-2</c:v>
                </c:pt>
                <c:pt idx="6">
                  <c:v>1.1419507906281198E-2</c:v>
                </c:pt>
                <c:pt idx="7">
                  <c:v>1.7742011351056172E-2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7530572156938"/>
          <c:y val="4.403827983040582E-2"/>
          <c:w val="0.42870627605844597"/>
          <c:h val="0.86980787401574799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731-4BFE-8859-E30BD4859EF7}"/>
              </c:ext>
            </c:extLst>
          </c:dPt>
          <c:dPt>
            <c:idx val="1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2911692788477041E-2"/>
                  <c:y val="0.109090971562474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8687347175513665E-2"/>
                  <c:y val="-0.147272811609341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2911692788477094E-2"/>
                  <c:y val="0.1527273601874646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731-4BFE-8859-E30BD4859EF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'страт портфель'!$A$2:$A$12</c15:sqref>
                  </c15:fullRef>
                </c:ext>
              </c:extLst>
              <c:f>('страт портфель'!$A$4:$A$5,'страт портфель'!$A$8)</c:f>
              <c:strCache>
                <c:ptCount val="3"/>
                <c:pt idx="0">
                  <c:v>BBB</c:v>
                </c:pt>
                <c:pt idx="1">
                  <c:v>BBB-</c:v>
                </c:pt>
                <c:pt idx="2">
                  <c:v>BB-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'страт портфель'!$B$2:$B$12</c15:sqref>
                  </c15:fullRef>
                </c:ext>
              </c:extLst>
              <c:f>('страт портфель'!$B$4:$B$5,'страт портфель'!$B$8)</c:f>
              <c:numCache>
                <c:formatCode>#,##0</c:formatCode>
                <c:ptCount val="3"/>
                <c:pt idx="0">
                  <c:v>8429550574.4399996</c:v>
                </c:pt>
                <c:pt idx="1">
                  <c:v>59603720221.840004</c:v>
                </c:pt>
                <c:pt idx="2">
                  <c:v>596583000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1-4BFE-8859-E30BD4859EF7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Синдикаты!$B$3:$K$3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22781.429500196231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592428832"/>
        <c:axId val="-592438624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Синдикаты!$B$2:$K$2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июня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Синдикаты!$B$4:$K$4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817.87964110103769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34C-44A5-868C-30041EECEC7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Синдикаты!$B$5:$K$5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3.590115541669555E-2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92435360"/>
        <c:axId val="-592435904"/>
      </c:lineChart>
      <c:catAx>
        <c:axId val="-59242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92438624"/>
        <c:crosses val="autoZero"/>
        <c:auto val="1"/>
        <c:lblAlgn val="ctr"/>
        <c:lblOffset val="100"/>
        <c:noMultiLvlLbl val="0"/>
      </c:catAx>
      <c:valAx>
        <c:axId val="-59243862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92428832"/>
        <c:crosses val="autoZero"/>
        <c:crossBetween val="between"/>
      </c:valAx>
      <c:valAx>
        <c:axId val="-592435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92435360"/>
        <c:crosses val="max"/>
        <c:crossBetween val="between"/>
      </c:valAx>
      <c:catAx>
        <c:axId val="-592435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592435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592432640"/>
        <c:axId val="-592432096"/>
      </c:barChart>
      <c:catAx>
        <c:axId val="-59243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92432096"/>
        <c:crosses val="autoZero"/>
        <c:auto val="1"/>
        <c:lblAlgn val="ctr"/>
        <c:lblOffset val="100"/>
        <c:noMultiLvlLbl val="0"/>
      </c:catAx>
      <c:valAx>
        <c:axId val="-5924320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924326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970945</xdr:colOff>
      <xdr:row>14</xdr:row>
      <xdr:rowOff>135465</xdr:rowOff>
    </xdr:from>
    <xdr:to>
      <xdr:col>5</xdr:col>
      <xdr:colOff>656166</xdr:colOff>
      <xdr:row>31</xdr:row>
      <xdr:rowOff>84666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35</xdr:row>
      <xdr:rowOff>153762</xdr:rowOff>
    </xdr:from>
    <xdr:to>
      <xdr:col>4</xdr:col>
      <xdr:colOff>335642</xdr:colOff>
      <xdr:row>48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83</xdr:row>
      <xdr:rowOff>158751</xdr:rowOff>
    </xdr:from>
    <xdr:to>
      <xdr:col>4</xdr:col>
      <xdr:colOff>21166</xdr:colOff>
      <xdr:row>101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93</xdr:row>
      <xdr:rowOff>9069</xdr:rowOff>
    </xdr:from>
    <xdr:to>
      <xdr:col>2</xdr:col>
      <xdr:colOff>687917</xdr:colOff>
      <xdr:row>95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6 646</a:t>
          </a:r>
        </a:p>
      </xdr:txBody>
    </xdr:sp>
    <xdr:clientData/>
  </xdr:twoCellAnchor>
  <xdr:twoCellAnchor>
    <xdr:from>
      <xdr:col>1</xdr:col>
      <xdr:colOff>27214</xdr:colOff>
      <xdr:row>102</xdr:row>
      <xdr:rowOff>23131</xdr:rowOff>
    </xdr:from>
    <xdr:to>
      <xdr:col>5</xdr:col>
      <xdr:colOff>340179</xdr:colOff>
      <xdr:row>119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486831</xdr:colOff>
      <xdr:row>54</xdr:row>
      <xdr:rowOff>14816</xdr:rowOff>
    </xdr:from>
    <xdr:to>
      <xdr:col>9</xdr:col>
      <xdr:colOff>687915</xdr:colOff>
      <xdr:row>70</xdr:row>
      <xdr:rowOff>74083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1217082</xdr:colOff>
      <xdr:row>0</xdr:row>
      <xdr:rowOff>0</xdr:rowOff>
    </xdr:from>
    <xdr:to>
      <xdr:col>8</xdr:col>
      <xdr:colOff>31749</xdr:colOff>
      <xdr:row>14</xdr:row>
      <xdr:rowOff>105832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  <sheetName val="Список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S126"/>
  <sheetViews>
    <sheetView topLeftCell="A65" zoomScale="90" zoomScaleNormal="90" workbookViewId="0">
      <selection activeCell="C79" sqref="C79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28" t="s">
        <v>11</v>
      </c>
      <c r="C6" s="228"/>
      <c r="D6" s="228"/>
      <c r="E6" s="228"/>
    </row>
    <row r="8" spans="2:19" x14ac:dyDescent="0.25">
      <c r="B8" s="37" t="s">
        <v>42</v>
      </c>
      <c r="G8" s="231" t="s">
        <v>18</v>
      </c>
      <c r="H8" s="231"/>
    </row>
    <row r="9" spans="2:19" x14ac:dyDescent="0.25">
      <c r="B9" s="5" t="s">
        <v>12</v>
      </c>
      <c r="C9" s="7">
        <v>44378</v>
      </c>
      <c r="D9" s="7">
        <v>44409</v>
      </c>
      <c r="E9" s="220">
        <v>44440</v>
      </c>
      <c r="F9" s="1"/>
      <c r="G9" s="18">
        <f>E9</f>
        <v>44440</v>
      </c>
      <c r="H9" s="23" t="s">
        <v>17</v>
      </c>
      <c r="J9" s="18">
        <v>44409</v>
      </c>
      <c r="K9" s="23" t="s">
        <v>17</v>
      </c>
      <c r="L9" t="s">
        <v>39</v>
      </c>
      <c r="Q9" s="2"/>
    </row>
    <row r="10" spans="2:19" x14ac:dyDescent="0.25">
      <c r="B10" s="5" t="s">
        <v>3</v>
      </c>
      <c r="C10" s="13">
        <v>1593.0526031934919</v>
      </c>
      <c r="D10" s="13">
        <v>2229.7578277997818</v>
      </c>
      <c r="E10" s="25">
        <f ca="1">'портефль до погашения'!J3/1000000</f>
        <v>2226.5899497846872</v>
      </c>
      <c r="G10" s="25">
        <f ca="1">'портефль до погашения'!F3/1000000</f>
        <v>59393.911625979978</v>
      </c>
      <c r="H10" s="24">
        <f ca="1">E10/G10</f>
        <v>3.7488521783278814E-2</v>
      </c>
      <c r="J10" s="217">
        <v>59691.967078950001</v>
      </c>
      <c r="K10" s="24">
        <v>3.7354403564061667E-2</v>
      </c>
      <c r="L10" s="2">
        <f ca="1">G10-J10</f>
        <v>-298.05545297002391</v>
      </c>
      <c r="M10" t="s">
        <v>40</v>
      </c>
      <c r="Q10" s="2"/>
    </row>
    <row r="11" spans="2:19" x14ac:dyDescent="0.25">
      <c r="B11" s="5" t="s">
        <v>4</v>
      </c>
      <c r="C11" s="13">
        <v>758.27136024701895</v>
      </c>
      <c r="D11" s="13">
        <v>990</v>
      </c>
      <c r="E11" s="8">
        <v>938.87583969508898</v>
      </c>
      <c r="G11" s="217">
        <v>26702.085442383817</v>
      </c>
      <c r="H11" s="24">
        <f>E11/G11</f>
        <v>3.5161142814891362E-2</v>
      </c>
      <c r="J11" s="217">
        <v>27560</v>
      </c>
      <c r="K11" s="24">
        <v>3.5921625544267054E-2</v>
      </c>
      <c r="L11" s="2">
        <f>G11-J11</f>
        <v>-857.91455761618272</v>
      </c>
      <c r="Q11" s="2"/>
    </row>
    <row r="12" spans="2:19" x14ac:dyDescent="0.25">
      <c r="B12" s="5" t="s">
        <v>96</v>
      </c>
      <c r="C12" s="8">
        <v>2245</v>
      </c>
      <c r="D12" s="8">
        <v>1708</v>
      </c>
      <c r="E12" s="8">
        <v>2130</v>
      </c>
      <c r="G12" s="217">
        <v>25168</v>
      </c>
      <c r="H12" s="24">
        <f>E12/G12</f>
        <v>8.4631277813095998E-2</v>
      </c>
      <c r="J12" s="219">
        <v>21447</v>
      </c>
      <c r="K12" s="24">
        <v>7.9638177833729659E-2</v>
      </c>
      <c r="L12" s="2">
        <f>G12-J12</f>
        <v>3721</v>
      </c>
      <c r="O12" s="2"/>
      <c r="Q12" s="2"/>
    </row>
    <row r="13" spans="2:19" x14ac:dyDescent="0.25">
      <c r="B13" s="5" t="s">
        <v>477</v>
      </c>
      <c r="C13" s="8">
        <v>791.01617014370504</v>
      </c>
      <c r="D13" s="8">
        <v>777.38015035666888</v>
      </c>
      <c r="E13" s="57">
        <f>'страт портфель'!I18/1000000</f>
        <v>758.71682959291832</v>
      </c>
      <c r="G13" s="57">
        <f>'страт портфель'!E18/1000000</f>
        <v>68629.853796280004</v>
      </c>
      <c r="H13" s="24">
        <f>E13/G13</f>
        <v>1.1055201018569613E-2</v>
      </c>
      <c r="J13" s="219">
        <v>70437.673494270013</v>
      </c>
      <c r="K13" s="24">
        <v>1.1036425705058351E-2</v>
      </c>
      <c r="L13" s="2">
        <f>G13-J13</f>
        <v>-1807.8196979900094</v>
      </c>
      <c r="O13" s="2"/>
      <c r="Q13" s="2"/>
    </row>
    <row r="14" spans="2:19" x14ac:dyDescent="0.25">
      <c r="B14" s="10" t="s">
        <v>5</v>
      </c>
      <c r="C14" s="11">
        <v>5387.3401335842154</v>
      </c>
      <c r="D14" s="11">
        <v>5705.137978156451</v>
      </c>
      <c r="E14" s="11">
        <f ca="1">SUM(E10:E13)</f>
        <v>6054.1826190726952</v>
      </c>
      <c r="G14" s="14">
        <f ca="1">SUM(G10:G13)</f>
        <v>179893.85086464381</v>
      </c>
      <c r="H14" s="24">
        <f ca="1">E14/G14</f>
        <v>3.3654194348354899E-2</v>
      </c>
      <c r="J14" s="14">
        <v>179136.64057322001</v>
      </c>
      <c r="K14" s="24">
        <v>3.1847967897022961E-2</v>
      </c>
      <c r="L14" s="2">
        <f ca="1">G14-J14</f>
        <v>757.21029142380576</v>
      </c>
      <c r="Q14" s="2"/>
    </row>
    <row r="15" spans="2:19" x14ac:dyDescent="0.25">
      <c r="B15" s="19"/>
      <c r="C15" s="20"/>
      <c r="D15" s="20"/>
      <c r="E15" s="20"/>
      <c r="G15" s="24">
        <f ca="1">E14/G14</f>
        <v>3.3654194348354899E-2</v>
      </c>
      <c r="H15" s="210"/>
      <c r="I15" s="16"/>
      <c r="J15" s="24">
        <v>3.1847967897022961E-2</v>
      </c>
      <c r="K15" s="210"/>
      <c r="L15" s="16"/>
      <c r="M15" s="16"/>
      <c r="N15" s="16"/>
      <c r="O15" s="16"/>
      <c r="P15" s="16"/>
      <c r="Q15" s="16"/>
      <c r="S15" s="2"/>
    </row>
    <row r="16" spans="2:19" x14ac:dyDescent="0.25">
      <c r="B16" s="19"/>
      <c r="C16" s="20"/>
      <c r="D16" s="20"/>
      <c r="E16" s="20"/>
      <c r="G16" s="3"/>
      <c r="H16" s="3"/>
      <c r="I16" s="16"/>
      <c r="J16" s="16"/>
      <c r="K16" s="16"/>
      <c r="L16" s="16"/>
      <c r="M16" s="16"/>
      <c r="N16" s="16"/>
      <c r="O16" s="16"/>
      <c r="P16" s="16"/>
      <c r="Q16" s="16"/>
    </row>
    <row r="17" spans="7:16" x14ac:dyDescent="0.25">
      <c r="I17" s="6"/>
      <c r="J17" s="6"/>
      <c r="K17" s="6"/>
      <c r="L17" s="6"/>
      <c r="M17" s="6"/>
      <c r="N17" s="6"/>
      <c r="O17" s="6"/>
      <c r="P17" s="6"/>
    </row>
    <row r="18" spans="7:16" x14ac:dyDescent="0.25">
      <c r="I18" s="6"/>
      <c r="J18" s="6"/>
      <c r="K18" s="6"/>
      <c r="L18" s="6"/>
      <c r="M18" s="6"/>
      <c r="N18" s="6"/>
      <c r="O18" s="6"/>
      <c r="P18" s="6"/>
    </row>
    <row r="19" spans="7:16" x14ac:dyDescent="0.25">
      <c r="G19" s="2"/>
      <c r="I19" s="6"/>
      <c r="J19" s="6"/>
      <c r="K19" s="6"/>
      <c r="L19" s="6"/>
      <c r="M19" s="6"/>
      <c r="N19" s="6"/>
      <c r="O19" s="6"/>
      <c r="P19" s="6"/>
    </row>
    <row r="20" spans="7:16" ht="15" customHeight="1" x14ac:dyDescent="0.25">
      <c r="G20" s="2"/>
      <c r="I20" s="227" t="s">
        <v>36</v>
      </c>
      <c r="J20" s="227"/>
      <c r="K20" s="227"/>
      <c r="L20" s="227"/>
      <c r="M20" s="227"/>
      <c r="N20" s="227"/>
      <c r="O20" s="227"/>
      <c r="P20" s="6"/>
    </row>
    <row r="21" spans="7:16" x14ac:dyDescent="0.25">
      <c r="G21" s="2"/>
      <c r="I21" s="227"/>
      <c r="J21" s="227"/>
      <c r="K21" s="227"/>
      <c r="L21" s="227"/>
      <c r="M21" s="227"/>
      <c r="N21" s="227"/>
      <c r="O21" s="227"/>
      <c r="P21" s="6"/>
    </row>
    <row r="22" spans="7:16" x14ac:dyDescent="0.25">
      <c r="G22" s="2"/>
      <c r="I22" s="227"/>
      <c r="J22" s="227"/>
      <c r="K22" s="227"/>
      <c r="L22" s="227"/>
      <c r="M22" s="227"/>
      <c r="N22" s="227"/>
      <c r="O22" s="227"/>
      <c r="P22" s="6"/>
    </row>
    <row r="23" spans="7:16" x14ac:dyDescent="0.25">
      <c r="I23" s="227"/>
      <c r="J23" s="227"/>
      <c r="K23" s="227"/>
      <c r="L23" s="227"/>
      <c r="M23" s="227"/>
      <c r="N23" s="227"/>
      <c r="O23" s="227"/>
      <c r="P23" s="6"/>
    </row>
    <row r="24" spans="7:16" x14ac:dyDescent="0.25">
      <c r="I24" s="227"/>
      <c r="J24" s="227"/>
      <c r="K24" s="227"/>
      <c r="L24" s="227"/>
      <c r="M24" s="227"/>
      <c r="N24" s="227"/>
      <c r="O24" s="227"/>
      <c r="P24" s="6"/>
    </row>
    <row r="31" spans="7:16" x14ac:dyDescent="0.25">
      <c r="K31" s="2"/>
    </row>
    <row r="33" spans="2:8" x14ac:dyDescent="0.25">
      <c r="B33" s="37" t="s">
        <v>49</v>
      </c>
      <c r="G33" s="231" t="str">
        <f>G8</f>
        <v>Всего портфель (до погашения)</v>
      </c>
      <c r="H33" s="231"/>
    </row>
    <row r="34" spans="2:8" ht="24.75" customHeight="1" x14ac:dyDescent="0.25">
      <c r="B34" s="12" t="s">
        <v>15</v>
      </c>
      <c r="C34" s="17">
        <v>44378</v>
      </c>
      <c r="D34" s="17">
        <v>44409</v>
      </c>
      <c r="E34" s="17">
        <f>E9</f>
        <v>44440</v>
      </c>
      <c r="G34" s="22">
        <f>E34</f>
        <v>44440</v>
      </c>
      <c r="H34" s="23" t="s">
        <v>17</v>
      </c>
    </row>
    <row r="35" spans="2:8" x14ac:dyDescent="0.25">
      <c r="B35" s="5" t="s">
        <v>3</v>
      </c>
      <c r="C35" s="56">
        <v>99.284319848700505</v>
      </c>
      <c r="D35" s="56">
        <v>109.34117930812197</v>
      </c>
      <c r="E35" s="25">
        <f ca="1">'портефль до погашения'!J4/1000000</f>
        <v>106.49371526008588</v>
      </c>
      <c r="G35" s="25">
        <f ca="1">'портефль до погашения'!F4/1000000</f>
        <v>3117.1883144434801</v>
      </c>
      <c r="H35" s="24">
        <f ca="1">E35/G35</f>
        <v>3.4163388450626372E-2</v>
      </c>
    </row>
    <row r="36" spans="2:8" x14ac:dyDescent="0.25">
      <c r="G36" s="21"/>
    </row>
    <row r="50" spans="2:8" x14ac:dyDescent="0.25">
      <c r="B50" s="37" t="s">
        <v>202</v>
      </c>
      <c r="G50" s="231"/>
      <c r="H50" s="231"/>
    </row>
    <row r="51" spans="2:8" ht="30" x14ac:dyDescent="0.25">
      <c r="B51" s="12" t="s">
        <v>203</v>
      </c>
      <c r="C51" s="17">
        <v>44378</v>
      </c>
      <c r="D51" s="17">
        <v>44409</v>
      </c>
      <c r="E51" s="17">
        <f>E34</f>
        <v>44440</v>
      </c>
      <c r="G51" s="22">
        <f>E51</f>
        <v>44440</v>
      </c>
      <c r="H51" s="23" t="s">
        <v>17</v>
      </c>
    </row>
    <row r="52" spans="2:8" x14ac:dyDescent="0.25">
      <c r="B52" s="5" t="s">
        <v>3</v>
      </c>
      <c r="C52" s="56">
        <v>0</v>
      </c>
      <c r="D52" s="56">
        <v>0</v>
      </c>
      <c r="E52" s="78">
        <v>0</v>
      </c>
      <c r="G52" s="217"/>
      <c r="H52" s="24" t="e">
        <f>E52/G52</f>
        <v>#DIV/0!</v>
      </c>
    </row>
    <row r="56" spans="2:8" x14ac:dyDescent="0.25">
      <c r="B56" s="232" t="s">
        <v>429</v>
      </c>
      <c r="C56" s="232"/>
      <c r="D56" s="4"/>
    </row>
    <row r="57" spans="2:8" x14ac:dyDescent="0.25">
      <c r="B57" s="156" t="s">
        <v>71</v>
      </c>
      <c r="C57" s="55">
        <f>SUMIF('портефль до погашения'!$L$8:$L$100,B57,'портефль до погашения'!$F$8:$F$100)</f>
        <v>1303367000</v>
      </c>
      <c r="D57" s="224">
        <f>C57/$C$68</f>
        <v>2.0850169029855186E-2</v>
      </c>
    </row>
    <row r="58" spans="2:8" x14ac:dyDescent="0.25">
      <c r="B58" s="139" t="s">
        <v>73</v>
      </c>
      <c r="C58" s="55">
        <f>SUMIF('портефль до погашения'!$L$8:$L$100,B58,'портефль до погашения'!$F$8:$F$100)</f>
        <v>0</v>
      </c>
      <c r="D58" s="224">
        <f t="shared" ref="D58:D67" si="0">C58/$C$68</f>
        <v>0</v>
      </c>
    </row>
    <row r="59" spans="2:8" x14ac:dyDescent="0.25">
      <c r="B59" s="139" t="s">
        <v>75</v>
      </c>
      <c r="C59" s="55">
        <f>SUMIF('портефль до погашения'!$L$8:$L$100,B59,'портефль до погашения'!$F$8:$F$100)</f>
        <v>11756683701.610001</v>
      </c>
      <c r="D59" s="224">
        <f t="shared" si="0"/>
        <v>0.18807353754476833</v>
      </c>
    </row>
    <row r="60" spans="2:8" x14ac:dyDescent="0.25">
      <c r="B60" s="139" t="s">
        <v>77</v>
      </c>
      <c r="C60" s="55">
        <f>SUMIF('портефль до погашения'!$L$8:$L$100,B60,'портефль до погашения'!$F$8:$F$100)</f>
        <v>19062733551.430004</v>
      </c>
      <c r="D60" s="224">
        <f t="shared" si="0"/>
        <v>0.30494957806850048</v>
      </c>
    </row>
    <row r="61" spans="2:8" x14ac:dyDescent="0.25">
      <c r="B61" s="156" t="s">
        <v>79</v>
      </c>
      <c r="C61" s="55">
        <f>SUMIF('портефль до погашения'!$L$8:$L$100,B61,'портефль до погашения'!$F$8:$F$100)</f>
        <v>10794629561.862282</v>
      </c>
      <c r="D61" s="224">
        <f t="shared" si="0"/>
        <v>0.17268340458174883</v>
      </c>
    </row>
    <row r="62" spans="2:8" x14ac:dyDescent="0.25">
      <c r="B62" s="157" t="s">
        <v>81</v>
      </c>
      <c r="C62" s="55">
        <f>SUMIF('портефль до погашения'!$L$8:$L$100,B62,'портефль до погашения'!$F$8:$F$100)</f>
        <v>10531064198.6912</v>
      </c>
      <c r="D62" s="224">
        <f t="shared" si="0"/>
        <v>0.1684671075813397</v>
      </c>
    </row>
    <row r="63" spans="2:8" x14ac:dyDescent="0.25">
      <c r="B63" s="157" t="s">
        <v>83</v>
      </c>
      <c r="C63" s="55">
        <f>SUMIF('портефль до погашения'!$L$8:$L$100,B63,'портефль до погашения'!$F$8:$F$100)</f>
        <v>2132602775.02</v>
      </c>
      <c r="D63" s="224">
        <f t="shared" si="0"/>
        <v>3.4115585504854141E-2</v>
      </c>
    </row>
    <row r="64" spans="2:8" x14ac:dyDescent="0.25">
      <c r="B64" s="156" t="s">
        <v>85</v>
      </c>
      <c r="C64" s="55">
        <f>SUMIF('портефль до погашения'!$L$8:$L$100,B64,'портефль до погашения'!$F$8:$F$100)</f>
        <v>713846000</v>
      </c>
      <c r="D64" s="224">
        <f t="shared" si="0"/>
        <v>1.1419507906281198E-2</v>
      </c>
    </row>
    <row r="65" spans="2:19" x14ac:dyDescent="0.25">
      <c r="B65" s="156" t="s">
        <v>87</v>
      </c>
      <c r="C65" s="55">
        <f>SUMIF('портефль до погашения'!$L$8:$L$100,B65,'портефль до погашения'!$F$8:$F$100)</f>
        <v>1109072644.71</v>
      </c>
      <c r="D65" s="224">
        <f t="shared" si="0"/>
        <v>1.7742011351056172E-2</v>
      </c>
    </row>
    <row r="66" spans="2:19" x14ac:dyDescent="0.25">
      <c r="B66" s="156" t="s">
        <v>89</v>
      </c>
      <c r="C66" s="55">
        <f>SUMIF('портефль до погашения'!$L$8:$L$100,B66,'портефль до погашения'!$F$8:$F$100)</f>
        <v>5107100507.1000004</v>
      </c>
      <c r="D66" s="224">
        <f t="shared" si="0"/>
        <v>8.1699098431596132E-2</v>
      </c>
    </row>
    <row r="67" spans="2:19" x14ac:dyDescent="0.25">
      <c r="B67" s="156" t="s">
        <v>116</v>
      </c>
      <c r="C67" s="55">
        <f>SUMIF('портефль до погашения'!$L$8:$L$100,B67,'портефль до погашения'!$F$8:$F$100)</f>
        <v>0</v>
      </c>
      <c r="D67" s="15">
        <f t="shared" si="0"/>
        <v>0</v>
      </c>
    </row>
    <row r="68" spans="2:19" x14ac:dyDescent="0.25">
      <c r="C68" s="2">
        <f>SUM(C57:C67)</f>
        <v>62511099940.423477</v>
      </c>
      <c r="D68" s="21">
        <f>SUM(D57:D67)</f>
        <v>1</v>
      </c>
    </row>
    <row r="69" spans="2:19" x14ac:dyDescent="0.25">
      <c r="B69" s="186" t="s">
        <v>430</v>
      </c>
      <c r="C69" s="187">
        <f ca="1">C68-'портефль до погашения'!F2</f>
        <v>0</v>
      </c>
    </row>
    <row r="70" spans="2:19" x14ac:dyDescent="0.25">
      <c r="B70" s="185"/>
      <c r="C70" s="185"/>
    </row>
    <row r="77" spans="2:19" x14ac:dyDescent="0.25">
      <c r="C77" s="1">
        <f>E9</f>
        <v>44440</v>
      </c>
      <c r="D77" s="107" t="s">
        <v>19</v>
      </c>
      <c r="E77" s="1">
        <v>44409</v>
      </c>
      <c r="G77" s="26" t="s">
        <v>38</v>
      </c>
      <c r="S77">
        <v>1</v>
      </c>
    </row>
    <row r="78" spans="2:19" x14ac:dyDescent="0.25">
      <c r="B78" s="5" t="s">
        <v>9</v>
      </c>
      <c r="C78" s="13">
        <f>E11</f>
        <v>938.87583969508898</v>
      </c>
      <c r="E78" s="8">
        <v>990</v>
      </c>
      <c r="G78" s="14">
        <f>C78-E78</f>
        <v>-51.124160304911015</v>
      </c>
    </row>
    <row r="79" spans="2:19" x14ac:dyDescent="0.25">
      <c r="B79" s="5" t="s">
        <v>10</v>
      </c>
      <c r="C79" s="13">
        <v>477</v>
      </c>
      <c r="D79" t="s">
        <v>37</v>
      </c>
      <c r="E79" s="8">
        <v>464</v>
      </c>
      <c r="G79" s="14">
        <f t="shared" ref="G79:G83" si="1">C79-E79</f>
        <v>13</v>
      </c>
    </row>
    <row r="80" spans="2:19" x14ac:dyDescent="0.25">
      <c r="B80" s="5" t="s">
        <v>191</v>
      </c>
      <c r="C80" s="13">
        <f ca="1">E10+E35</f>
        <v>2333.0836650447732</v>
      </c>
      <c r="E80" s="8">
        <v>2339.0990071079036</v>
      </c>
      <c r="G80" s="14">
        <f t="shared" ca="1" si="1"/>
        <v>-6.0153420631304471</v>
      </c>
    </row>
    <row r="81" spans="2:13" ht="30" x14ac:dyDescent="0.25">
      <c r="B81" s="12" t="s">
        <v>478</v>
      </c>
      <c r="C81" s="13">
        <f>E13</f>
        <v>758.71682959291832</v>
      </c>
      <c r="E81" s="8">
        <v>777.38015035666888</v>
      </c>
      <c r="G81" s="14">
        <f t="shared" si="1"/>
        <v>-18.663320763750562</v>
      </c>
    </row>
    <row r="82" spans="2:13" x14ac:dyDescent="0.25">
      <c r="B82" s="5" t="s">
        <v>190</v>
      </c>
      <c r="C82" s="13">
        <f>E12</f>
        <v>2130</v>
      </c>
      <c r="E82" s="8">
        <v>1708</v>
      </c>
      <c r="G82" s="14">
        <f t="shared" si="1"/>
        <v>422</v>
      </c>
    </row>
    <row r="83" spans="2:13" x14ac:dyDescent="0.25">
      <c r="B83" s="5" t="s">
        <v>30</v>
      </c>
      <c r="C83" s="13">
        <v>7.9</v>
      </c>
      <c r="D83" t="s">
        <v>29</v>
      </c>
      <c r="E83" s="8">
        <v>9</v>
      </c>
      <c r="G83" s="14">
        <f t="shared" si="1"/>
        <v>-1.0999999999999996</v>
      </c>
    </row>
    <row r="84" spans="2:13" x14ac:dyDescent="0.25">
      <c r="C84" s="2">
        <f ca="1">SUM(C78:C83)</f>
        <v>6645.5763343327799</v>
      </c>
      <c r="E84" s="2">
        <v>6287.4791574645724</v>
      </c>
      <c r="G84" s="2">
        <f ca="1">E84-C84</f>
        <v>-358.0971768682075</v>
      </c>
    </row>
    <row r="85" spans="2:13" ht="15" customHeight="1" x14ac:dyDescent="0.25">
      <c r="E85" s="230" t="s">
        <v>16</v>
      </c>
      <c r="F85" s="227"/>
      <c r="G85" s="227"/>
      <c r="H85" s="227"/>
      <c r="I85" s="227"/>
    </row>
    <row r="86" spans="2:13" x14ac:dyDescent="0.25">
      <c r="E86" s="227"/>
      <c r="F86" s="227"/>
      <c r="G86" s="227"/>
      <c r="H86" s="227"/>
      <c r="I86" s="227"/>
    </row>
    <row r="87" spans="2:13" x14ac:dyDescent="0.25">
      <c r="E87" s="227"/>
      <c r="F87" s="227"/>
      <c r="G87" s="227"/>
      <c r="H87" s="227"/>
      <c r="I87" s="227"/>
    </row>
    <row r="88" spans="2:13" x14ac:dyDescent="0.25">
      <c r="E88" s="227"/>
      <c r="F88" s="227"/>
      <c r="G88" s="227"/>
      <c r="H88" s="227"/>
      <c r="I88" s="227"/>
      <c r="J88" s="4"/>
      <c r="K88" s="4"/>
      <c r="L88" s="4"/>
      <c r="M88" s="4"/>
    </row>
    <row r="89" spans="2:13" x14ac:dyDescent="0.25">
      <c r="E89" s="227"/>
      <c r="F89" s="227"/>
      <c r="G89" s="227"/>
      <c r="H89" s="227"/>
      <c r="I89" s="227"/>
      <c r="J89" s="4"/>
      <c r="K89" s="4"/>
      <c r="L89" s="4"/>
      <c r="M89" s="4"/>
    </row>
    <row r="90" spans="2:13" x14ac:dyDescent="0.25">
      <c r="E90" s="227"/>
      <c r="F90" s="227"/>
      <c r="G90" s="227"/>
      <c r="H90" s="227"/>
      <c r="I90" s="227"/>
      <c r="J90" s="4"/>
      <c r="K90" s="4"/>
      <c r="L90" s="4"/>
      <c r="M90" s="4"/>
    </row>
    <row r="91" spans="2:13" x14ac:dyDescent="0.25">
      <c r="E91" s="227"/>
      <c r="F91" s="227"/>
      <c r="G91" s="227"/>
      <c r="H91" s="227"/>
      <c r="I91" s="227"/>
      <c r="J91" s="4"/>
      <c r="K91" s="4"/>
      <c r="L91" s="4"/>
      <c r="M91" s="4"/>
    </row>
    <row r="92" spans="2:13" x14ac:dyDescent="0.25">
      <c r="E92" s="227"/>
      <c r="F92" s="227"/>
      <c r="G92" s="227"/>
      <c r="H92" s="227"/>
      <c r="I92" s="227"/>
      <c r="J92" s="4"/>
      <c r="K92" s="4"/>
    </row>
    <row r="93" spans="2:13" x14ac:dyDescent="0.25">
      <c r="E93" s="227"/>
      <c r="F93" s="227"/>
      <c r="G93" s="227"/>
      <c r="H93" s="227"/>
      <c r="I93" s="227"/>
      <c r="J93" s="4"/>
      <c r="K93" s="4"/>
    </row>
    <row r="94" spans="2:13" x14ac:dyDescent="0.25">
      <c r="E94" s="227"/>
      <c r="F94" s="227"/>
      <c r="G94" s="227"/>
      <c r="H94" s="227"/>
      <c r="I94" s="227"/>
      <c r="J94" s="4"/>
      <c r="K94" s="4"/>
    </row>
    <row r="95" spans="2:13" x14ac:dyDescent="0.25">
      <c r="E95" s="227"/>
      <c r="F95" s="227"/>
      <c r="G95" s="227"/>
      <c r="H95" s="227"/>
      <c r="I95" s="227"/>
      <c r="J95" s="4"/>
      <c r="K95" s="4"/>
    </row>
    <row r="96" spans="2:13" x14ac:dyDescent="0.25">
      <c r="G96" s="4"/>
      <c r="H96" s="4"/>
      <c r="I96" s="4"/>
      <c r="J96" s="4"/>
      <c r="K96" s="4"/>
    </row>
    <row r="97" spans="2:11" x14ac:dyDescent="0.25">
      <c r="J97" s="4"/>
      <c r="K97" s="4"/>
    </row>
    <row r="98" spans="2:11" x14ac:dyDescent="0.25">
      <c r="J98" s="4"/>
      <c r="K98" s="4"/>
    </row>
    <row r="99" spans="2:11" x14ac:dyDescent="0.25"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x14ac:dyDescent="0.25">
      <c r="B123" s="4"/>
      <c r="C123" s="4"/>
      <c r="D123" s="4"/>
      <c r="G123" s="4"/>
      <c r="H123" s="4"/>
      <c r="I123" s="4"/>
      <c r="J123" s="4"/>
      <c r="K123" s="4"/>
    </row>
    <row r="124" spans="1:15" ht="14.45" customHeight="1" x14ac:dyDescent="0.25">
      <c r="B124" s="229"/>
      <c r="C124" s="229"/>
      <c r="D124" s="229"/>
      <c r="E124" s="211">
        <f>E9</f>
        <v>44440</v>
      </c>
      <c r="K124" s="6"/>
      <c r="L124" s="6"/>
      <c r="M124" s="6"/>
      <c r="N124" s="6"/>
    </row>
    <row r="125" spans="1:15" ht="75" customHeight="1" x14ac:dyDescent="0.25">
      <c r="A125" s="5"/>
      <c r="B125" s="123" t="s">
        <v>19</v>
      </c>
      <c r="C125" s="23" t="s">
        <v>186</v>
      </c>
      <c r="D125" s="123" t="s">
        <v>452</v>
      </c>
      <c r="E125" s="23" t="s">
        <v>164</v>
      </c>
      <c r="F125" s="80" t="s">
        <v>165</v>
      </c>
      <c r="G125" s="80" t="s">
        <v>166</v>
      </c>
      <c r="H125" s="80" t="s">
        <v>187</v>
      </c>
      <c r="I125" s="23" t="s">
        <v>188</v>
      </c>
      <c r="J125" s="226"/>
      <c r="K125" s="227"/>
      <c r="L125" s="227"/>
      <c r="M125" s="227"/>
      <c r="N125" s="227"/>
      <c r="O125" s="6"/>
    </row>
    <row r="126" spans="1:15" x14ac:dyDescent="0.25">
      <c r="A126" s="9" t="s">
        <v>189</v>
      </c>
      <c r="B126" s="195"/>
      <c r="C126" s="133">
        <f>D126*B126</f>
        <v>0</v>
      </c>
      <c r="D126" s="134">
        <f>VLOOKUP(E126,'РейтPD FRED Graph'!B4:$K$26,9,0)</f>
        <v>3.2694150032581602E-2</v>
      </c>
      <c r="E126" s="135" t="s">
        <v>81</v>
      </c>
      <c r="F126" s="136">
        <f>VLOOKUP(E126,'РейтPD FRED Graph'!$R$4:$V$26,5,0)</f>
        <v>6.9958267116009875E-3</v>
      </c>
      <c r="G126" s="137">
        <f>F126*B126</f>
        <v>0</v>
      </c>
      <c r="H126" s="137">
        <f>G126+C126</f>
        <v>0</v>
      </c>
      <c r="I126" s="138" t="e">
        <f>H126/B126</f>
        <v>#DIV/0!</v>
      </c>
    </row>
  </sheetData>
  <mergeCells count="9">
    <mergeCell ref="J125:N125"/>
    <mergeCell ref="B6:E6"/>
    <mergeCell ref="I20:O24"/>
    <mergeCell ref="B124:D124"/>
    <mergeCell ref="E85:I95"/>
    <mergeCell ref="G8:H8"/>
    <mergeCell ref="G33:H33"/>
    <mergeCell ref="G50:H50"/>
    <mergeCell ref="B56:C5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E31" sqref="E31"/>
    </sheetView>
  </sheetViews>
  <sheetFormatPr defaultColWidth="12.85546875" defaultRowHeight="12.75" x14ac:dyDescent="0.25"/>
  <cols>
    <col min="1" max="1" width="7.5703125" style="27" customWidth="1"/>
    <col min="2" max="2" width="28.5703125" style="27" customWidth="1"/>
    <col min="3" max="3" width="24.7109375" style="27" customWidth="1"/>
    <col min="4" max="4" width="25.42578125" style="27" customWidth="1"/>
    <col min="5" max="5" width="18.5703125" style="27" customWidth="1"/>
    <col min="6" max="6" width="22.7109375" style="27" customWidth="1"/>
    <col min="7" max="7" width="12.85546875" style="27"/>
    <col min="8" max="8" width="15.5703125" style="27" customWidth="1"/>
    <col min="9" max="9" width="14.5703125" style="27" customWidth="1"/>
    <col min="10" max="10" width="12.85546875" style="27"/>
    <col min="11" max="11" width="14.7109375" style="27" customWidth="1"/>
    <col min="12" max="15" width="14.7109375" style="79" bestFit="1" customWidth="1"/>
    <col min="16" max="16" width="12.85546875" style="27"/>
    <col min="17" max="17" width="12.85546875" style="128"/>
    <col min="18" max="18" width="29.5703125" style="27" customWidth="1"/>
    <col min="19" max="16384" width="12.85546875" style="27"/>
  </cols>
  <sheetData>
    <row r="1" spans="1:17" x14ac:dyDescent="0.25">
      <c r="A1" s="235"/>
      <c r="B1" s="235"/>
      <c r="C1" s="235"/>
      <c r="D1" s="236"/>
      <c r="E1" s="60"/>
      <c r="F1" s="33" t="s">
        <v>107</v>
      </c>
      <c r="J1" s="34" t="s">
        <v>108</v>
      </c>
      <c r="K1" s="34"/>
      <c r="L1" s="34"/>
      <c r="M1" s="34"/>
      <c r="N1" s="34"/>
      <c r="O1" s="122" t="str">
        <f>O7</f>
        <v>Стрессс итог</v>
      </c>
      <c r="P1" s="122" t="s">
        <v>195</v>
      </c>
    </row>
    <row r="2" spans="1:17" x14ac:dyDescent="0.25">
      <c r="A2" s="234" t="s">
        <v>13</v>
      </c>
      <c r="B2" s="234"/>
      <c r="C2" s="234"/>
      <c r="D2" s="234"/>
      <c r="E2" s="59"/>
      <c r="F2" s="35">
        <f ca="1">F3+F4</f>
        <v>62511099940.423462</v>
      </c>
      <c r="G2" s="35"/>
      <c r="H2" s="35"/>
      <c r="I2" s="35"/>
      <c r="J2" s="35">
        <f ca="1">J3+J4</f>
        <v>2333083665.0447731</v>
      </c>
      <c r="K2" s="35"/>
      <c r="L2" s="35"/>
      <c r="M2" s="35"/>
      <c r="N2" s="35"/>
      <c r="O2" s="35">
        <f ca="1">O3+O4</f>
        <v>2813831767.7313905</v>
      </c>
      <c r="P2" s="35"/>
    </row>
    <row r="3" spans="1:17" x14ac:dyDescent="0.25">
      <c r="A3" s="233" t="s">
        <v>46</v>
      </c>
      <c r="B3" s="233"/>
      <c r="C3" s="233"/>
      <c r="D3" s="233"/>
      <c r="E3" s="58"/>
      <c r="F3" s="36">
        <f ca="1">SUMIF(A$8:A$1048576,"АББ",(F8:F108))</f>
        <v>59393911625.97998</v>
      </c>
      <c r="G3" s="36"/>
      <c r="H3" s="36"/>
      <c r="I3" s="36"/>
      <c r="J3" s="36">
        <f ca="1">SUMIF(A$8:A$1048576,"АББ",(J8:J108))</f>
        <v>2226589949.784687</v>
      </c>
      <c r="K3" s="36"/>
      <c r="L3" s="36"/>
      <c r="M3" s="36"/>
      <c r="N3" s="36"/>
      <c r="O3" s="36">
        <f ca="1">SUMIF(A$8:A$1048576,"АББ",(O8:O108))</f>
        <v>2688709142.8087687</v>
      </c>
      <c r="P3" s="131">
        <f ca="1">O3/F3</f>
        <v>4.5269103670765441E-2</v>
      </c>
    </row>
    <row r="4" spans="1:17" x14ac:dyDescent="0.25">
      <c r="A4" s="234" t="s">
        <v>47</v>
      </c>
      <c r="B4" s="234"/>
      <c r="C4" s="234"/>
      <c r="D4" s="234"/>
      <c r="E4" s="59"/>
      <c r="F4" s="35">
        <f ca="1">SUMIF(A$8:A$1048576,"АБФ-БО",(F8:F108))</f>
        <v>3117188314.44348</v>
      </c>
      <c r="G4" s="35"/>
      <c r="H4" s="35"/>
      <c r="I4" s="35"/>
      <c r="J4" s="35">
        <f ca="1">SUMIF(A$8:A$1048576,"АБФ-БО",(J8:J108))</f>
        <v>106493715.26008588</v>
      </c>
      <c r="K4" s="35"/>
      <c r="L4" s="35"/>
      <c r="M4" s="35"/>
      <c r="N4" s="35"/>
      <c r="O4" s="35">
        <f ca="1">SUMIF(A$8:A$1048576,"АБФ-БО",(O8:O108))</f>
        <v>125122624.92262153</v>
      </c>
      <c r="P4" s="132">
        <f ca="1">O4/F4</f>
        <v>4.013957846013548E-2</v>
      </c>
    </row>
    <row r="6" spans="1:17" x14ac:dyDescent="0.25">
      <c r="D6" s="53" t="s">
        <v>13</v>
      </c>
      <c r="E6" s="53"/>
      <c r="F6" s="54">
        <f>SUM(F8:F100)</f>
        <v>62511099940.423454</v>
      </c>
      <c r="G6" s="54"/>
      <c r="H6" s="54">
        <f t="shared" ref="H6:I6" si="0">SUM(H8:H100)</f>
        <v>398566493.20487899</v>
      </c>
      <c r="I6" s="54">
        <f t="shared" si="0"/>
        <v>1934517171.8398941</v>
      </c>
      <c r="J6" s="54">
        <f>SUM(J8:J100)</f>
        <v>2333083665.0447731</v>
      </c>
      <c r="K6" s="54"/>
      <c r="L6" s="54"/>
      <c r="M6" s="54"/>
      <c r="N6" s="54" t="e">
        <f t="shared" ref="N6" si="1">SUM(N8:N100)</f>
        <v>#N/A</v>
      </c>
      <c r="O6" s="54" t="e">
        <f>SUM(O8:O100)</f>
        <v>#N/A</v>
      </c>
    </row>
    <row r="7" spans="1:17" ht="30.75" customHeight="1" x14ac:dyDescent="0.25">
      <c r="A7" s="28" t="s">
        <v>44</v>
      </c>
      <c r="B7" s="28" t="s">
        <v>221</v>
      </c>
      <c r="C7" s="28" t="s">
        <v>102</v>
      </c>
      <c r="D7" s="28" t="s">
        <v>43</v>
      </c>
      <c r="E7" s="61" t="s">
        <v>106</v>
      </c>
      <c r="F7" s="32" t="s">
        <v>665</v>
      </c>
      <c r="G7" s="32" t="s">
        <v>48</v>
      </c>
      <c r="H7" s="32" t="s">
        <v>56</v>
      </c>
      <c r="I7" s="32" t="s">
        <v>57</v>
      </c>
      <c r="J7" s="31" t="s">
        <v>108</v>
      </c>
      <c r="K7" s="31" t="s">
        <v>103</v>
      </c>
      <c r="L7" s="80" t="s">
        <v>606</v>
      </c>
      <c r="M7" s="80" t="s">
        <v>165</v>
      </c>
      <c r="N7" s="80" t="s">
        <v>166</v>
      </c>
      <c r="O7" s="80" t="s">
        <v>167</v>
      </c>
      <c r="Q7" s="127" t="s">
        <v>192</v>
      </c>
    </row>
    <row r="8" spans="1:17" x14ac:dyDescent="0.25">
      <c r="A8" s="28" t="s">
        <v>42</v>
      </c>
      <c r="B8" s="28" t="s">
        <v>484</v>
      </c>
      <c r="C8" s="28" t="s">
        <v>136</v>
      </c>
      <c r="D8" s="28" t="s">
        <v>489</v>
      </c>
      <c r="E8" s="28" t="s">
        <v>548</v>
      </c>
      <c r="F8" s="29">
        <v>337842572.10000002</v>
      </c>
      <c r="G8" s="30">
        <v>1.9110596344166456E-2</v>
      </c>
      <c r="H8" s="29">
        <v>601162.85194638185</v>
      </c>
      <c r="I8" s="29">
        <v>5855210.1713316701</v>
      </c>
      <c r="J8" s="124">
        <f>F8*G8</f>
        <v>6456373.0232780529</v>
      </c>
      <c r="K8" s="52" t="s">
        <v>77</v>
      </c>
      <c r="L8" s="108" t="s">
        <v>77</v>
      </c>
      <c r="M8" s="125">
        <f>VLOOKUP(L8,'РейтPD FRED Graph'!$R$4:$V$26,5,0)</f>
        <v>2.8789422845923352E-3</v>
      </c>
      <c r="N8" s="126">
        <f>M8*F8</f>
        <v>972629.26635412476</v>
      </c>
      <c r="O8" s="126">
        <f>N8+J8</f>
        <v>7429002.2896321779</v>
      </c>
      <c r="Q8" s="129">
        <f>J8-I8-H8</f>
        <v>9.3132257461547852E-10</v>
      </c>
    </row>
    <row r="9" spans="1:17" x14ac:dyDescent="0.25">
      <c r="A9" s="28" t="s">
        <v>42</v>
      </c>
      <c r="B9" s="28" t="s">
        <v>484</v>
      </c>
      <c r="C9" s="28" t="s">
        <v>137</v>
      </c>
      <c r="D9" s="28" t="s">
        <v>490</v>
      </c>
      <c r="E9" s="28" t="s">
        <v>549</v>
      </c>
      <c r="F9" s="29">
        <v>1916763664.7799997</v>
      </c>
      <c r="G9" s="30">
        <v>3.3927692878581571E-2</v>
      </c>
      <c r="H9" s="29">
        <v>6535938.4538162509</v>
      </c>
      <c r="I9" s="29">
        <v>58495430.485664062</v>
      </c>
      <c r="J9" s="124">
        <f t="shared" ref="J9:J39" si="2">F9*G9</f>
        <v>65031368.939480312</v>
      </c>
      <c r="K9" s="52" t="s">
        <v>79</v>
      </c>
      <c r="L9" s="108" t="s">
        <v>81</v>
      </c>
      <c r="M9" s="125">
        <f>VLOOKUP(L9,'РейтPD FRED Graph'!$R$4:$V$26,5,0)</f>
        <v>6.9958267116009875E-3</v>
      </c>
      <c r="N9" s="126">
        <f t="shared" ref="N9:N65" si="3">M9*F9</f>
        <v>13409346.445894122</v>
      </c>
      <c r="O9" s="126">
        <f t="shared" ref="O9:O65" si="4">N9+J9</f>
        <v>78440715.385374427</v>
      </c>
      <c r="Q9" s="129">
        <f t="shared" ref="Q9:Q72" si="5">J9-I9-H9</f>
        <v>0</v>
      </c>
    </row>
    <row r="10" spans="1:17" x14ac:dyDescent="0.25">
      <c r="A10" s="28" t="s">
        <v>42</v>
      </c>
      <c r="B10" s="28" t="s">
        <v>484</v>
      </c>
      <c r="C10" s="28" t="s">
        <v>139</v>
      </c>
      <c r="D10" s="28" t="s">
        <v>491</v>
      </c>
      <c r="E10" s="28" t="s">
        <v>550</v>
      </c>
      <c r="F10" s="29">
        <v>65400564.869999997</v>
      </c>
      <c r="G10" s="30">
        <v>5.8927158902003771E-2</v>
      </c>
      <c r="H10" s="29">
        <v>547491.49565254431</v>
      </c>
      <c r="I10" s="29">
        <v>3306377.9827227513</v>
      </c>
      <c r="J10" s="124">
        <f t="shared" si="2"/>
        <v>3853869.4783752956</v>
      </c>
      <c r="K10" s="52" t="s">
        <v>83</v>
      </c>
      <c r="L10" s="108" t="s">
        <v>83</v>
      </c>
      <c r="M10" s="125">
        <f>VLOOKUP(L10,'РейтPD FRED Graph'!$R$4:$V$26,5,0)</f>
        <v>1.337758602896655E-2</v>
      </c>
      <c r="N10" s="126">
        <f t="shared" si="3"/>
        <v>874901.68289143255</v>
      </c>
      <c r="O10" s="126">
        <f t="shared" si="4"/>
        <v>4728771.1612667283</v>
      </c>
      <c r="Q10" s="129">
        <f t="shared" si="5"/>
        <v>0</v>
      </c>
    </row>
    <row r="11" spans="1:17" x14ac:dyDescent="0.25">
      <c r="A11" s="28" t="s">
        <v>42</v>
      </c>
      <c r="B11" s="28" t="s">
        <v>484</v>
      </c>
      <c r="C11" s="28" t="s">
        <v>101</v>
      </c>
      <c r="D11" s="28" t="s">
        <v>492</v>
      </c>
      <c r="E11" s="28" t="s">
        <v>551</v>
      </c>
      <c r="F11" s="29">
        <v>232328793.12</v>
      </c>
      <c r="G11" s="30">
        <v>2.5445769658936176E-2</v>
      </c>
      <c r="H11" s="29">
        <v>594160.37594390218</v>
      </c>
      <c r="I11" s="29">
        <v>5317624.5789262541</v>
      </c>
      <c r="J11" s="124">
        <f t="shared" si="2"/>
        <v>5911784.954870156</v>
      </c>
      <c r="K11" s="52" t="s">
        <v>79</v>
      </c>
      <c r="L11" s="108" t="s">
        <v>81</v>
      </c>
      <c r="M11" s="125">
        <f>VLOOKUP(L11,'РейтPD FRED Graph'!$R$4:$V$26,5,0)</f>
        <v>6.9958267116009875E-3</v>
      </c>
      <c r="N11" s="126">
        <f t="shared" si="3"/>
        <v>1625331.9767829156</v>
      </c>
      <c r="O11" s="126">
        <f t="shared" si="4"/>
        <v>7537116.9316530712</v>
      </c>
      <c r="Q11" s="129">
        <f t="shared" si="5"/>
        <v>0</v>
      </c>
    </row>
    <row r="12" spans="1:17" x14ac:dyDescent="0.25">
      <c r="A12" s="28" t="s">
        <v>42</v>
      </c>
      <c r="B12" s="28" t="s">
        <v>484</v>
      </c>
      <c r="C12" s="28" t="s">
        <v>140</v>
      </c>
      <c r="D12" s="28" t="s">
        <v>493</v>
      </c>
      <c r="E12" s="28" t="s">
        <v>552</v>
      </c>
      <c r="F12" s="29">
        <v>557388290.35999978</v>
      </c>
      <c r="G12" s="30">
        <v>2.5445769658936176E-2</v>
      </c>
      <c r="H12" s="29">
        <v>1425471.3404204266</v>
      </c>
      <c r="I12" s="29">
        <v>12757702.706668364</v>
      </c>
      <c r="J12" s="124">
        <f t="shared" si="2"/>
        <v>14183174.047088791</v>
      </c>
      <c r="K12" s="52" t="s">
        <v>79</v>
      </c>
      <c r="L12" s="108" t="s">
        <v>81</v>
      </c>
      <c r="M12" s="125">
        <f>VLOOKUP(L12,'РейтPD FRED Graph'!$R$4:$V$26,5,0)</f>
        <v>6.9958267116009875E-3</v>
      </c>
      <c r="N12" s="126">
        <f t="shared" si="3"/>
        <v>3899391.8904340938</v>
      </c>
      <c r="O12" s="126">
        <f t="shared" si="4"/>
        <v>18082565.937522884</v>
      </c>
      <c r="Q12" s="129">
        <f t="shared" si="5"/>
        <v>0</v>
      </c>
    </row>
    <row r="13" spans="1:17" x14ac:dyDescent="0.25">
      <c r="A13" s="28" t="s">
        <v>42</v>
      </c>
      <c r="B13" s="28" t="s">
        <v>484</v>
      </c>
      <c r="C13" s="28" t="s">
        <v>141</v>
      </c>
      <c r="D13" s="28" t="s">
        <v>494</v>
      </c>
      <c r="E13" s="28" t="s">
        <v>553</v>
      </c>
      <c r="F13" s="29">
        <v>299244674.80000001</v>
      </c>
      <c r="G13" s="30">
        <v>5.8927158902003771E-2</v>
      </c>
      <c r="H13" s="29">
        <v>2505084.0906033791</v>
      </c>
      <c r="I13" s="29">
        <v>15128554.411914665</v>
      </c>
      <c r="J13" s="124">
        <f t="shared" si="2"/>
        <v>17633638.502518043</v>
      </c>
      <c r="K13" s="52" t="s">
        <v>83</v>
      </c>
      <c r="L13" s="108" t="s">
        <v>83</v>
      </c>
      <c r="M13" s="125">
        <f>VLOOKUP(L13,'РейтPD FRED Graph'!$R$4:$V$26,5,0)</f>
        <v>1.337758602896655E-2</v>
      </c>
      <c r="N13" s="126">
        <f t="shared" si="3"/>
        <v>4003171.3808471188</v>
      </c>
      <c r="O13" s="126">
        <f t="shared" si="4"/>
        <v>21636809.883365162</v>
      </c>
      <c r="Q13" s="129">
        <f>J13-I13-H13</f>
        <v>0</v>
      </c>
    </row>
    <row r="14" spans="1:17" x14ac:dyDescent="0.25">
      <c r="A14" s="28" t="s">
        <v>42</v>
      </c>
      <c r="B14" s="28" t="s">
        <v>484</v>
      </c>
      <c r="C14" s="28" t="s">
        <v>133</v>
      </c>
      <c r="D14" s="28" t="s">
        <v>495</v>
      </c>
      <c r="E14" s="28" t="s">
        <v>554</v>
      </c>
      <c r="F14" s="29">
        <v>740897645.30000007</v>
      </c>
      <c r="G14" s="30">
        <v>2.5445769658936176E-2</v>
      </c>
      <c r="H14" s="29">
        <v>1894780.3135189803</v>
      </c>
      <c r="I14" s="29">
        <v>16957930.50963302</v>
      </c>
      <c r="J14" s="124">
        <f t="shared" si="2"/>
        <v>18852710.823151998</v>
      </c>
      <c r="K14" s="52" t="s">
        <v>79</v>
      </c>
      <c r="L14" s="108" t="s">
        <v>81</v>
      </c>
      <c r="M14" s="125">
        <f>VLOOKUP(L14,'РейтPD FRED Graph'!$R$4:$V$26,5,0)</f>
        <v>6.9958267116009875E-3</v>
      </c>
      <c r="N14" s="126">
        <f t="shared" si="3"/>
        <v>5183191.537552014</v>
      </c>
      <c r="O14" s="126">
        <f t="shared" si="4"/>
        <v>24035902.360704012</v>
      </c>
      <c r="Q14" s="129">
        <f t="shared" si="5"/>
        <v>0</v>
      </c>
    </row>
    <row r="15" spans="1:17" x14ac:dyDescent="0.25">
      <c r="A15" s="28" t="s">
        <v>42</v>
      </c>
      <c r="B15" s="28" t="s">
        <v>484</v>
      </c>
      <c r="C15" s="28" t="s">
        <v>145</v>
      </c>
      <c r="D15" s="28" t="s">
        <v>496</v>
      </c>
      <c r="E15" s="28" t="s">
        <v>555</v>
      </c>
      <c r="F15" s="29">
        <v>1381747871.3100002</v>
      </c>
      <c r="G15" s="30">
        <v>2.5480795125555275E-2</v>
      </c>
      <c r="H15" s="29">
        <v>3278274.397941344</v>
      </c>
      <c r="I15" s="29">
        <v>31929760.026080884</v>
      </c>
      <c r="J15" s="124">
        <f t="shared" si="2"/>
        <v>35208034.424022228</v>
      </c>
      <c r="K15" s="52" t="s">
        <v>77</v>
      </c>
      <c r="L15" s="108" t="s">
        <v>79</v>
      </c>
      <c r="M15" s="125">
        <f>VLOOKUP(L15,'РейтPD FRED Graph'!$R$4:$V$26,5,0)</f>
        <v>4.2231023230869707E-3</v>
      </c>
      <c r="N15" s="126">
        <f t="shared" si="3"/>
        <v>5835262.6452497384</v>
      </c>
      <c r="O15" s="126">
        <f t="shared" si="4"/>
        <v>41043297.069271967</v>
      </c>
      <c r="Q15" s="129">
        <f t="shared" si="5"/>
        <v>0</v>
      </c>
    </row>
    <row r="16" spans="1:17" x14ac:dyDescent="0.25">
      <c r="A16" s="28" t="s">
        <v>42</v>
      </c>
      <c r="B16" s="28" t="s">
        <v>484</v>
      </c>
      <c r="C16" s="28" t="s">
        <v>146</v>
      </c>
      <c r="D16" s="28" t="s">
        <v>497</v>
      </c>
      <c r="E16" s="28" t="s">
        <v>556</v>
      </c>
      <c r="F16" s="29">
        <v>880015251.65999997</v>
      </c>
      <c r="G16" s="30">
        <v>2.5480795125555275E-2</v>
      </c>
      <c r="H16" s="29">
        <v>2087885.5898505971</v>
      </c>
      <c r="I16" s="29">
        <v>20335602.745061826</v>
      </c>
      <c r="J16" s="124">
        <f t="shared" si="2"/>
        <v>22423488.334912427</v>
      </c>
      <c r="K16" s="52" t="s">
        <v>77</v>
      </c>
      <c r="L16" s="108" t="s">
        <v>81</v>
      </c>
      <c r="M16" s="125">
        <f>VLOOKUP(L16,'РейтPD FRED Graph'!$R$4:$V$26,5,0)</f>
        <v>6.9958267116009875E-3</v>
      </c>
      <c r="N16" s="126">
        <f t="shared" si="3"/>
        <v>6156434.2041792925</v>
      </c>
      <c r="O16" s="126">
        <f t="shared" si="4"/>
        <v>28579922.539091721</v>
      </c>
      <c r="Q16" s="129">
        <f t="shared" si="5"/>
        <v>3.7252902984619141E-9</v>
      </c>
    </row>
    <row r="17" spans="1:17" x14ac:dyDescent="0.25">
      <c r="A17" s="28" t="s">
        <v>42</v>
      </c>
      <c r="B17" s="28" t="s">
        <v>484</v>
      </c>
      <c r="C17" s="28" t="s">
        <v>104</v>
      </c>
      <c r="D17" s="28" t="s">
        <v>498</v>
      </c>
      <c r="E17" s="28" t="s">
        <v>557</v>
      </c>
      <c r="F17" s="29">
        <v>144088766.63</v>
      </c>
      <c r="G17" s="30">
        <v>1.0463168480298844E-2</v>
      </c>
      <c r="H17" s="29">
        <v>124130.26859463028</v>
      </c>
      <c r="I17" s="29">
        <v>1383494.7727735217</v>
      </c>
      <c r="J17" s="124">
        <f t="shared" si="2"/>
        <v>1507625.0413681518</v>
      </c>
      <c r="K17" s="52" t="s">
        <v>75</v>
      </c>
      <c r="L17" s="108" t="s">
        <v>75</v>
      </c>
      <c r="M17" s="125">
        <f>VLOOKUP(L17,'РейтPD FRED Graph'!$R$4:$V$26,5,0)</f>
        <v>1.3022780738698629E-3</v>
      </c>
      <c r="N17" s="126">
        <f t="shared" si="3"/>
        <v>187643.64147320058</v>
      </c>
      <c r="O17" s="126">
        <f t="shared" si="4"/>
        <v>1695268.6828413524</v>
      </c>
      <c r="Q17" s="129">
        <f t="shared" si="5"/>
        <v>-2.1827872842550278E-10</v>
      </c>
    </row>
    <row r="18" spans="1:17" x14ac:dyDescent="0.25">
      <c r="A18" s="28" t="s">
        <v>42</v>
      </c>
      <c r="B18" s="28" t="s">
        <v>484</v>
      </c>
      <c r="C18" s="28" t="s">
        <v>100</v>
      </c>
      <c r="D18" s="28" t="s">
        <v>499</v>
      </c>
      <c r="E18" s="28" t="s">
        <v>558</v>
      </c>
      <c r="F18" s="29">
        <v>228637456.47999999</v>
      </c>
      <c r="G18" s="30">
        <v>1.0463168480298844E-2</v>
      </c>
      <c r="H18" s="29">
        <v>196967.67171679338</v>
      </c>
      <c r="I18" s="29">
        <v>2195304.5563404411</v>
      </c>
      <c r="J18" s="124">
        <f t="shared" si="2"/>
        <v>2392272.2280572345</v>
      </c>
      <c r="K18" s="52" t="s">
        <v>75</v>
      </c>
      <c r="L18" s="108" t="s">
        <v>75</v>
      </c>
      <c r="M18" s="125">
        <f>VLOOKUP(L18,'РейтPD FRED Graph'!$R$4:$V$26,5,0)</f>
        <v>1.3022780738698629E-3</v>
      </c>
      <c r="N18" s="126">
        <f t="shared" si="3"/>
        <v>297749.54643927899</v>
      </c>
      <c r="O18" s="126">
        <f t="shared" si="4"/>
        <v>2690021.7744965134</v>
      </c>
      <c r="Q18" s="129">
        <f t="shared" si="5"/>
        <v>0</v>
      </c>
    </row>
    <row r="19" spans="1:17" x14ac:dyDescent="0.25">
      <c r="A19" s="28" t="s">
        <v>42</v>
      </c>
      <c r="B19" s="28" t="s">
        <v>484</v>
      </c>
      <c r="C19" s="28" t="s">
        <v>149</v>
      </c>
      <c r="D19" s="28" t="s">
        <v>500</v>
      </c>
      <c r="E19" s="28" t="s">
        <v>559</v>
      </c>
      <c r="F19" s="29">
        <v>5837090074.8600016</v>
      </c>
      <c r="G19" s="30">
        <v>1.3950891307065127E-2</v>
      </c>
      <c r="H19" s="29">
        <v>6704751.7605494885</v>
      </c>
      <c r="I19" s="29">
        <v>74727857.423371047</v>
      </c>
      <c r="J19" s="124">
        <f t="shared" si="2"/>
        <v>81432609.183920532</v>
      </c>
      <c r="K19" s="52" t="s">
        <v>75</v>
      </c>
      <c r="L19" s="108" t="s">
        <v>77</v>
      </c>
      <c r="M19" s="125">
        <f>VLOOKUP(L19,'РейтPD FRED Graph'!$R$4:$V$26,5,0)</f>
        <v>2.8789422845923352E-3</v>
      </c>
      <c r="N19" s="126">
        <f t="shared" si="3"/>
        <v>16804645.435488697</v>
      </c>
      <c r="O19" s="126">
        <f t="shared" si="4"/>
        <v>98237254.619409233</v>
      </c>
      <c r="Q19" s="129">
        <f t="shared" si="5"/>
        <v>0</v>
      </c>
    </row>
    <row r="20" spans="1:17" x14ac:dyDescent="0.25">
      <c r="A20" s="28" t="s">
        <v>42</v>
      </c>
      <c r="B20" s="28" t="s">
        <v>484</v>
      </c>
      <c r="C20" s="28" t="s">
        <v>150</v>
      </c>
      <c r="D20" s="28" t="s">
        <v>501</v>
      </c>
      <c r="E20" s="28" t="s">
        <v>560</v>
      </c>
      <c r="F20" s="29">
        <v>4807920355.0699997</v>
      </c>
      <c r="G20" s="30">
        <v>1.0463168480298844E-2</v>
      </c>
      <c r="H20" s="29">
        <v>4141949.8481026683</v>
      </c>
      <c r="I20" s="29">
        <v>46164130.866852984</v>
      </c>
      <c r="J20" s="124">
        <f t="shared" si="2"/>
        <v>50306080.71495565</v>
      </c>
      <c r="K20" s="52" t="s">
        <v>75</v>
      </c>
      <c r="L20" s="108" t="s">
        <v>75</v>
      </c>
      <c r="M20" s="125">
        <f>VLOOKUP(L20,'РейтPD FRED Graph'!$R$4:$V$26,5,0)</f>
        <v>1.3022780738698629E-3</v>
      </c>
      <c r="N20" s="126">
        <f t="shared" si="3"/>
        <v>6261249.2593202665</v>
      </c>
      <c r="O20" s="126">
        <f t="shared" si="4"/>
        <v>56567329.974275917</v>
      </c>
      <c r="Q20" s="129">
        <f t="shared" si="5"/>
        <v>0</v>
      </c>
    </row>
    <row r="21" spans="1:17" x14ac:dyDescent="0.25">
      <c r="A21" s="28" t="s">
        <v>42</v>
      </c>
      <c r="B21" s="28" t="s">
        <v>484</v>
      </c>
      <c r="C21" s="28" t="s">
        <v>137</v>
      </c>
      <c r="D21" s="28" t="s">
        <v>502</v>
      </c>
      <c r="E21" s="28" t="s">
        <v>561</v>
      </c>
      <c r="F21" s="29">
        <v>175689828.77000001</v>
      </c>
      <c r="G21" s="30">
        <v>3.3927692878581571E-2</v>
      </c>
      <c r="H21" s="29">
        <v>599081.6337464503</v>
      </c>
      <c r="I21" s="29">
        <v>5361668.9186526947</v>
      </c>
      <c r="J21" s="124">
        <f t="shared" si="2"/>
        <v>5960750.5523991445</v>
      </c>
      <c r="K21" s="52" t="s">
        <v>79</v>
      </c>
      <c r="L21" s="108" t="s">
        <v>81</v>
      </c>
      <c r="M21" s="125">
        <f>VLOOKUP(L21,'РейтPD FRED Graph'!$R$4:$V$26,5,0)</f>
        <v>6.9958267116009875E-3</v>
      </c>
      <c r="N21" s="126">
        <f t="shared" si="3"/>
        <v>1229095.5970657698</v>
      </c>
      <c r="O21" s="126">
        <f t="shared" si="4"/>
        <v>7189846.1494649146</v>
      </c>
      <c r="Q21" s="129">
        <f t="shared" si="5"/>
        <v>0</v>
      </c>
    </row>
    <row r="22" spans="1:17" x14ac:dyDescent="0.25">
      <c r="A22" s="28" t="s">
        <v>42</v>
      </c>
      <c r="B22" s="28" t="s">
        <v>484</v>
      </c>
      <c r="C22" s="28" t="s">
        <v>151</v>
      </c>
      <c r="D22" s="28" t="s">
        <v>503</v>
      </c>
      <c r="E22" s="28" t="s">
        <v>562</v>
      </c>
      <c r="F22" s="29">
        <v>8066058649.8500004</v>
      </c>
      <c r="G22" s="30">
        <v>1.9110596344166456E-2</v>
      </c>
      <c r="H22" s="29">
        <v>14352882.739938768</v>
      </c>
      <c r="I22" s="29">
        <v>139794308.20571685</v>
      </c>
      <c r="J22" s="124">
        <f t="shared" si="2"/>
        <v>154147190.94565564</v>
      </c>
      <c r="K22" s="52" t="s">
        <v>77</v>
      </c>
      <c r="L22" s="108" t="s">
        <v>77</v>
      </c>
      <c r="M22" s="125">
        <f>VLOOKUP(L22,'РейтPD FRED Graph'!$R$4:$V$26,5,0)</f>
        <v>2.8789422845923352E-3</v>
      </c>
      <c r="N22" s="126">
        <f t="shared" si="3"/>
        <v>23221717.317054927</v>
      </c>
      <c r="O22" s="126">
        <f t="shared" si="4"/>
        <v>177368908.26271057</v>
      </c>
      <c r="Q22" s="129">
        <f t="shared" si="5"/>
        <v>2.7939677238464355E-8</v>
      </c>
    </row>
    <row r="23" spans="1:17" x14ac:dyDescent="0.25">
      <c r="A23" s="28" t="s">
        <v>42</v>
      </c>
      <c r="B23" s="28" t="s">
        <v>484</v>
      </c>
      <c r="C23" s="28" t="s">
        <v>135</v>
      </c>
      <c r="D23" s="28" t="s">
        <v>504</v>
      </c>
      <c r="E23" s="28" t="s">
        <v>563</v>
      </c>
      <c r="F23" s="29">
        <v>678819926.34000003</v>
      </c>
      <c r="G23" s="30">
        <v>1.0463168480298844E-2</v>
      </c>
      <c r="H23" s="29">
        <v>584792.98389960371</v>
      </c>
      <c r="I23" s="29">
        <v>6517814.2731798682</v>
      </c>
      <c r="J23" s="124">
        <f t="shared" si="2"/>
        <v>7102607.2570794718</v>
      </c>
      <c r="K23" s="52" t="s">
        <v>75</v>
      </c>
      <c r="L23" s="108" t="s">
        <v>77</v>
      </c>
      <c r="M23" s="125">
        <f>VLOOKUP(L23,'РейтPD FRED Graph'!$R$4:$V$26,5,0)</f>
        <v>2.8789422845923352E-3</v>
      </c>
      <c r="N23" s="126">
        <f t="shared" si="3"/>
        <v>1954283.3895640804</v>
      </c>
      <c r="O23" s="126">
        <f t="shared" si="4"/>
        <v>9056890.6466435529</v>
      </c>
      <c r="Q23" s="129">
        <f t="shared" si="5"/>
        <v>0</v>
      </c>
    </row>
    <row r="24" spans="1:17" x14ac:dyDescent="0.25">
      <c r="A24" s="28" t="s">
        <v>42</v>
      </c>
      <c r="B24" s="28" t="s">
        <v>484</v>
      </c>
      <c r="C24" s="28" t="s">
        <v>153</v>
      </c>
      <c r="D24" s="28" t="s">
        <v>505</v>
      </c>
      <c r="E24" s="28" t="s">
        <v>564</v>
      </c>
      <c r="F24" s="29">
        <v>768661410.63</v>
      </c>
      <c r="G24" s="30">
        <v>1.3950891307065127E-2</v>
      </c>
      <c r="H24" s="29">
        <v>882920.06463709625</v>
      </c>
      <c r="I24" s="29">
        <v>9840591.7269973885</v>
      </c>
      <c r="J24" s="124">
        <f t="shared" si="2"/>
        <v>10723511.791634485</v>
      </c>
      <c r="K24" s="52" t="s">
        <v>75</v>
      </c>
      <c r="L24" s="108" t="s">
        <v>77</v>
      </c>
      <c r="M24" s="125">
        <f>VLOOKUP(L24,'РейтPD FRED Graph'!$R$4:$V$26,5,0)</f>
        <v>2.8789422845923352E-3</v>
      </c>
      <c r="N24" s="126">
        <f t="shared" si="3"/>
        <v>2212931.8375970991</v>
      </c>
      <c r="O24" s="126">
        <f t="shared" si="4"/>
        <v>12936443.629231583</v>
      </c>
      <c r="Q24" s="129">
        <f t="shared" si="5"/>
        <v>0</v>
      </c>
    </row>
    <row r="25" spans="1:17" x14ac:dyDescent="0.25">
      <c r="A25" s="28" t="s">
        <v>42</v>
      </c>
      <c r="B25" s="28" t="s">
        <v>484</v>
      </c>
      <c r="C25" s="28" t="s">
        <v>337</v>
      </c>
      <c r="D25" s="28" t="s">
        <v>506</v>
      </c>
      <c r="E25" s="28" t="s">
        <v>565</v>
      </c>
      <c r="F25" s="29">
        <v>410072474.54000002</v>
      </c>
      <c r="G25" s="30">
        <v>0.10092766245929954</v>
      </c>
      <c r="H25" s="29">
        <v>8413977.5910308361</v>
      </c>
      <c r="I25" s="29">
        <v>32973678.703191992</v>
      </c>
      <c r="J25" s="124">
        <f t="shared" si="2"/>
        <v>41387656.294222832</v>
      </c>
      <c r="K25" s="52" t="s">
        <v>87</v>
      </c>
      <c r="L25" s="108" t="s">
        <v>87</v>
      </c>
      <c r="M25" s="125">
        <f>VLOOKUP(L25,'РейтPD FRED Graph'!$R$4:$V$26,5,0)</f>
        <v>2.7939000866944019E-2</v>
      </c>
      <c r="N25" s="126">
        <f t="shared" si="3"/>
        <v>11457015.22168294</v>
      </c>
      <c r="O25" s="126">
        <f t="shared" si="4"/>
        <v>52844671.515905768</v>
      </c>
      <c r="Q25" s="129">
        <f t="shared" si="5"/>
        <v>0</v>
      </c>
    </row>
    <row r="26" spans="1:17" x14ac:dyDescent="0.25">
      <c r="A26" s="28" t="s">
        <v>42</v>
      </c>
      <c r="B26" s="28" t="s">
        <v>484</v>
      </c>
      <c r="C26" s="28" t="s">
        <v>104</v>
      </c>
      <c r="D26" s="28" t="s">
        <v>507</v>
      </c>
      <c r="E26" s="28" t="s">
        <v>566</v>
      </c>
      <c r="F26" s="29">
        <v>630286391.17000008</v>
      </c>
      <c r="G26" s="30">
        <v>1.0463168480298844E-2</v>
      </c>
      <c r="H26" s="29">
        <v>542982.0856776135</v>
      </c>
      <c r="I26" s="29">
        <v>6051810.6159736393</v>
      </c>
      <c r="J26" s="124">
        <f t="shared" si="2"/>
        <v>6594792.7016512528</v>
      </c>
      <c r="K26" s="52" t="s">
        <v>75</v>
      </c>
      <c r="L26" s="108" t="s">
        <v>79</v>
      </c>
      <c r="M26" s="125">
        <f>VLOOKUP(L26,'РейтPD FRED Graph'!$R$4:$V$26,5,0)</f>
        <v>4.2231023230869707E-3</v>
      </c>
      <c r="N26" s="126">
        <f t="shared" si="3"/>
        <v>2661763.9227601304</v>
      </c>
      <c r="O26" s="126">
        <f t="shared" si="4"/>
        <v>9256556.6244113836</v>
      </c>
      <c r="Q26" s="129">
        <f t="shared" si="5"/>
        <v>0</v>
      </c>
    </row>
    <row r="27" spans="1:17" x14ac:dyDescent="0.25">
      <c r="A27" s="28" t="s">
        <v>42</v>
      </c>
      <c r="B27" s="28" t="s">
        <v>484</v>
      </c>
      <c r="C27" s="28" t="s">
        <v>138</v>
      </c>
      <c r="D27" s="28" t="s">
        <v>508</v>
      </c>
      <c r="E27" s="28" t="s">
        <v>567</v>
      </c>
      <c r="F27" s="29">
        <v>2012305128.6500003</v>
      </c>
      <c r="G27" s="30">
        <v>4.919714419657685E-2</v>
      </c>
      <c r="H27" s="29">
        <v>11278857.865149824</v>
      </c>
      <c r="I27" s="29">
        <v>87720807.716555372</v>
      </c>
      <c r="J27" s="124">
        <f t="shared" si="2"/>
        <v>98999665.581705198</v>
      </c>
      <c r="K27" s="52" t="s">
        <v>81</v>
      </c>
      <c r="L27" s="108" t="s">
        <v>81</v>
      </c>
      <c r="M27" s="125">
        <f>VLOOKUP(L27,'РейтPD FRED Graph'!$R$4:$V$26,5,0)</f>
        <v>6.9958267116009875E-3</v>
      </c>
      <c r="N27" s="126">
        <f t="shared" si="3"/>
        <v>14077737.970901335</v>
      </c>
      <c r="O27" s="126">
        <f t="shared" si="4"/>
        <v>113077403.55260654</v>
      </c>
      <c r="Q27" s="129">
        <f t="shared" si="5"/>
        <v>0</v>
      </c>
    </row>
    <row r="28" spans="1:17" x14ac:dyDescent="0.25">
      <c r="A28" s="28" t="s">
        <v>42</v>
      </c>
      <c r="B28" s="28" t="s">
        <v>484</v>
      </c>
      <c r="C28" s="28" t="s">
        <v>138</v>
      </c>
      <c r="D28" s="28" t="s">
        <v>509</v>
      </c>
      <c r="E28" s="28" t="s">
        <v>568</v>
      </c>
      <c r="F28" s="29">
        <v>1108159927.3699999</v>
      </c>
      <c r="G28" s="30">
        <v>4.919714419657685E-2</v>
      </c>
      <c r="H28" s="29">
        <v>6211174.505650674</v>
      </c>
      <c r="I28" s="29">
        <v>48307129.234039344</v>
      </c>
      <c r="J28" s="124">
        <f t="shared" si="2"/>
        <v>54518303.739690013</v>
      </c>
      <c r="K28" s="52" t="s">
        <v>81</v>
      </c>
      <c r="L28" s="108" t="s">
        <v>81</v>
      </c>
      <c r="M28" s="125">
        <f>VLOOKUP(L28,'РейтPD FRED Graph'!$R$4:$V$26,5,0)</f>
        <v>6.9958267116009875E-3</v>
      </c>
      <c r="N28" s="126">
        <f t="shared" si="3"/>
        <v>7752494.8206208553</v>
      </c>
      <c r="O28" s="126">
        <f t="shared" si="4"/>
        <v>62270798.56031087</v>
      </c>
      <c r="Q28" s="129">
        <f t="shared" si="5"/>
        <v>0</v>
      </c>
    </row>
    <row r="29" spans="1:17" x14ac:dyDescent="0.25">
      <c r="A29" s="28" t="s">
        <v>42</v>
      </c>
      <c r="B29" s="28" t="s">
        <v>484</v>
      </c>
      <c r="C29" s="28" t="s">
        <v>134</v>
      </c>
      <c r="D29" s="28" t="s">
        <v>510</v>
      </c>
      <c r="E29" s="28" t="s">
        <v>569</v>
      </c>
      <c r="F29" s="29">
        <v>987978851.21000004</v>
      </c>
      <c r="G29" s="30">
        <v>2.5445769658936176E-2</v>
      </c>
      <c r="H29" s="29">
        <v>2526668.6826731716</v>
      </c>
      <c r="I29" s="29">
        <v>22613213.593116868</v>
      </c>
      <c r="J29" s="124">
        <f t="shared" si="2"/>
        <v>25139882.275790039</v>
      </c>
      <c r="K29" s="52" t="s">
        <v>79</v>
      </c>
      <c r="L29" s="108" t="s">
        <v>79</v>
      </c>
      <c r="M29" s="125">
        <f>VLOOKUP(L29,'РейтPD FRED Graph'!$R$4:$V$26,5,0)</f>
        <v>4.2231023230869707E-3</v>
      </c>
      <c r="N29" s="126">
        <f t="shared" si="3"/>
        <v>4172335.7817057478</v>
      </c>
      <c r="O29" s="126">
        <f t="shared" si="4"/>
        <v>29312218.057495788</v>
      </c>
      <c r="Q29" s="129">
        <f t="shared" si="5"/>
        <v>0</v>
      </c>
    </row>
    <row r="30" spans="1:17" ht="27.75" customHeight="1" x14ac:dyDescent="0.25">
      <c r="A30" s="28" t="s">
        <v>42</v>
      </c>
      <c r="B30" s="28" t="s">
        <v>484</v>
      </c>
      <c r="C30" s="28" t="s">
        <v>337</v>
      </c>
      <c r="D30" s="28" t="s">
        <v>511</v>
      </c>
      <c r="E30" s="28" t="s">
        <v>570</v>
      </c>
      <c r="F30" s="29">
        <v>699000170.16999996</v>
      </c>
      <c r="G30" s="30">
        <v>0.10092766245929954</v>
      </c>
      <c r="H30" s="29">
        <v>14342273.946903083</v>
      </c>
      <c r="I30" s="29">
        <v>56206179.287007608</v>
      </c>
      <c r="J30" s="124">
        <f t="shared" si="2"/>
        <v>70548453.233910695</v>
      </c>
      <c r="K30" s="52" t="s">
        <v>87</v>
      </c>
      <c r="L30" s="108" t="s">
        <v>87</v>
      </c>
      <c r="M30" s="125">
        <f>VLOOKUP(L30,'РейтPD FRED Graph'!$R$4:$V$26,5,0)</f>
        <v>2.7939000866944019E-2</v>
      </c>
      <c r="N30" s="126">
        <f t="shared" si="3"/>
        <v>19529366.360373646</v>
      </c>
      <c r="O30" s="126">
        <f t="shared" si="4"/>
        <v>90077819.594284341</v>
      </c>
      <c r="Q30" s="129">
        <f t="shared" si="5"/>
        <v>0</v>
      </c>
    </row>
    <row r="31" spans="1:17" x14ac:dyDescent="0.25">
      <c r="A31" s="28" t="s">
        <v>42</v>
      </c>
      <c r="B31" s="28" t="s">
        <v>484</v>
      </c>
      <c r="C31" s="28" t="s">
        <v>479</v>
      </c>
      <c r="D31" s="28" t="s">
        <v>512</v>
      </c>
      <c r="E31" s="28" t="s">
        <v>571</v>
      </c>
      <c r="F31" s="29">
        <v>712651785.91999996</v>
      </c>
      <c r="G31" s="30">
        <v>2.5445769658936176E-2</v>
      </c>
      <c r="H31" s="29">
        <v>1822544.0219999559</v>
      </c>
      <c r="I31" s="29">
        <v>16311429.16954986</v>
      </c>
      <c r="J31" s="124">
        <f t="shared" si="2"/>
        <v>18133973.191549815</v>
      </c>
      <c r="K31" s="52" t="s">
        <v>79</v>
      </c>
      <c r="L31" s="52" t="s">
        <v>79</v>
      </c>
      <c r="M31" s="125">
        <f>VLOOKUP(L31,'РейтPD FRED Graph'!$R$4:$V$26,5,0)</f>
        <v>4.2231023230869707E-3</v>
      </c>
      <c r="N31" s="126">
        <f t="shared" si="3"/>
        <v>3009601.4126708303</v>
      </c>
      <c r="O31" s="126">
        <f t="shared" si="4"/>
        <v>21143574.604220644</v>
      </c>
      <c r="Q31" s="129">
        <f t="shared" si="5"/>
        <v>0</v>
      </c>
    </row>
    <row r="32" spans="1:17" x14ac:dyDescent="0.25">
      <c r="A32" s="28" t="s">
        <v>42</v>
      </c>
      <c r="B32" s="28" t="s">
        <v>485</v>
      </c>
      <c r="C32" s="28" t="s">
        <v>133</v>
      </c>
      <c r="D32" s="28" t="s">
        <v>513</v>
      </c>
      <c r="E32" s="28" t="s">
        <v>572</v>
      </c>
      <c r="F32" s="29">
        <v>220988594.12</v>
      </c>
      <c r="G32" s="30">
        <v>2.5445769658936176E-2</v>
      </c>
      <c r="H32" s="29">
        <v>565158.81823495962</v>
      </c>
      <c r="I32" s="29">
        <v>5058066.0449946979</v>
      </c>
      <c r="J32" s="124">
        <f t="shared" si="2"/>
        <v>5623224.8632296575</v>
      </c>
      <c r="K32" s="52" t="s">
        <v>79</v>
      </c>
      <c r="L32" s="108" t="s">
        <v>79</v>
      </c>
      <c r="M32" s="125">
        <f>VLOOKUP(L32,'РейтPD FRED Graph'!$R$4:$V$26,5,0)</f>
        <v>4.2231023230869707E-3</v>
      </c>
      <c r="N32" s="126">
        <f t="shared" si="3"/>
        <v>933257.44520389568</v>
      </c>
      <c r="O32" s="126">
        <f t="shared" si="4"/>
        <v>6556482.3084335532</v>
      </c>
      <c r="Q32" s="129">
        <f t="shared" si="5"/>
        <v>0</v>
      </c>
    </row>
    <row r="33" spans="1:17" x14ac:dyDescent="0.25">
      <c r="A33" s="28" t="s">
        <v>42</v>
      </c>
      <c r="B33" s="28" t="s">
        <v>485</v>
      </c>
      <c r="C33" s="28" t="s">
        <v>155</v>
      </c>
      <c r="D33" s="28" t="s">
        <v>514</v>
      </c>
      <c r="E33" s="28" t="s">
        <v>573</v>
      </c>
      <c r="F33" s="29">
        <v>60510414.769999996</v>
      </c>
      <c r="G33" s="30">
        <v>1.0463168480298844E-2</v>
      </c>
      <c r="H33" s="29">
        <v>52128.796809401792</v>
      </c>
      <c r="I33" s="29">
        <v>581001.86774187186</v>
      </c>
      <c r="J33" s="124">
        <f t="shared" si="2"/>
        <v>633130.66455127357</v>
      </c>
      <c r="K33" s="52" t="s">
        <v>75</v>
      </c>
      <c r="L33" s="108" t="s">
        <v>77</v>
      </c>
      <c r="M33" s="125">
        <f>VLOOKUP(L33,'РейтPD FRED Graph'!$R$4:$V$26,5,0)</f>
        <v>2.8789422845923352E-3</v>
      </c>
      <c r="N33" s="126">
        <f t="shared" si="3"/>
        <v>174205.99173957357</v>
      </c>
      <c r="O33" s="126">
        <f t="shared" si="4"/>
        <v>807336.65629084711</v>
      </c>
      <c r="Q33" s="129">
        <f t="shared" si="5"/>
        <v>-8.0035533756017685E-11</v>
      </c>
    </row>
    <row r="34" spans="1:17" ht="24.75" customHeight="1" x14ac:dyDescent="0.25">
      <c r="A34" s="28" t="s">
        <v>42</v>
      </c>
      <c r="B34" s="28" t="s">
        <v>485</v>
      </c>
      <c r="C34" s="28" t="s">
        <v>145</v>
      </c>
      <c r="D34" s="28" t="s">
        <v>515</v>
      </c>
      <c r="E34" s="28" t="s">
        <v>574</v>
      </c>
      <c r="F34" s="29">
        <v>52613046.329999998</v>
      </c>
      <c r="G34" s="30">
        <v>2.5480795125555275E-2</v>
      </c>
      <c r="H34" s="29">
        <v>124827.4061879443</v>
      </c>
      <c r="I34" s="29">
        <v>1215794.8482781334</v>
      </c>
      <c r="J34" s="124">
        <f t="shared" si="2"/>
        <v>1340622.2544660778</v>
      </c>
      <c r="K34" s="52" t="s">
        <v>77</v>
      </c>
      <c r="L34" s="108" t="s">
        <v>79</v>
      </c>
      <c r="M34" s="125">
        <f>VLOOKUP(L34,'РейтPD FRED Graph'!$R$4:$V$26,5,0)</f>
        <v>4.2231023230869707E-3</v>
      </c>
      <c r="N34" s="126">
        <f t="shared" si="3"/>
        <v>222190.27818090541</v>
      </c>
      <c r="O34" s="126">
        <f t="shared" si="4"/>
        <v>1562812.5326469832</v>
      </c>
      <c r="Q34" s="129">
        <f t="shared" si="5"/>
        <v>0</v>
      </c>
    </row>
    <row r="35" spans="1:17" x14ac:dyDescent="0.25">
      <c r="A35" s="28" t="s">
        <v>42</v>
      </c>
      <c r="B35" s="28" t="s">
        <v>485</v>
      </c>
      <c r="C35" s="28" t="s">
        <v>133</v>
      </c>
      <c r="D35" s="28" t="s">
        <v>516</v>
      </c>
      <c r="E35" s="28" t="s">
        <v>575</v>
      </c>
      <c r="F35" s="29">
        <v>485102401.42000002</v>
      </c>
      <c r="G35" s="30">
        <v>2.5445769658936176E-2</v>
      </c>
      <c r="H35" s="29">
        <v>1240606.5616246031</v>
      </c>
      <c r="I35" s="29">
        <v>11103197.405905511</v>
      </c>
      <c r="J35" s="124">
        <f t="shared" si="2"/>
        <v>12343803.967530115</v>
      </c>
      <c r="K35" s="52" t="s">
        <v>79</v>
      </c>
      <c r="L35" s="108" t="s">
        <v>79</v>
      </c>
      <c r="M35" s="125">
        <f>VLOOKUP(L35,'РейтPD FRED Graph'!$R$4:$V$26,5,0)</f>
        <v>4.2231023230869707E-3</v>
      </c>
      <c r="N35" s="126">
        <f t="shared" si="3"/>
        <v>2048637.0783718703</v>
      </c>
      <c r="O35" s="126">
        <f t="shared" si="4"/>
        <v>14392441.045901984</v>
      </c>
      <c r="Q35" s="129">
        <f t="shared" si="5"/>
        <v>0</v>
      </c>
    </row>
    <row r="36" spans="1:17" x14ac:dyDescent="0.25">
      <c r="A36" s="28" t="s">
        <v>42</v>
      </c>
      <c r="B36" s="28" t="s">
        <v>485</v>
      </c>
      <c r="C36" s="28" t="s">
        <v>133</v>
      </c>
      <c r="D36" s="28" t="s">
        <v>517</v>
      </c>
      <c r="E36" s="28" t="s">
        <v>576</v>
      </c>
      <c r="F36" s="29">
        <v>575644493.70000005</v>
      </c>
      <c r="G36" s="30">
        <v>2.5445769658936176E-2</v>
      </c>
      <c r="H36" s="29">
        <v>1472159.9686103913</v>
      </c>
      <c r="I36" s="29">
        <v>13175557.223514747</v>
      </c>
      <c r="J36" s="124">
        <f t="shared" si="2"/>
        <v>14647717.192125138</v>
      </c>
      <c r="K36" s="52" t="s">
        <v>79</v>
      </c>
      <c r="L36" s="108" t="s">
        <v>79</v>
      </c>
      <c r="M36" s="125">
        <f>VLOOKUP(L36,'РейтPD FRED Graph'!$R$4:$V$26,5,0)</f>
        <v>4.2231023230869707E-3</v>
      </c>
      <c r="N36" s="126">
        <f t="shared" si="3"/>
        <v>2431005.5986166932</v>
      </c>
      <c r="O36" s="126">
        <f t="shared" si="4"/>
        <v>17078722.790741831</v>
      </c>
      <c r="Q36" s="129">
        <f t="shared" si="5"/>
        <v>0</v>
      </c>
    </row>
    <row r="37" spans="1:17" x14ac:dyDescent="0.25">
      <c r="A37" s="28" t="s">
        <v>42</v>
      </c>
      <c r="B37" s="28" t="s">
        <v>485</v>
      </c>
      <c r="C37" s="28" t="s">
        <v>157</v>
      </c>
      <c r="D37" s="28" t="s">
        <v>518</v>
      </c>
      <c r="E37" s="28" t="s">
        <v>577</v>
      </c>
      <c r="F37" s="29">
        <v>583916257.16999996</v>
      </c>
      <c r="G37" s="30">
        <v>3.6897858147432641E-2</v>
      </c>
      <c r="H37" s="29">
        <v>2454613.5086589744</v>
      </c>
      <c r="I37" s="29">
        <v>19090645.718379483</v>
      </c>
      <c r="J37" s="124">
        <f t="shared" si="2"/>
        <v>21545259.227038458</v>
      </c>
      <c r="K37" s="52" t="s">
        <v>81</v>
      </c>
      <c r="L37" s="108" t="s">
        <v>81</v>
      </c>
      <c r="M37" s="125">
        <f>VLOOKUP(L37,'РейтPD FRED Graph'!$R$4:$V$26,5,0)</f>
        <v>6.9958267116009875E-3</v>
      </c>
      <c r="N37" s="126">
        <f t="shared" si="3"/>
        <v>4084976.9492479572</v>
      </c>
      <c r="O37" s="126">
        <f t="shared" si="4"/>
        <v>25630236.176286414</v>
      </c>
      <c r="Q37" s="129">
        <f t="shared" si="5"/>
        <v>0</v>
      </c>
    </row>
    <row r="38" spans="1:17" x14ac:dyDescent="0.25">
      <c r="A38" s="28" t="s">
        <v>42</v>
      </c>
      <c r="B38" s="28" t="s">
        <v>485</v>
      </c>
      <c r="C38" s="28" t="s">
        <v>133</v>
      </c>
      <c r="D38" s="28" t="s">
        <v>519</v>
      </c>
      <c r="E38" s="28" t="s">
        <v>578</v>
      </c>
      <c r="F38" s="29">
        <v>600494927.18000007</v>
      </c>
      <c r="G38" s="30">
        <v>2.5445769658936176E-2</v>
      </c>
      <c r="H38" s="29">
        <v>1535712.7581745302</v>
      </c>
      <c r="I38" s="29">
        <v>13744342.840207405</v>
      </c>
      <c r="J38" s="124">
        <f t="shared" si="2"/>
        <v>15280055.598381935</v>
      </c>
      <c r="K38" s="52" t="s">
        <v>79</v>
      </c>
      <c r="L38" s="108" t="s">
        <v>79</v>
      </c>
      <c r="M38" s="125">
        <f>VLOOKUP(L38,'РейтPD FRED Graph'!$R$4:$V$26,5,0)</f>
        <v>4.2231023230869707E-3</v>
      </c>
      <c r="N38" s="126">
        <f t="shared" si="3"/>
        <v>2535951.5219757995</v>
      </c>
      <c r="O38" s="126">
        <f t="shared" si="4"/>
        <v>17816007.120357733</v>
      </c>
      <c r="Q38" s="129">
        <f t="shared" si="5"/>
        <v>0</v>
      </c>
    </row>
    <row r="39" spans="1:17" x14ac:dyDescent="0.25">
      <c r="A39" s="28" t="s">
        <v>42</v>
      </c>
      <c r="B39" s="28" t="s">
        <v>485</v>
      </c>
      <c r="C39" s="28" t="s">
        <v>157</v>
      </c>
      <c r="D39" s="28" t="s">
        <v>520</v>
      </c>
      <c r="E39" s="28" t="s">
        <v>579</v>
      </c>
      <c r="F39" s="29">
        <v>146772209.40000001</v>
      </c>
      <c r="G39" s="30">
        <v>3.6897858147432641E-2</v>
      </c>
      <c r="H39" s="29">
        <v>616987.52768939582</v>
      </c>
      <c r="I39" s="29">
        <v>4798592.6347370837</v>
      </c>
      <c r="J39" s="124">
        <f t="shared" si="2"/>
        <v>5415580.1624264801</v>
      </c>
      <c r="K39" s="52" t="s">
        <v>81</v>
      </c>
      <c r="L39" s="108" t="s">
        <v>81</v>
      </c>
      <c r="M39" s="125">
        <f>VLOOKUP(L39,'РейтPD FRED Graph'!$R$4:$V$26,5,0)</f>
        <v>6.9958267116009875E-3</v>
      </c>
      <c r="N39" s="126">
        <f t="shared" si="3"/>
        <v>1026792.9430412136</v>
      </c>
      <c r="O39" s="126">
        <f t="shared" si="4"/>
        <v>6442373.1054676939</v>
      </c>
      <c r="Q39" s="129">
        <f t="shared" si="5"/>
        <v>0</v>
      </c>
    </row>
    <row r="40" spans="1:17" x14ac:dyDescent="0.25">
      <c r="A40" s="28" t="s">
        <v>42</v>
      </c>
      <c r="B40" s="28" t="s">
        <v>485</v>
      </c>
      <c r="C40" s="28" t="s">
        <v>133</v>
      </c>
      <c r="D40" s="28" t="s">
        <v>521</v>
      </c>
      <c r="E40" s="28" t="s">
        <v>580</v>
      </c>
      <c r="F40" s="29">
        <v>378347278.77000004</v>
      </c>
      <c r="G40" s="30">
        <v>2.5445769658936176E-2</v>
      </c>
      <c r="H40" s="29">
        <v>967589.76092655386</v>
      </c>
      <c r="I40" s="29">
        <v>8659747.945740182</v>
      </c>
      <c r="J40" s="124">
        <f t="shared" ref="J40:J69" si="6">F40*G40</f>
        <v>9627337.7066667341</v>
      </c>
      <c r="K40" s="52" t="s">
        <v>79</v>
      </c>
      <c r="L40" s="108" t="s">
        <v>79</v>
      </c>
      <c r="M40" s="125">
        <f>VLOOKUP(L40,'РейтPD FRED Graph'!$R$4:$V$26,5,0)</f>
        <v>4.2231023230869707E-3</v>
      </c>
      <c r="N40" s="126">
        <f t="shared" si="3"/>
        <v>1597799.2719072208</v>
      </c>
      <c r="O40" s="126">
        <f t="shared" si="4"/>
        <v>11225136.978573956</v>
      </c>
      <c r="Q40" s="129">
        <f t="shared" si="5"/>
        <v>-1.7462298274040222E-9</v>
      </c>
    </row>
    <row r="41" spans="1:17" x14ac:dyDescent="0.25">
      <c r="A41" s="28" t="s">
        <v>42</v>
      </c>
      <c r="B41" s="28" t="s">
        <v>485</v>
      </c>
      <c r="C41" s="28" t="s">
        <v>487</v>
      </c>
      <c r="D41" s="28" t="s">
        <v>522</v>
      </c>
      <c r="E41" s="28" t="s">
        <v>581</v>
      </c>
      <c r="F41" s="29">
        <v>1284401628.5599999</v>
      </c>
      <c r="G41" s="30">
        <v>1.0463168480298844E-2</v>
      </c>
      <c r="H41" s="29">
        <v>1106492.3579083409</v>
      </c>
      <c r="I41" s="29">
        <v>12332418.278085155</v>
      </c>
      <c r="J41" s="124">
        <f t="shared" si="6"/>
        <v>13438910.635993496</v>
      </c>
      <c r="K41" s="52" t="s">
        <v>75</v>
      </c>
      <c r="L41" s="108" t="s">
        <v>75</v>
      </c>
      <c r="M41" s="125">
        <f>VLOOKUP(L41,'РейтPD FRED Graph'!$R$4:$V$26,5,0)</f>
        <v>1.3022780738698629E-3</v>
      </c>
      <c r="N41" s="126">
        <f t="shared" si="3"/>
        <v>1672648.0789164319</v>
      </c>
      <c r="O41" s="126">
        <f t="shared" si="4"/>
        <v>15111558.714909928</v>
      </c>
      <c r="Q41" s="129">
        <f t="shared" si="5"/>
        <v>0</v>
      </c>
    </row>
    <row r="42" spans="1:17" x14ac:dyDescent="0.25">
      <c r="A42" s="28" t="s">
        <v>42</v>
      </c>
      <c r="B42" s="28" t="s">
        <v>485</v>
      </c>
      <c r="C42" s="28" t="s">
        <v>145</v>
      </c>
      <c r="D42" s="28" t="s">
        <v>523</v>
      </c>
      <c r="E42" s="28" t="s">
        <v>582</v>
      </c>
      <c r="F42" s="29">
        <v>1041227792.2900001</v>
      </c>
      <c r="G42" s="30">
        <v>2.5480795125555275E-2</v>
      </c>
      <c r="H42" s="29">
        <v>2470371.3931928175</v>
      </c>
      <c r="I42" s="29">
        <v>24060940.661182895</v>
      </c>
      <c r="J42" s="124">
        <f t="shared" si="6"/>
        <v>26531312.054375716</v>
      </c>
      <c r="K42" s="52" t="s">
        <v>77</v>
      </c>
      <c r="L42" s="108" t="s">
        <v>79</v>
      </c>
      <c r="M42" s="125">
        <f>VLOOKUP(L42,'РейтPD FRED Graph'!$R$4:$V$26,5,0)</f>
        <v>4.2231023230869707E-3</v>
      </c>
      <c r="N42" s="126">
        <f t="shared" si="3"/>
        <v>4397211.5084826173</v>
      </c>
      <c r="O42" s="126">
        <f t="shared" si="4"/>
        <v>30928523.562858332</v>
      </c>
      <c r="Q42" s="129">
        <f t="shared" si="5"/>
        <v>0</v>
      </c>
    </row>
    <row r="43" spans="1:17" x14ac:dyDescent="0.25">
      <c r="A43" s="28" t="s">
        <v>42</v>
      </c>
      <c r="B43" s="28" t="s">
        <v>485</v>
      </c>
      <c r="C43" s="28" t="s">
        <v>159</v>
      </c>
      <c r="D43" s="28" t="s">
        <v>524</v>
      </c>
      <c r="E43" s="28" t="s">
        <v>583</v>
      </c>
      <c r="F43" s="29">
        <v>513488330.73000002</v>
      </c>
      <c r="G43" s="30">
        <v>1.3950891307065127E-2</v>
      </c>
      <c r="H43" s="29">
        <v>589816.45740084944</v>
      </c>
      <c r="I43" s="29">
        <v>6573803.4320596904</v>
      </c>
      <c r="J43" s="124">
        <f t="shared" si="6"/>
        <v>7163619.8894605404</v>
      </c>
      <c r="K43" s="52" t="s">
        <v>75</v>
      </c>
      <c r="L43" s="108" t="s">
        <v>77</v>
      </c>
      <c r="M43" s="125">
        <f>VLOOKUP(L43,'РейтPD FRED Graph'!$R$4:$V$26,5,0)</f>
        <v>2.8789422845923352E-3</v>
      </c>
      <c r="N43" s="126">
        <f t="shared" si="3"/>
        <v>1478303.2679833309</v>
      </c>
      <c r="O43" s="126">
        <f t="shared" si="4"/>
        <v>8641923.1574438717</v>
      </c>
      <c r="Q43" s="129">
        <f t="shared" si="5"/>
        <v>0</v>
      </c>
    </row>
    <row r="44" spans="1:17" x14ac:dyDescent="0.25">
      <c r="A44" s="28" t="s">
        <v>42</v>
      </c>
      <c r="B44" s="28" t="s">
        <v>485</v>
      </c>
      <c r="C44" s="28" t="s">
        <v>487</v>
      </c>
      <c r="D44" s="28" t="s">
        <v>525</v>
      </c>
      <c r="E44" s="28" t="s">
        <v>584</v>
      </c>
      <c r="F44" s="29">
        <v>2141672252.25</v>
      </c>
      <c r="G44" s="30">
        <v>1.0463168480298844E-2</v>
      </c>
      <c r="H44" s="29">
        <v>1845017.8881474913</v>
      </c>
      <c r="I44" s="29">
        <v>20563659.716725346</v>
      </c>
      <c r="J44" s="124">
        <f t="shared" si="6"/>
        <v>22408677.604872834</v>
      </c>
      <c r="K44" s="52" t="s">
        <v>75</v>
      </c>
      <c r="L44" s="108" t="s">
        <v>75</v>
      </c>
      <c r="M44" s="125">
        <f>VLOOKUP(L44,'РейтPD FRED Graph'!$R$4:$V$26,5,0)</f>
        <v>1.3022780738698629E-3</v>
      </c>
      <c r="N44" s="126">
        <f t="shared" si="3"/>
        <v>2789052.8155206614</v>
      </c>
      <c r="O44" s="126">
        <f t="shared" si="4"/>
        <v>25197730.420393497</v>
      </c>
      <c r="Q44" s="129">
        <f t="shared" si="5"/>
        <v>-3.0267983675003052E-9</v>
      </c>
    </row>
    <row r="45" spans="1:17" x14ac:dyDescent="0.25">
      <c r="A45" s="28" t="s">
        <v>42</v>
      </c>
      <c r="B45" s="28" t="s">
        <v>485</v>
      </c>
      <c r="C45" s="28" t="s">
        <v>160</v>
      </c>
      <c r="D45" s="28" t="s">
        <v>526</v>
      </c>
      <c r="E45" s="28" t="s">
        <v>585</v>
      </c>
      <c r="F45" s="29">
        <v>2040744205.54</v>
      </c>
      <c r="G45" s="30">
        <v>1.9110596344166456E-2</v>
      </c>
      <c r="H45" s="29">
        <v>3631335.1484085498</v>
      </c>
      <c r="I45" s="29">
        <v>35368503.605363049</v>
      </c>
      <c r="J45" s="124">
        <f t="shared" si="6"/>
        <v>38999838.753771603</v>
      </c>
      <c r="K45" s="52" t="s">
        <v>77</v>
      </c>
      <c r="L45" s="108" t="s">
        <v>79</v>
      </c>
      <c r="M45" s="125">
        <f>VLOOKUP(L45,'РейтPD FRED Graph'!$R$4:$V$26,5,0)</f>
        <v>4.2231023230869707E-3</v>
      </c>
      <c r="N45" s="126">
        <f t="shared" si="3"/>
        <v>8618271.5952422488</v>
      </c>
      <c r="O45" s="126">
        <f t="shared" si="4"/>
        <v>47618110.34901385</v>
      </c>
      <c r="Q45" s="129">
        <f t="shared" si="5"/>
        <v>4.6566128730773926E-9</v>
      </c>
    </row>
    <row r="46" spans="1:17" x14ac:dyDescent="0.25">
      <c r="A46" s="28" t="s">
        <v>42</v>
      </c>
      <c r="B46" s="28" t="s">
        <v>485</v>
      </c>
      <c r="C46" s="28" t="s">
        <v>341</v>
      </c>
      <c r="D46" s="28" t="s">
        <v>527</v>
      </c>
      <c r="E46" s="28" t="s">
        <v>586</v>
      </c>
      <c r="F46" s="29">
        <v>615660569.82000005</v>
      </c>
      <c r="G46" s="30">
        <v>5.8927158902003771E-2</v>
      </c>
      <c r="H46" s="29">
        <v>5153914.600815122</v>
      </c>
      <c r="I46" s="29">
        <v>31125213.626666211</v>
      </c>
      <c r="J46" s="124">
        <f t="shared" si="6"/>
        <v>36279128.227481328</v>
      </c>
      <c r="K46" s="52" t="s">
        <v>83</v>
      </c>
      <c r="L46" s="52" t="s">
        <v>83</v>
      </c>
      <c r="M46" s="125">
        <f>VLOOKUP(L46,'РейтPD FRED Graph'!$R$4:$V$26,5,0)</f>
        <v>1.337758602896655E-2</v>
      </c>
      <c r="N46" s="126">
        <f t="shared" si="3"/>
        <v>8236052.2374096178</v>
      </c>
      <c r="O46" s="126">
        <f t="shared" si="4"/>
        <v>44515180.464890942</v>
      </c>
      <c r="Q46" s="129">
        <f t="shared" si="5"/>
        <v>0</v>
      </c>
    </row>
    <row r="47" spans="1:17" x14ac:dyDescent="0.25">
      <c r="A47" s="28" t="s">
        <v>42</v>
      </c>
      <c r="B47" s="28" t="s">
        <v>485</v>
      </c>
      <c r="C47" s="28" t="s">
        <v>148</v>
      </c>
      <c r="D47" s="28" t="s">
        <v>528</v>
      </c>
      <c r="E47" s="28" t="s">
        <v>587</v>
      </c>
      <c r="F47" s="29">
        <v>1433118283.8600001</v>
      </c>
      <c r="G47" s="30">
        <v>1.0463168480298844E-2</v>
      </c>
      <c r="H47" s="29">
        <v>1234609.4818079951</v>
      </c>
      <c r="I47" s="29">
        <v>13760348.574415931</v>
      </c>
      <c r="J47" s="124">
        <f t="shared" si="6"/>
        <v>14994958.056223925</v>
      </c>
      <c r="K47" s="52" t="s">
        <v>75</v>
      </c>
      <c r="L47" s="52" t="s">
        <v>75</v>
      </c>
      <c r="M47" s="125">
        <f>VLOOKUP(L47,'РейтPD FRED Graph'!$R$4:$V$26,5,0)</f>
        <v>1.3022780738698629E-3</v>
      </c>
      <c r="N47" s="126">
        <f t="shared" si="3"/>
        <v>1866318.5183328844</v>
      </c>
      <c r="O47" s="126">
        <f t="shared" si="4"/>
        <v>16861276.574556809</v>
      </c>
      <c r="Q47" s="129">
        <f t="shared" si="5"/>
        <v>0</v>
      </c>
    </row>
    <row r="48" spans="1:17" x14ac:dyDescent="0.25">
      <c r="A48" s="28" t="s">
        <v>42</v>
      </c>
      <c r="B48" s="28" t="s">
        <v>485</v>
      </c>
      <c r="C48" s="28" t="s">
        <v>201</v>
      </c>
      <c r="D48" s="28" t="s">
        <v>529</v>
      </c>
      <c r="E48" s="28" t="s">
        <v>588</v>
      </c>
      <c r="F48" s="29">
        <v>1521339384.3599999</v>
      </c>
      <c r="G48" s="30">
        <v>1.0463168480298844E-2</v>
      </c>
      <c r="H48" s="29">
        <v>1310610.6105351169</v>
      </c>
      <c r="I48" s="29">
        <v>14607419.683737682</v>
      </c>
      <c r="J48" s="124">
        <f t="shared" si="6"/>
        <v>15918030.294272799</v>
      </c>
      <c r="K48" s="52" t="s">
        <v>75</v>
      </c>
      <c r="L48" s="108" t="s">
        <v>75</v>
      </c>
      <c r="M48" s="125">
        <f>VLOOKUP(L48,'РейтPD FRED Graph'!$R$4:$V$26,5,0)</f>
        <v>1.3022780738698629E-3</v>
      </c>
      <c r="N48" s="126">
        <f t="shared" si="3"/>
        <v>1981206.9231667037</v>
      </c>
      <c r="O48" s="126">
        <f t="shared" si="4"/>
        <v>17899237.217439502</v>
      </c>
      <c r="Q48" s="129">
        <f t="shared" si="5"/>
        <v>0</v>
      </c>
    </row>
    <row r="49" spans="1:17" x14ac:dyDescent="0.25">
      <c r="A49" s="28" t="s">
        <v>42</v>
      </c>
      <c r="B49" s="28" t="s">
        <v>485</v>
      </c>
      <c r="C49" s="28" t="s">
        <v>146</v>
      </c>
      <c r="D49" s="28" t="s">
        <v>530</v>
      </c>
      <c r="E49" s="28" t="s">
        <v>589</v>
      </c>
      <c r="F49" s="29">
        <v>302524545.44999999</v>
      </c>
      <c r="G49" s="30">
        <v>2.5480795125555275E-2</v>
      </c>
      <c r="H49" s="29">
        <v>717756.46823129628</v>
      </c>
      <c r="I49" s="29">
        <v>6990809.494831888</v>
      </c>
      <c r="J49" s="124">
        <f t="shared" si="6"/>
        <v>7708565.9630631851</v>
      </c>
      <c r="K49" s="52" t="s">
        <v>77</v>
      </c>
      <c r="L49" s="108" t="s">
        <v>79</v>
      </c>
      <c r="M49" s="125">
        <f>VLOOKUP(L49,'РейтPD FRED Graph'!$R$4:$V$26,5,0)</f>
        <v>4.2231023230869707E-3</v>
      </c>
      <c r="N49" s="126">
        <f t="shared" si="3"/>
        <v>1277592.1106807247</v>
      </c>
      <c r="O49" s="126">
        <f t="shared" si="4"/>
        <v>8986158.0737439096</v>
      </c>
      <c r="Q49" s="129">
        <f t="shared" si="5"/>
        <v>0</v>
      </c>
    </row>
    <row r="50" spans="1:17" x14ac:dyDescent="0.25">
      <c r="A50" s="28" t="s">
        <v>42</v>
      </c>
      <c r="B50" s="28" t="s">
        <v>485</v>
      </c>
      <c r="C50" s="28" t="s">
        <v>156</v>
      </c>
      <c r="D50" s="28" t="s">
        <v>531</v>
      </c>
      <c r="E50" s="28" t="s">
        <v>590</v>
      </c>
      <c r="F50" s="29">
        <v>1303367000</v>
      </c>
      <c r="G50" s="30">
        <v>7.6645829511292583E-3</v>
      </c>
      <c r="H50" s="29">
        <v>752294.65889814706</v>
      </c>
      <c r="I50" s="29">
        <v>9237469.8283663411</v>
      </c>
      <c r="J50" s="124">
        <f t="shared" si="6"/>
        <v>9989764.4872644879</v>
      </c>
      <c r="K50" s="52" t="s">
        <v>71</v>
      </c>
      <c r="L50" s="108" t="s">
        <v>71</v>
      </c>
      <c r="M50" s="125">
        <f>VLOOKUP(L50,'РейтPD FRED Graph'!$R$4:$V$26,5,0)</f>
        <v>5.996156082506462E-4</v>
      </c>
      <c r="N50" s="126">
        <f t="shared" si="3"/>
        <v>781519.19647881994</v>
      </c>
      <c r="O50" s="126">
        <f t="shared" si="4"/>
        <v>10771283.683743307</v>
      </c>
      <c r="Q50" s="129">
        <f t="shared" si="5"/>
        <v>0</v>
      </c>
    </row>
    <row r="51" spans="1:17" x14ac:dyDescent="0.25">
      <c r="A51" s="28" t="s">
        <v>42</v>
      </c>
      <c r="B51" s="28" t="s">
        <v>485</v>
      </c>
      <c r="C51" s="28" t="s">
        <v>139</v>
      </c>
      <c r="D51" s="28" t="s">
        <v>532</v>
      </c>
      <c r="E51" s="28" t="s">
        <v>591</v>
      </c>
      <c r="F51" s="29">
        <v>645816955.52999997</v>
      </c>
      <c r="G51" s="30">
        <v>5.8927158902003771E-2</v>
      </c>
      <c r="H51" s="29">
        <v>5406364.4802414142</v>
      </c>
      <c r="I51" s="29">
        <v>32649793.8798832</v>
      </c>
      <c r="J51" s="124">
        <f t="shared" si="6"/>
        <v>38056158.36012461</v>
      </c>
      <c r="K51" s="52" t="s">
        <v>83</v>
      </c>
      <c r="L51" s="108" t="s">
        <v>83</v>
      </c>
      <c r="M51" s="125">
        <f>VLOOKUP(L51,'РейтPD FRED Graph'!$R$4:$V$26,5,0)</f>
        <v>1.337758602896655E-2</v>
      </c>
      <c r="N51" s="126">
        <f t="shared" si="3"/>
        <v>8639471.8815678395</v>
      </c>
      <c r="O51" s="126">
        <f t="shared" si="4"/>
        <v>46695630.241692454</v>
      </c>
      <c r="Q51" s="129">
        <f t="shared" si="5"/>
        <v>0</v>
      </c>
    </row>
    <row r="52" spans="1:17" x14ac:dyDescent="0.25">
      <c r="A52" s="28" t="s">
        <v>42</v>
      </c>
      <c r="B52" s="28" t="s">
        <v>485</v>
      </c>
      <c r="C52" s="28" t="s">
        <v>161</v>
      </c>
      <c r="D52" s="28" t="s">
        <v>533</v>
      </c>
      <c r="E52" s="28" t="s">
        <v>592</v>
      </c>
      <c r="F52" s="29">
        <v>122706951.64</v>
      </c>
      <c r="G52" s="30">
        <v>2.5445769658936176E-2</v>
      </c>
      <c r="H52" s="29">
        <v>313812.19494260085</v>
      </c>
      <c r="I52" s="29">
        <v>2808560.6320390599</v>
      </c>
      <c r="J52" s="124">
        <f t="shared" si="6"/>
        <v>3122372.8269816609</v>
      </c>
      <c r="K52" s="52" t="s">
        <v>79</v>
      </c>
      <c r="L52" s="52" t="s">
        <v>79</v>
      </c>
      <c r="M52" s="125">
        <f>VLOOKUP(L52,'РейтPD FRED Graph'!$R$4:$V$26,5,0)</f>
        <v>4.2231023230869707E-3</v>
      </c>
      <c r="N52" s="126">
        <f t="shared" si="3"/>
        <v>518204.01252980455</v>
      </c>
      <c r="O52" s="126">
        <f t="shared" si="4"/>
        <v>3640576.8395114653</v>
      </c>
      <c r="Q52" s="129">
        <f t="shared" si="5"/>
        <v>0</v>
      </c>
    </row>
    <row r="53" spans="1:17" x14ac:dyDescent="0.25">
      <c r="A53" s="28" t="s">
        <v>42</v>
      </c>
      <c r="B53" s="28" t="s">
        <v>485</v>
      </c>
      <c r="C53" s="28" t="s">
        <v>162</v>
      </c>
      <c r="D53" s="28" t="s">
        <v>534</v>
      </c>
      <c r="E53" s="28" t="s">
        <v>593</v>
      </c>
      <c r="F53" s="29">
        <v>1060791763.64</v>
      </c>
      <c r="G53" s="30">
        <v>1.0463168480298844E-2</v>
      </c>
      <c r="H53" s="29">
        <v>913855.87942279666</v>
      </c>
      <c r="I53" s="29">
        <v>10185387.066055873</v>
      </c>
      <c r="J53" s="124">
        <f t="shared" si="6"/>
        <v>11099242.94547867</v>
      </c>
      <c r="K53" s="52" t="s">
        <v>75</v>
      </c>
      <c r="L53" s="108" t="s">
        <v>77</v>
      </c>
      <c r="M53" s="125">
        <f>VLOOKUP(L53,'РейтPD FRED Graph'!$R$4:$V$26,5,0)</f>
        <v>2.8789422845923352E-3</v>
      </c>
      <c r="N53" s="126">
        <f t="shared" si="3"/>
        <v>3053958.2634904739</v>
      </c>
      <c r="O53" s="126">
        <f t="shared" si="4"/>
        <v>14153201.208969144</v>
      </c>
      <c r="Q53" s="129">
        <f t="shared" si="5"/>
        <v>0</v>
      </c>
    </row>
    <row r="54" spans="1:17" x14ac:dyDescent="0.25">
      <c r="A54" s="28" t="s">
        <v>42</v>
      </c>
      <c r="B54" s="28" t="s">
        <v>485</v>
      </c>
      <c r="C54" s="28" t="s">
        <v>231</v>
      </c>
      <c r="D54" s="28" t="s">
        <v>535</v>
      </c>
      <c r="E54" s="28" t="s">
        <v>594</v>
      </c>
      <c r="F54" s="29">
        <v>309939352.04000002</v>
      </c>
      <c r="G54" s="30">
        <v>1.9110596344166456E-2</v>
      </c>
      <c r="H54" s="29">
        <v>551511.38485776423</v>
      </c>
      <c r="I54" s="29">
        <v>5371614.4631511802</v>
      </c>
      <c r="J54" s="124">
        <f t="shared" si="6"/>
        <v>5923125.8480089447</v>
      </c>
      <c r="K54" s="52" t="s">
        <v>77</v>
      </c>
      <c r="L54" s="108" t="s">
        <v>79</v>
      </c>
      <c r="M54" s="125">
        <f>VLOOKUP(L54,'РейтPD FRED Graph'!$R$4:$V$26,5,0)</f>
        <v>4.2231023230869707E-3</v>
      </c>
      <c r="N54" s="126">
        <f t="shared" si="3"/>
        <v>1308905.5976161945</v>
      </c>
      <c r="O54" s="126">
        <f t="shared" si="4"/>
        <v>7232031.4456251394</v>
      </c>
      <c r="Q54" s="129">
        <f t="shared" si="5"/>
        <v>0</v>
      </c>
    </row>
    <row r="55" spans="1:17" x14ac:dyDescent="0.25">
      <c r="A55" s="28" t="s">
        <v>42</v>
      </c>
      <c r="B55" s="28" t="s">
        <v>485</v>
      </c>
      <c r="C55" s="28" t="s">
        <v>231</v>
      </c>
      <c r="D55" s="28" t="s">
        <v>536</v>
      </c>
      <c r="E55" s="28" t="s">
        <v>595</v>
      </c>
      <c r="F55" s="29">
        <v>206775535.84</v>
      </c>
      <c r="G55" s="30">
        <v>1.9110596344166456E-2</v>
      </c>
      <c r="H55" s="29">
        <v>367939.92558617424</v>
      </c>
      <c r="I55" s="29">
        <v>3583663.8737007896</v>
      </c>
      <c r="J55" s="124">
        <f t="shared" si="6"/>
        <v>3951603.7992869643</v>
      </c>
      <c r="K55" s="52" t="s">
        <v>77</v>
      </c>
      <c r="L55" s="108" t="s">
        <v>79</v>
      </c>
      <c r="M55" s="125">
        <f>VLOOKUP(L55,'РейтPD FRED Graph'!$R$4:$V$26,5,0)</f>
        <v>4.2231023230869707E-3</v>
      </c>
      <c r="N55" s="126">
        <f t="shared" si="3"/>
        <v>873234.24576345715</v>
      </c>
      <c r="O55" s="126">
        <f t="shared" si="4"/>
        <v>4824838.0450504217</v>
      </c>
      <c r="Q55" s="129">
        <f t="shared" si="5"/>
        <v>4.6566128730773926E-10</v>
      </c>
    </row>
    <row r="56" spans="1:17" x14ac:dyDescent="0.25">
      <c r="A56" s="28" t="s">
        <v>42</v>
      </c>
      <c r="B56" s="28" t="s">
        <v>485</v>
      </c>
      <c r="C56" s="28" t="s">
        <v>461</v>
      </c>
      <c r="D56" s="28" t="s">
        <v>537</v>
      </c>
      <c r="E56" s="28" t="s">
        <v>596</v>
      </c>
      <c r="F56" s="29">
        <v>506480010</v>
      </c>
      <c r="G56" s="30">
        <v>5.8927158902003771E-2</v>
      </c>
      <c r="H56" s="29">
        <v>4239925.1251759967</v>
      </c>
      <c r="I56" s="29">
        <v>25605502.904782463</v>
      </c>
      <c r="J56" s="124">
        <f t="shared" si="6"/>
        <v>29845428.02995846</v>
      </c>
      <c r="K56" s="52" t="s">
        <v>83</v>
      </c>
      <c r="L56" s="52" t="s">
        <v>83</v>
      </c>
      <c r="M56" s="125">
        <f>VLOOKUP(L56,'РейтPD FRED Graph'!$R$4:$V$26,5,0)</f>
        <v>1.337758602896655E-2</v>
      </c>
      <c r="N56" s="126">
        <f t="shared" si="3"/>
        <v>6775479.9057268389</v>
      </c>
      <c r="O56" s="126">
        <f t="shared" si="4"/>
        <v>36620907.935685299</v>
      </c>
      <c r="Q56" s="129">
        <f t="shared" si="5"/>
        <v>0</v>
      </c>
    </row>
    <row r="57" spans="1:17" x14ac:dyDescent="0.25">
      <c r="A57" s="28" t="s">
        <v>42</v>
      </c>
      <c r="B57" s="28" t="s">
        <v>485</v>
      </c>
      <c r="C57" s="28" t="s">
        <v>462</v>
      </c>
      <c r="D57" s="28" t="s">
        <v>538</v>
      </c>
      <c r="E57" s="28" t="s">
        <v>597</v>
      </c>
      <c r="F57" s="29">
        <v>4105600000</v>
      </c>
      <c r="G57" s="30">
        <v>0.18839026735749886</v>
      </c>
      <c r="H57" s="29">
        <v>196567158.53364345</v>
      </c>
      <c r="I57" s="29">
        <v>576887923.12930381</v>
      </c>
      <c r="J57" s="124">
        <f t="shared" si="6"/>
        <v>773455081.6629473</v>
      </c>
      <c r="K57" s="52" t="s">
        <v>89</v>
      </c>
      <c r="L57" s="108" t="s">
        <v>89</v>
      </c>
      <c r="M57" s="125">
        <f>VLOOKUP(L57,'РейтPD FRED Graph'!$R$4:$V$26,5,0)</f>
        <v>4.2454060967724951E-2</v>
      </c>
      <c r="N57" s="126">
        <f t="shared" si="3"/>
        <v>174299392.70909154</v>
      </c>
      <c r="O57" s="126">
        <f t="shared" si="4"/>
        <v>947754474.37203884</v>
      </c>
      <c r="Q57" s="129">
        <f t="shared" si="5"/>
        <v>0</v>
      </c>
    </row>
    <row r="58" spans="1:17" x14ac:dyDescent="0.25">
      <c r="A58" s="28" t="s">
        <v>42</v>
      </c>
      <c r="B58" s="28" t="s">
        <v>485</v>
      </c>
      <c r="C58" s="28" t="s">
        <v>462</v>
      </c>
      <c r="D58" s="28" t="s">
        <v>539</v>
      </c>
      <c r="E58" s="28" t="s">
        <v>598</v>
      </c>
      <c r="F58" s="29">
        <v>1001500507.1</v>
      </c>
      <c r="G58" s="30">
        <v>0.18839026735749886</v>
      </c>
      <c r="H58" s="29">
        <v>47949656.311050765</v>
      </c>
      <c r="I58" s="29">
        <v>140723291.98018894</v>
      </c>
      <c r="J58" s="124">
        <f t="shared" si="6"/>
        <v>188672948.29123968</v>
      </c>
      <c r="K58" s="52" t="s">
        <v>89</v>
      </c>
      <c r="L58" s="108" t="s">
        <v>89</v>
      </c>
      <c r="M58" s="125">
        <f>VLOOKUP(L58,'РейтPD FRED Graph'!$R$4:$V$26,5,0)</f>
        <v>4.2454060967724951E-2</v>
      </c>
      <c r="N58" s="126">
        <f t="shared" si="3"/>
        <v>42517763.587630853</v>
      </c>
      <c r="O58" s="126">
        <f t="shared" si="4"/>
        <v>231190711.87887055</v>
      </c>
      <c r="Q58" s="129">
        <f t="shared" si="5"/>
        <v>0</v>
      </c>
    </row>
    <row r="59" spans="1:17" x14ac:dyDescent="0.25">
      <c r="A59" s="28" t="s">
        <v>42</v>
      </c>
      <c r="B59" s="28" t="s">
        <v>485</v>
      </c>
      <c r="C59" s="28" t="s">
        <v>480</v>
      </c>
      <c r="D59" s="28" t="s">
        <v>540</v>
      </c>
      <c r="E59" s="28" t="s">
        <v>599</v>
      </c>
      <c r="F59" s="29">
        <v>713846000</v>
      </c>
      <c r="G59" s="30">
        <v>7.8342193141718974E-2</v>
      </c>
      <c r="H59" s="29">
        <v>9500791.20953127</v>
      </c>
      <c r="I59" s="29">
        <v>46423469.995912246</v>
      </c>
      <c r="J59" s="124">
        <f t="shared" si="6"/>
        <v>55924261.205443524</v>
      </c>
      <c r="K59" s="52" t="s">
        <v>85</v>
      </c>
      <c r="L59" s="108" t="s">
        <v>85</v>
      </c>
      <c r="M59" s="125">
        <f>VLOOKUP(L59,'РейтPD FRED Graph'!$R$4:$V$26,5,0)</f>
        <v>1.9867957561441316E-2</v>
      </c>
      <c r="N59" s="126">
        <f t="shared" si="3"/>
        <v>14182662.033404637</v>
      </c>
      <c r="O59" s="126">
        <f t="shared" si="4"/>
        <v>70106923.238848165</v>
      </c>
      <c r="Q59" s="129">
        <f t="shared" si="5"/>
        <v>0</v>
      </c>
    </row>
    <row r="60" spans="1:17" x14ac:dyDescent="0.25">
      <c r="A60" s="28" t="s">
        <v>42</v>
      </c>
      <c r="B60" s="28" t="s">
        <v>434</v>
      </c>
      <c r="C60" s="28" t="s">
        <v>163</v>
      </c>
      <c r="D60" s="28" t="s">
        <v>541</v>
      </c>
      <c r="E60" s="28" t="s">
        <v>600</v>
      </c>
      <c r="F60" s="29">
        <v>780875642.56000018</v>
      </c>
      <c r="G60" s="30">
        <v>1.0463168480298844E-2</v>
      </c>
      <c r="H60" s="29">
        <v>672712.42246719298</v>
      </c>
      <c r="I60" s="29">
        <v>7497720.9877997078</v>
      </c>
      <c r="J60" s="124">
        <f t="shared" si="6"/>
        <v>8170433.4102669004</v>
      </c>
      <c r="K60" s="52" t="s">
        <v>75</v>
      </c>
      <c r="L60" s="108" t="s">
        <v>77</v>
      </c>
      <c r="M60" s="125">
        <f>VLOOKUP(L60,'РейтPD FRED Graph'!$R$4:$V$26,5,0)</f>
        <v>2.8789422845923352E-3</v>
      </c>
      <c r="N60" s="126">
        <f t="shared" si="3"/>
        <v>2248095.9063741947</v>
      </c>
      <c r="O60" s="126">
        <f t="shared" si="4"/>
        <v>10418529.316641096</v>
      </c>
      <c r="Q60" s="129">
        <f t="shared" si="5"/>
        <v>0</v>
      </c>
    </row>
    <row r="61" spans="1:17" x14ac:dyDescent="0.25">
      <c r="A61" s="28" t="s">
        <v>42</v>
      </c>
      <c r="B61" s="28" t="s">
        <v>486</v>
      </c>
      <c r="C61" s="28" t="s">
        <v>163</v>
      </c>
      <c r="D61" s="28" t="s">
        <v>542</v>
      </c>
      <c r="E61" s="28" t="s">
        <v>601</v>
      </c>
      <c r="F61" s="29">
        <v>958594765.95000005</v>
      </c>
      <c r="G61" s="30">
        <v>1.0463168480298844E-2</v>
      </c>
      <c r="H61" s="29">
        <v>825814.72902972181</v>
      </c>
      <c r="I61" s="29">
        <v>9204123.811437767</v>
      </c>
      <c r="J61" s="124">
        <f t="shared" si="6"/>
        <v>10029938.540467488</v>
      </c>
      <c r="K61" s="52" t="s">
        <v>75</v>
      </c>
      <c r="L61" s="108" t="s">
        <v>77</v>
      </c>
      <c r="M61" s="125">
        <f>VLOOKUP(L61,'РейтPD FRED Graph'!$R$4:$V$26,5,0)</f>
        <v>2.8789422845923352E-3</v>
      </c>
      <c r="N61" s="126">
        <f t="shared" si="3"/>
        <v>2759739.0054823481</v>
      </c>
      <c r="O61" s="126">
        <f t="shared" si="4"/>
        <v>12789677.545949835</v>
      </c>
      <c r="Q61" s="129">
        <f t="shared" si="5"/>
        <v>-1.1641532182693481E-9</v>
      </c>
    </row>
    <row r="62" spans="1:17" x14ac:dyDescent="0.25">
      <c r="A62" s="221" t="s">
        <v>483</v>
      </c>
      <c r="B62" s="221" t="s">
        <v>484</v>
      </c>
      <c r="C62" s="221" t="s">
        <v>137</v>
      </c>
      <c r="D62" s="221" t="s">
        <v>490</v>
      </c>
      <c r="E62" s="221" t="s">
        <v>549</v>
      </c>
      <c r="F62" s="222">
        <v>655891185.60000014</v>
      </c>
      <c r="G62" s="223">
        <v>3.3927692878581571E-2</v>
      </c>
      <c r="H62" s="222">
        <v>2236511.7308159145</v>
      </c>
      <c r="I62" s="222">
        <v>20016362.975989632</v>
      </c>
      <c r="J62" s="222">
        <f t="shared" si="6"/>
        <v>22252874.70680555</v>
      </c>
      <c r="K62" s="52" t="s">
        <v>79</v>
      </c>
      <c r="L62" s="109" t="s">
        <v>81</v>
      </c>
      <c r="M62" s="125">
        <f>VLOOKUP(L62,'РейтPD FRED Graph'!$R$4:$V$26,5,0)</f>
        <v>6.9958267116009875E-3</v>
      </c>
      <c r="N62" s="126">
        <f t="shared" ref="N62" si="7">M62*F62</f>
        <v>4588501.0761241224</v>
      </c>
      <c r="O62" s="126">
        <f t="shared" ref="O62" si="8">N62+J62</f>
        <v>26841375.782929674</v>
      </c>
      <c r="Q62" s="129">
        <f t="shared" si="5"/>
        <v>0</v>
      </c>
    </row>
    <row r="63" spans="1:17" x14ac:dyDescent="0.25">
      <c r="A63" s="28" t="s">
        <v>483</v>
      </c>
      <c r="B63" s="28" t="s">
        <v>484</v>
      </c>
      <c r="C63" s="28" t="s">
        <v>488</v>
      </c>
      <c r="D63" s="28" t="s">
        <v>543</v>
      </c>
      <c r="E63" s="28" t="s">
        <v>567</v>
      </c>
      <c r="F63" s="29">
        <v>654464213.27279997</v>
      </c>
      <c r="G63" s="30">
        <v>4.919714419657685E-2</v>
      </c>
      <c r="H63" s="29">
        <v>3668235.3656192929</v>
      </c>
      <c r="I63" s="29">
        <v>28529534.906261876</v>
      </c>
      <c r="J63" s="124">
        <f t="shared" si="6"/>
        <v>32197770.271881163</v>
      </c>
      <c r="K63" s="52" t="s">
        <v>81</v>
      </c>
      <c r="L63" s="108" t="s">
        <v>81</v>
      </c>
      <c r="M63" s="125">
        <f>VLOOKUP(L63,'РейтPD FRED Graph'!$R$4:$V$26,5,0)</f>
        <v>6.9958267116009875E-3</v>
      </c>
      <c r="N63" s="126">
        <f t="shared" si="3"/>
        <v>4578518.2250007791</v>
      </c>
      <c r="O63" s="126">
        <f t="shared" si="4"/>
        <v>36776288.496881939</v>
      </c>
      <c r="Q63" s="129">
        <f t="shared" si="5"/>
        <v>-6.0535967350006104E-9</v>
      </c>
    </row>
    <row r="64" spans="1:17" x14ac:dyDescent="0.25">
      <c r="A64" s="28" t="s">
        <v>483</v>
      </c>
      <c r="B64" s="28" t="s">
        <v>484</v>
      </c>
      <c r="C64" s="28" t="s">
        <v>488</v>
      </c>
      <c r="D64" s="28" t="s">
        <v>543</v>
      </c>
      <c r="E64" s="28" t="s">
        <v>602</v>
      </c>
      <c r="F64" s="29">
        <v>81565389.158399999</v>
      </c>
      <c r="G64" s="30">
        <v>4.919714419657685E-2</v>
      </c>
      <c r="H64" s="29">
        <v>457169.45106153196</v>
      </c>
      <c r="I64" s="29">
        <v>3555614.7608141792</v>
      </c>
      <c r="J64" s="124">
        <f t="shared" si="6"/>
        <v>4012784.2118757106</v>
      </c>
      <c r="K64" s="52" t="s">
        <v>81</v>
      </c>
      <c r="L64" s="108" t="s">
        <v>81</v>
      </c>
      <c r="M64" s="125">
        <f>VLOOKUP(L64,'РейтPD FRED Graph'!$R$4:$V$26,5,0)</f>
        <v>6.9958267116009875E-3</v>
      </c>
      <c r="N64" s="126">
        <f t="shared" si="3"/>
        <v>570617.32821646426</v>
      </c>
      <c r="O64" s="126">
        <f t="shared" si="4"/>
        <v>4583401.5400921749</v>
      </c>
      <c r="Q64" s="129">
        <f t="shared" si="5"/>
        <v>-5.2386894822120667E-10</v>
      </c>
    </row>
    <row r="65" spans="1:17" x14ac:dyDescent="0.25">
      <c r="A65" s="28" t="s">
        <v>483</v>
      </c>
      <c r="B65" s="28" t="s">
        <v>484</v>
      </c>
      <c r="C65" s="28" t="s">
        <v>145</v>
      </c>
      <c r="D65" s="28" t="s">
        <v>496</v>
      </c>
      <c r="E65" s="28" t="s">
        <v>555</v>
      </c>
      <c r="F65" s="29">
        <v>744855537.93228006</v>
      </c>
      <c r="G65" s="30">
        <v>2.5480795125555275E-2</v>
      </c>
      <c r="H65" s="29">
        <v>1767211.5809761833</v>
      </c>
      <c r="I65" s="29">
        <v>17212299.77921151</v>
      </c>
      <c r="J65" s="124">
        <f t="shared" si="6"/>
        <v>18979511.360187694</v>
      </c>
      <c r="K65" s="52" t="s">
        <v>77</v>
      </c>
      <c r="L65" s="108" t="s">
        <v>79</v>
      </c>
      <c r="M65" s="125">
        <f>VLOOKUP(L65,'РейтPD FRED Graph'!$R$4:$V$26,5,0)</f>
        <v>4.2231023230869707E-3</v>
      </c>
      <c r="N65" s="126">
        <f t="shared" si="3"/>
        <v>3145601.1526060072</v>
      </c>
      <c r="O65" s="126">
        <f t="shared" si="4"/>
        <v>22125112.512793701</v>
      </c>
      <c r="Q65" s="129">
        <f t="shared" si="5"/>
        <v>0</v>
      </c>
    </row>
    <row r="66" spans="1:17" x14ac:dyDescent="0.25">
      <c r="A66" s="28" t="s">
        <v>483</v>
      </c>
      <c r="B66" s="28" t="s">
        <v>484</v>
      </c>
      <c r="C66" s="28" t="s">
        <v>138</v>
      </c>
      <c r="D66" s="28" t="s">
        <v>544</v>
      </c>
      <c r="E66" s="28" t="s">
        <v>568</v>
      </c>
      <c r="F66" s="29">
        <v>310417751.03999996</v>
      </c>
      <c r="G66" s="30">
        <v>4.919714419657685E-2</v>
      </c>
      <c r="H66" s="29">
        <v>1739874.1587208761</v>
      </c>
      <c r="I66" s="29">
        <v>13531792.700371096</v>
      </c>
      <c r="J66" s="124">
        <f t="shared" si="6"/>
        <v>15271666.859091971</v>
      </c>
      <c r="K66" s="52" t="s">
        <v>81</v>
      </c>
      <c r="L66" s="108" t="s">
        <v>81</v>
      </c>
      <c r="M66" s="125">
        <f>VLOOKUP(L66,'РейтPD FRED Graph'!$R$4:$V$26,5,0)</f>
        <v>6.9958267116009875E-3</v>
      </c>
      <c r="N66" s="126">
        <f t="shared" ref="N66:N67" si="9">M66*F66</f>
        <v>2171628.7944807368</v>
      </c>
      <c r="O66" s="126">
        <f t="shared" ref="O66:O67" si="10">N66+J66</f>
        <v>17443295.653572708</v>
      </c>
      <c r="Q66" s="129">
        <f t="shared" si="5"/>
        <v>0</v>
      </c>
    </row>
    <row r="67" spans="1:17" x14ac:dyDescent="0.25">
      <c r="A67" s="28" t="s">
        <v>483</v>
      </c>
      <c r="B67" s="28" t="s">
        <v>484</v>
      </c>
      <c r="C67" s="28" t="s">
        <v>105</v>
      </c>
      <c r="D67" s="28" t="s">
        <v>545</v>
      </c>
      <c r="E67" s="28" t="s">
        <v>603</v>
      </c>
      <c r="F67" s="29">
        <v>195505574.40000001</v>
      </c>
      <c r="G67" s="30">
        <v>8.7229155996452999E-3</v>
      </c>
      <c r="H67" s="29">
        <v>136277.10669756634</v>
      </c>
      <c r="I67" s="29">
        <v>1569101.5180538085</v>
      </c>
      <c r="J67" s="124">
        <f t="shared" si="6"/>
        <v>1705378.6247513748</v>
      </c>
      <c r="K67" s="52" t="s">
        <v>73</v>
      </c>
      <c r="L67" s="108" t="s">
        <v>75</v>
      </c>
      <c r="M67" s="125">
        <f>VLOOKUP(L67,'РейтPD FRED Graph'!$R$4:$V$26,5,0)</f>
        <v>1.3022780738698629E-3</v>
      </c>
      <c r="N67" s="126">
        <f t="shared" si="9"/>
        <v>254602.62286045321</v>
      </c>
      <c r="O67" s="126">
        <f t="shared" si="10"/>
        <v>1959981.2476118281</v>
      </c>
      <c r="Q67" s="129">
        <f t="shared" si="5"/>
        <v>0</v>
      </c>
    </row>
    <row r="68" spans="1:17" x14ac:dyDescent="0.25">
      <c r="A68" s="28" t="s">
        <v>483</v>
      </c>
      <c r="B68" s="28" t="s">
        <v>484</v>
      </c>
      <c r="C68" s="28" t="s">
        <v>133</v>
      </c>
      <c r="D68" s="28" t="s">
        <v>546</v>
      </c>
      <c r="E68" s="28" t="s">
        <v>604</v>
      </c>
      <c r="F68" s="29">
        <v>117248163.84000002</v>
      </c>
      <c r="G68" s="30">
        <v>2.5445769658936176E-2</v>
      </c>
      <c r="H68" s="29">
        <v>299851.82710403198</v>
      </c>
      <c r="I68" s="29">
        <v>2683617.9429018185</v>
      </c>
      <c r="J68" s="124">
        <f t="shared" si="6"/>
        <v>2983469.7700058501</v>
      </c>
      <c r="K68" s="52" t="s">
        <v>79</v>
      </c>
      <c r="L68" s="108" t="s">
        <v>81</v>
      </c>
      <c r="M68" s="125">
        <f>VLOOKUP(L68,'РейтPD FRED Graph'!$R$4:$V$26,5,0)</f>
        <v>6.9958267116009875E-3</v>
      </c>
      <c r="N68" s="126">
        <f t="shared" ref="N68:N70" si="11">M68*F68</f>
        <v>820247.83647804114</v>
      </c>
      <c r="O68" s="126">
        <f t="shared" ref="O68:O70" si="12">N68+J68</f>
        <v>3803717.6064838911</v>
      </c>
      <c r="Q68" s="129">
        <f t="shared" si="5"/>
        <v>0</v>
      </c>
    </row>
    <row r="69" spans="1:17" x14ac:dyDescent="0.25">
      <c r="A69" s="28" t="s">
        <v>483</v>
      </c>
      <c r="B69" s="28" t="s">
        <v>484</v>
      </c>
      <c r="C69" s="28" t="s">
        <v>133</v>
      </c>
      <c r="D69" s="28" t="s">
        <v>547</v>
      </c>
      <c r="E69" s="28" t="s">
        <v>605</v>
      </c>
      <c r="F69" s="29">
        <v>357240499.19999999</v>
      </c>
      <c r="G69" s="30">
        <v>2.5445769658936176E-2</v>
      </c>
      <c r="H69" s="29">
        <v>913611.03570759716</v>
      </c>
      <c r="I69" s="29">
        <v>8176648.4197789766</v>
      </c>
      <c r="J69" s="124">
        <f t="shared" si="6"/>
        <v>9090259.4554865733</v>
      </c>
      <c r="K69" s="52" t="s">
        <v>79</v>
      </c>
      <c r="L69" s="108" t="s">
        <v>81</v>
      </c>
      <c r="M69" s="125">
        <f>VLOOKUP(L69,'РейтPD FRED Graph'!$R$4:$V$26,5,0)</f>
        <v>6.9958267116009875E-3</v>
      </c>
      <c r="N69" s="126">
        <f t="shared" si="11"/>
        <v>2499192.6267690309</v>
      </c>
      <c r="O69" s="126">
        <f t="shared" si="12"/>
        <v>11589452.082255604</v>
      </c>
      <c r="Q69" s="129">
        <f t="shared" si="5"/>
        <v>0</v>
      </c>
    </row>
    <row r="70" spans="1:17" x14ac:dyDescent="0.25">
      <c r="A70" s="28"/>
      <c r="B70" s="28"/>
      <c r="C70" s="28"/>
      <c r="D70" s="28"/>
      <c r="E70" s="28"/>
      <c r="F70" s="29"/>
      <c r="G70" s="30"/>
      <c r="H70" s="29"/>
      <c r="I70" s="29"/>
      <c r="J70" s="124"/>
      <c r="K70" s="52"/>
      <c r="L70" s="108"/>
      <c r="M70" s="125" t="e">
        <f>VLOOKUP(L70,'РейтPD FRED Graph'!$R$4:$V$26,5,0)</f>
        <v>#N/A</v>
      </c>
      <c r="N70" s="126" t="e">
        <f t="shared" si="11"/>
        <v>#N/A</v>
      </c>
      <c r="O70" s="126" t="e">
        <f t="shared" si="12"/>
        <v>#N/A</v>
      </c>
      <c r="Q70" s="129">
        <f t="shared" si="5"/>
        <v>0</v>
      </c>
    </row>
    <row r="71" spans="1:17" x14ac:dyDescent="0.25">
      <c r="A71" s="28"/>
      <c r="B71" s="28"/>
      <c r="C71" s="28"/>
      <c r="D71" s="28"/>
      <c r="E71" s="28"/>
      <c r="F71" s="29"/>
      <c r="G71" s="30"/>
      <c r="H71" s="29"/>
      <c r="I71" s="29"/>
      <c r="J71" s="124"/>
      <c r="K71" s="52"/>
      <c r="L71" s="109"/>
      <c r="M71" s="125"/>
      <c r="N71" s="126"/>
      <c r="O71" s="126"/>
      <c r="Q71" s="129">
        <f t="shared" si="5"/>
        <v>0</v>
      </c>
    </row>
    <row r="72" spans="1:17" x14ac:dyDescent="0.25">
      <c r="A72" s="28"/>
      <c r="B72" s="28"/>
      <c r="C72" s="28"/>
      <c r="D72" s="28"/>
      <c r="E72" s="28"/>
      <c r="F72" s="29"/>
      <c r="G72" s="30"/>
      <c r="H72" s="29"/>
      <c r="I72" s="29"/>
      <c r="J72" s="124"/>
      <c r="K72" s="52"/>
      <c r="L72" s="108"/>
      <c r="M72" s="125"/>
      <c r="N72" s="126"/>
      <c r="O72" s="126"/>
      <c r="Q72" s="129">
        <f t="shared" si="5"/>
        <v>0</v>
      </c>
    </row>
    <row r="73" spans="1:17" x14ac:dyDescent="0.25">
      <c r="A73" s="28"/>
      <c r="B73" s="28"/>
      <c r="C73" s="28"/>
      <c r="D73" s="28"/>
      <c r="E73" s="28"/>
      <c r="F73" s="29"/>
      <c r="G73" s="30"/>
      <c r="H73" s="29"/>
      <c r="I73" s="29"/>
      <c r="J73" s="124"/>
      <c r="K73" s="52"/>
      <c r="L73" s="108"/>
      <c r="M73" s="125"/>
      <c r="N73" s="126"/>
      <c r="O73" s="126"/>
      <c r="Q73" s="129">
        <f t="shared" ref="Q73:Q100" si="13">J73-I73-H73</f>
        <v>0</v>
      </c>
    </row>
    <row r="74" spans="1:17" x14ac:dyDescent="0.25">
      <c r="A74" s="28"/>
      <c r="B74" s="28"/>
      <c r="C74" s="28"/>
      <c r="D74" s="28"/>
      <c r="E74" s="28"/>
      <c r="F74" s="29"/>
      <c r="G74" s="30"/>
      <c r="H74" s="29"/>
      <c r="I74" s="29"/>
      <c r="J74" s="29"/>
      <c r="K74" s="52"/>
      <c r="L74" s="108"/>
      <c r="M74" s="29"/>
      <c r="N74" s="29"/>
      <c r="O74" s="29"/>
      <c r="Q74" s="129">
        <f t="shared" si="13"/>
        <v>0</v>
      </c>
    </row>
    <row r="75" spans="1:17" x14ac:dyDescent="0.25">
      <c r="A75" s="28"/>
      <c r="B75" s="28"/>
      <c r="C75" s="28"/>
      <c r="D75" s="28"/>
      <c r="E75" s="28"/>
      <c r="F75" s="29"/>
      <c r="G75" s="30"/>
      <c r="H75" s="29"/>
      <c r="I75" s="29"/>
      <c r="J75" s="29"/>
      <c r="K75" s="52"/>
      <c r="L75" s="108"/>
      <c r="M75" s="29"/>
      <c r="N75" s="29"/>
      <c r="O75" s="29"/>
      <c r="Q75" s="129">
        <f t="shared" si="13"/>
        <v>0</v>
      </c>
    </row>
    <row r="76" spans="1:17" x14ac:dyDescent="0.25">
      <c r="A76" s="28"/>
      <c r="B76" s="28"/>
      <c r="C76" s="28"/>
      <c r="D76" s="28"/>
      <c r="E76" s="28"/>
      <c r="F76" s="29"/>
      <c r="G76" s="30"/>
      <c r="H76" s="29"/>
      <c r="I76" s="29"/>
      <c r="J76" s="29"/>
      <c r="K76" s="52"/>
      <c r="L76" s="108"/>
      <c r="M76" s="29"/>
      <c r="N76" s="29"/>
      <c r="O76" s="29"/>
      <c r="Q76" s="129">
        <f t="shared" si="13"/>
        <v>0</v>
      </c>
    </row>
    <row r="77" spans="1:17" x14ac:dyDescent="0.25">
      <c r="A77" s="28"/>
      <c r="B77" s="28"/>
      <c r="C77" s="28"/>
      <c r="D77" s="28"/>
      <c r="E77" s="28"/>
      <c r="F77" s="29"/>
      <c r="G77" s="30"/>
      <c r="H77" s="29"/>
      <c r="I77" s="29"/>
      <c r="J77" s="29"/>
      <c r="K77" s="52"/>
      <c r="L77" s="108"/>
      <c r="M77" s="29"/>
      <c r="N77" s="29"/>
      <c r="O77" s="29"/>
      <c r="Q77" s="129">
        <f t="shared" si="13"/>
        <v>0</v>
      </c>
    </row>
    <row r="78" spans="1:17" x14ac:dyDescent="0.25">
      <c r="A78" s="28"/>
      <c r="B78" s="28"/>
      <c r="C78" s="28"/>
      <c r="D78" s="28"/>
      <c r="E78" s="28"/>
      <c r="F78" s="29"/>
      <c r="G78" s="30"/>
      <c r="H78" s="29"/>
      <c r="I78" s="29"/>
      <c r="J78" s="29"/>
      <c r="K78" s="52"/>
      <c r="L78" s="108"/>
      <c r="M78" s="29"/>
      <c r="N78" s="29"/>
      <c r="O78" s="29"/>
      <c r="Q78" s="129">
        <f t="shared" si="13"/>
        <v>0</v>
      </c>
    </row>
    <row r="79" spans="1:17" x14ac:dyDescent="0.25">
      <c r="A79" s="28"/>
      <c r="B79" s="28"/>
      <c r="C79" s="28"/>
      <c r="D79" s="28"/>
      <c r="E79" s="28"/>
      <c r="F79" s="29"/>
      <c r="G79" s="30"/>
      <c r="H79" s="29"/>
      <c r="I79" s="29"/>
      <c r="J79" s="29"/>
      <c r="K79" s="52"/>
      <c r="L79" s="81"/>
      <c r="M79" s="81"/>
      <c r="N79" s="81"/>
      <c r="O79" s="81"/>
      <c r="Q79" s="129">
        <f t="shared" si="13"/>
        <v>0</v>
      </c>
    </row>
    <row r="80" spans="1:17" x14ac:dyDescent="0.25">
      <c r="A80" s="28"/>
      <c r="B80" s="28"/>
      <c r="C80" s="28"/>
      <c r="D80" s="28"/>
      <c r="E80" s="28"/>
      <c r="F80" s="29"/>
      <c r="G80" s="30"/>
      <c r="H80" s="29"/>
      <c r="I80" s="29"/>
      <c r="J80" s="29"/>
      <c r="K80" s="52"/>
      <c r="L80" s="81"/>
      <c r="M80" s="81"/>
      <c r="N80" s="81"/>
      <c r="O80" s="81"/>
      <c r="Q80" s="129">
        <f t="shared" si="13"/>
        <v>0</v>
      </c>
    </row>
    <row r="81" spans="1:17" x14ac:dyDescent="0.25">
      <c r="A81" s="28"/>
      <c r="B81" s="28"/>
      <c r="C81" s="28"/>
      <c r="D81" s="28"/>
      <c r="E81" s="28"/>
      <c r="F81" s="29"/>
      <c r="G81" s="30"/>
      <c r="H81" s="29"/>
      <c r="I81" s="29"/>
      <c r="J81" s="29"/>
      <c r="K81" s="52"/>
      <c r="L81" s="81"/>
      <c r="M81" s="81"/>
      <c r="N81" s="81"/>
      <c r="O81" s="81"/>
      <c r="Q81" s="129">
        <f t="shared" si="13"/>
        <v>0</v>
      </c>
    </row>
    <row r="82" spans="1:17" x14ac:dyDescent="0.25">
      <c r="A82" s="28"/>
      <c r="B82" s="28"/>
      <c r="C82" s="28"/>
      <c r="D82" s="28"/>
      <c r="E82" s="28"/>
      <c r="F82" s="29"/>
      <c r="G82" s="30"/>
      <c r="H82" s="29"/>
      <c r="I82" s="29"/>
      <c r="J82" s="29"/>
      <c r="K82" s="52"/>
      <c r="L82" s="81"/>
      <c r="M82" s="81"/>
      <c r="N82" s="81"/>
      <c r="O82" s="81"/>
      <c r="Q82" s="129">
        <f t="shared" si="13"/>
        <v>0</v>
      </c>
    </row>
    <row r="83" spans="1:17" x14ac:dyDescent="0.25">
      <c r="A83" s="28"/>
      <c r="B83" s="28"/>
      <c r="C83" s="28"/>
      <c r="D83" s="28"/>
      <c r="E83" s="28"/>
      <c r="F83" s="29"/>
      <c r="G83" s="30"/>
      <c r="H83" s="29"/>
      <c r="I83" s="29"/>
      <c r="J83" s="29"/>
      <c r="K83" s="52"/>
      <c r="L83" s="81"/>
      <c r="M83" s="81"/>
      <c r="N83" s="81"/>
      <c r="O83" s="81"/>
      <c r="Q83" s="129">
        <f t="shared" si="13"/>
        <v>0</v>
      </c>
    </row>
    <row r="84" spans="1:17" x14ac:dyDescent="0.25">
      <c r="A84" s="28"/>
      <c r="B84" s="28"/>
      <c r="C84" s="28"/>
      <c r="D84" s="28"/>
      <c r="E84" s="28"/>
      <c r="F84" s="29"/>
      <c r="G84" s="30"/>
      <c r="H84" s="29"/>
      <c r="I84" s="29"/>
      <c r="J84" s="29"/>
      <c r="K84" s="52"/>
      <c r="L84" s="81"/>
      <c r="M84" s="81"/>
      <c r="N84" s="81"/>
      <c r="O84" s="81"/>
      <c r="Q84" s="129">
        <f t="shared" si="13"/>
        <v>0</v>
      </c>
    </row>
    <row r="85" spans="1:17" x14ac:dyDescent="0.25">
      <c r="A85" s="28"/>
      <c r="B85" s="28"/>
      <c r="C85" s="28"/>
      <c r="D85" s="28"/>
      <c r="E85" s="28"/>
      <c r="F85" s="29"/>
      <c r="G85" s="30"/>
      <c r="H85" s="29"/>
      <c r="I85" s="29"/>
      <c r="J85" s="29"/>
      <c r="K85" s="52"/>
      <c r="L85" s="81"/>
      <c r="M85" s="81"/>
      <c r="N85" s="81"/>
      <c r="O85" s="81"/>
      <c r="Q85" s="129">
        <f t="shared" si="13"/>
        <v>0</v>
      </c>
    </row>
    <row r="86" spans="1:17" x14ac:dyDescent="0.25">
      <c r="A86" s="28"/>
      <c r="B86" s="28"/>
      <c r="C86" s="28"/>
      <c r="D86" s="28"/>
      <c r="E86" s="28"/>
      <c r="F86" s="29"/>
      <c r="G86" s="30"/>
      <c r="H86" s="29"/>
      <c r="I86" s="29"/>
      <c r="J86" s="29"/>
      <c r="K86" s="52"/>
      <c r="L86" s="81"/>
      <c r="M86" s="81"/>
      <c r="N86" s="81"/>
      <c r="O86" s="81"/>
      <c r="Q86" s="129">
        <f t="shared" si="13"/>
        <v>0</v>
      </c>
    </row>
    <row r="87" spans="1:17" x14ac:dyDescent="0.25">
      <c r="A87" s="28"/>
      <c r="B87" s="28"/>
      <c r="C87" s="28"/>
      <c r="D87" s="28"/>
      <c r="E87" s="28"/>
      <c r="F87" s="29"/>
      <c r="G87" s="30"/>
      <c r="H87" s="29"/>
      <c r="I87" s="29"/>
      <c r="J87" s="29"/>
      <c r="K87" s="52"/>
      <c r="L87" s="81"/>
      <c r="M87" s="81"/>
      <c r="N87" s="81"/>
      <c r="O87" s="81"/>
      <c r="Q87" s="129">
        <f t="shared" si="13"/>
        <v>0</v>
      </c>
    </row>
    <row r="88" spans="1:17" x14ac:dyDescent="0.25">
      <c r="A88" s="28"/>
      <c r="B88" s="28"/>
      <c r="C88" s="28"/>
      <c r="D88" s="28"/>
      <c r="E88" s="28"/>
      <c r="F88" s="29"/>
      <c r="G88" s="30"/>
      <c r="H88" s="29"/>
      <c r="I88" s="29"/>
      <c r="J88" s="29"/>
      <c r="K88" s="52"/>
      <c r="L88" s="81"/>
      <c r="M88" s="81"/>
      <c r="N88" s="81"/>
      <c r="O88" s="81"/>
      <c r="Q88" s="129">
        <f t="shared" si="13"/>
        <v>0</v>
      </c>
    </row>
    <row r="89" spans="1:17" x14ac:dyDescent="0.25">
      <c r="A89" s="28"/>
      <c r="B89" s="28"/>
      <c r="C89" s="28"/>
      <c r="D89" s="28"/>
      <c r="E89" s="28"/>
      <c r="F89" s="29"/>
      <c r="G89" s="30"/>
      <c r="H89" s="29"/>
      <c r="I89" s="29"/>
      <c r="J89" s="29"/>
      <c r="K89" s="52"/>
      <c r="L89" s="81"/>
      <c r="M89" s="81"/>
      <c r="N89" s="81"/>
      <c r="O89" s="81"/>
      <c r="Q89" s="129">
        <f t="shared" si="13"/>
        <v>0</v>
      </c>
    </row>
    <row r="90" spans="1:17" x14ac:dyDescent="0.25">
      <c r="A90" s="28"/>
      <c r="B90" s="28"/>
      <c r="C90" s="28"/>
      <c r="D90" s="28"/>
      <c r="E90" s="28"/>
      <c r="F90" s="29"/>
      <c r="G90" s="30"/>
      <c r="H90" s="29"/>
      <c r="I90" s="29"/>
      <c r="J90" s="29"/>
      <c r="K90" s="52"/>
      <c r="L90" s="81"/>
      <c r="M90" s="81"/>
      <c r="N90" s="81"/>
      <c r="O90" s="81"/>
      <c r="Q90" s="129">
        <f t="shared" si="13"/>
        <v>0</v>
      </c>
    </row>
    <row r="91" spans="1:17" x14ac:dyDescent="0.25">
      <c r="A91" s="28"/>
      <c r="B91" s="28"/>
      <c r="C91" s="28"/>
      <c r="D91" s="28"/>
      <c r="E91" s="28"/>
      <c r="F91" s="29"/>
      <c r="G91" s="30"/>
      <c r="H91" s="29"/>
      <c r="I91" s="29"/>
      <c r="J91" s="29"/>
      <c r="K91" s="52"/>
      <c r="L91" s="81"/>
      <c r="M91" s="81"/>
      <c r="N91" s="81"/>
      <c r="O91" s="81"/>
      <c r="Q91" s="129">
        <f t="shared" si="13"/>
        <v>0</v>
      </c>
    </row>
    <row r="92" spans="1:17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81"/>
      <c r="M92" s="81"/>
      <c r="N92" s="81"/>
      <c r="O92" s="81"/>
      <c r="Q92" s="129">
        <f t="shared" si="13"/>
        <v>0</v>
      </c>
    </row>
    <row r="93" spans="1:17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81"/>
      <c r="M93" s="81"/>
      <c r="N93" s="81"/>
      <c r="O93" s="81"/>
      <c r="Q93" s="129">
        <f t="shared" si="13"/>
        <v>0</v>
      </c>
    </row>
    <row r="94" spans="1:17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81"/>
      <c r="M94" s="81"/>
      <c r="N94" s="81"/>
      <c r="O94" s="81"/>
      <c r="Q94" s="129">
        <f t="shared" si="13"/>
        <v>0</v>
      </c>
    </row>
    <row r="95" spans="1:17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81"/>
      <c r="M95" s="81"/>
      <c r="N95" s="81"/>
      <c r="O95" s="81"/>
      <c r="Q95" s="129">
        <f t="shared" si="13"/>
        <v>0</v>
      </c>
    </row>
    <row r="96" spans="1:17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81"/>
      <c r="M96" s="81"/>
      <c r="N96" s="81"/>
      <c r="O96" s="81"/>
      <c r="Q96" s="129">
        <f t="shared" si="13"/>
        <v>0</v>
      </c>
    </row>
    <row r="97" spans="1:17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81"/>
      <c r="M97" s="81"/>
      <c r="N97" s="81"/>
      <c r="O97" s="81"/>
      <c r="Q97" s="129">
        <f t="shared" si="13"/>
        <v>0</v>
      </c>
    </row>
    <row r="98" spans="1:17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81"/>
      <c r="M98" s="81"/>
      <c r="N98" s="81"/>
      <c r="O98" s="81"/>
      <c r="Q98" s="129">
        <f t="shared" si="13"/>
        <v>0</v>
      </c>
    </row>
    <row r="99" spans="1:17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81"/>
      <c r="M99" s="81"/>
      <c r="N99" s="81"/>
      <c r="O99" s="81"/>
      <c r="Q99" s="129">
        <f t="shared" si="13"/>
        <v>0</v>
      </c>
    </row>
    <row r="100" spans="1:17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81"/>
      <c r="M100" s="81"/>
      <c r="N100" s="81"/>
      <c r="O100" s="81"/>
      <c r="Q100" s="129">
        <f t="shared" si="13"/>
        <v>0</v>
      </c>
    </row>
  </sheetData>
  <autoFilter ref="A7:O73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33"/>
  <sheetViews>
    <sheetView zoomScale="90" zoomScaleNormal="90" workbookViewId="0">
      <selection activeCell="E18" sqref="E18"/>
    </sheetView>
  </sheetViews>
  <sheetFormatPr defaultColWidth="12.85546875" defaultRowHeight="12.75" x14ac:dyDescent="0.25"/>
  <cols>
    <col min="1" max="1" width="28.5703125" style="27" customWidth="1"/>
    <col min="2" max="2" width="24.7109375" style="27" customWidth="1"/>
    <col min="3" max="3" width="25.42578125" style="27" customWidth="1"/>
    <col min="4" max="4" width="18.5703125" style="27" customWidth="1"/>
    <col min="5" max="5" width="22.7109375" style="27" customWidth="1"/>
    <col min="6" max="6" width="12.85546875" style="27"/>
    <col min="7" max="7" width="15.5703125" style="27" customWidth="1"/>
    <col min="8" max="8" width="14.5703125" style="27" customWidth="1"/>
    <col min="9" max="9" width="12.85546875" style="27"/>
    <col min="10" max="10" width="14.7109375" style="27" customWidth="1"/>
    <col min="11" max="14" width="14.7109375" style="79" bestFit="1" customWidth="1"/>
    <col min="15" max="15" width="12.85546875" style="27"/>
    <col min="16" max="16" width="12.85546875" style="128"/>
    <col min="17" max="17" width="29.5703125" style="27" customWidth="1"/>
    <col min="18" max="16384" width="12.85546875" style="27"/>
  </cols>
  <sheetData>
    <row r="1" spans="1:3" x14ac:dyDescent="0.2">
      <c r="A1" s="143"/>
      <c r="B1" s="151"/>
      <c r="C1" s="143"/>
    </row>
    <row r="2" spans="1:3" x14ac:dyDescent="0.2">
      <c r="A2" s="156" t="s">
        <v>71</v>
      </c>
      <c r="B2" s="140">
        <f>SUMIF($K$21:$K$33,A2,$E$21:$E$33)</f>
        <v>0</v>
      </c>
      <c r="C2" s="194">
        <f>B2/$B$13</f>
        <v>0</v>
      </c>
    </row>
    <row r="3" spans="1:3" x14ac:dyDescent="0.2">
      <c r="A3" s="139" t="s">
        <v>73</v>
      </c>
      <c r="B3" s="140">
        <f t="shared" ref="B3:B12" si="0">SUMIF($K$21:$K$33,A3,$E$21:$E$33)</f>
        <v>0</v>
      </c>
      <c r="C3" s="194">
        <f t="shared" ref="C3:C12" si="1">B3/$B$13</f>
        <v>0</v>
      </c>
    </row>
    <row r="4" spans="1:3" x14ac:dyDescent="0.2">
      <c r="A4" s="139" t="s">
        <v>75</v>
      </c>
      <c r="B4" s="140">
        <f t="shared" si="0"/>
        <v>8429550574.4399996</v>
      </c>
      <c r="C4" s="194">
        <f t="shared" si="1"/>
        <v>0.12282629363399448</v>
      </c>
    </row>
    <row r="5" spans="1:3" x14ac:dyDescent="0.2">
      <c r="A5" s="139" t="s">
        <v>77</v>
      </c>
      <c r="B5" s="140">
        <f t="shared" si="0"/>
        <v>59603720221.840004</v>
      </c>
      <c r="C5" s="194">
        <f t="shared" si="1"/>
        <v>0.868480944149567</v>
      </c>
    </row>
    <row r="6" spans="1:3" x14ac:dyDescent="0.2">
      <c r="A6" s="156" t="s">
        <v>79</v>
      </c>
      <c r="B6" s="140">
        <f t="shared" si="0"/>
        <v>0</v>
      </c>
      <c r="C6" s="194">
        <f t="shared" si="1"/>
        <v>0</v>
      </c>
    </row>
    <row r="7" spans="1:3" x14ac:dyDescent="0.2">
      <c r="A7" s="157" t="s">
        <v>81</v>
      </c>
      <c r="B7" s="140">
        <f t="shared" si="0"/>
        <v>0</v>
      </c>
      <c r="C7" s="194">
        <f t="shared" si="1"/>
        <v>0</v>
      </c>
    </row>
    <row r="8" spans="1:3" x14ac:dyDescent="0.2">
      <c r="A8" s="157" t="s">
        <v>83</v>
      </c>
      <c r="B8" s="140">
        <f t="shared" si="0"/>
        <v>596583000</v>
      </c>
      <c r="C8" s="194">
        <f t="shared" si="1"/>
        <v>8.6927622164384832E-3</v>
      </c>
    </row>
    <row r="9" spans="1:3" x14ac:dyDescent="0.2">
      <c r="A9" s="156" t="s">
        <v>85</v>
      </c>
      <c r="B9" s="140">
        <f t="shared" si="0"/>
        <v>0</v>
      </c>
      <c r="C9" s="194">
        <f t="shared" si="1"/>
        <v>0</v>
      </c>
    </row>
    <row r="10" spans="1:3" x14ac:dyDescent="0.2">
      <c r="A10" s="156" t="s">
        <v>87</v>
      </c>
      <c r="B10" s="140">
        <f t="shared" si="0"/>
        <v>0</v>
      </c>
      <c r="C10" s="194">
        <f t="shared" si="1"/>
        <v>0</v>
      </c>
    </row>
    <row r="11" spans="1:3" x14ac:dyDescent="0.2">
      <c r="A11" s="156" t="s">
        <v>89</v>
      </c>
      <c r="B11" s="140">
        <f t="shared" si="0"/>
        <v>0</v>
      </c>
      <c r="C11" s="194">
        <f t="shared" si="1"/>
        <v>0</v>
      </c>
    </row>
    <row r="12" spans="1:3" x14ac:dyDescent="0.2">
      <c r="A12" s="156" t="s">
        <v>116</v>
      </c>
      <c r="B12" s="140">
        <f t="shared" si="0"/>
        <v>0</v>
      </c>
      <c r="C12" s="194">
        <f t="shared" si="1"/>
        <v>0</v>
      </c>
    </row>
    <row r="13" spans="1:3" x14ac:dyDescent="0.2">
      <c r="A13" s="181"/>
      <c r="B13" s="148">
        <f>SUM(B2:B12)</f>
        <v>68629853796.280006</v>
      </c>
      <c r="C13" s="143"/>
    </row>
    <row r="14" spans="1:3" x14ac:dyDescent="0.25">
      <c r="A14" s="128" t="s">
        <v>430</v>
      </c>
      <c r="B14" s="225">
        <f>B13-E18</f>
        <v>0</v>
      </c>
    </row>
    <row r="17" spans="1:16" x14ac:dyDescent="0.25">
      <c r="A17" s="235" t="s">
        <v>474</v>
      </c>
      <c r="B17" s="235"/>
      <c r="C17" s="236"/>
      <c r="D17" s="60"/>
      <c r="E17" s="33" t="s">
        <v>107</v>
      </c>
      <c r="I17" s="34" t="s">
        <v>108</v>
      </c>
      <c r="J17" s="34"/>
      <c r="K17" s="34"/>
      <c r="L17" s="34"/>
      <c r="M17" s="34"/>
      <c r="N17" s="122" t="str">
        <f>N20</f>
        <v>Стрессс итог</v>
      </c>
      <c r="O17" s="122" t="s">
        <v>195</v>
      </c>
    </row>
    <row r="18" spans="1:16" x14ac:dyDescent="0.25">
      <c r="A18" s="233"/>
      <c r="B18" s="233"/>
      <c r="C18" s="233"/>
      <c r="D18" s="218"/>
      <c r="E18" s="36">
        <f>SUM(E21:E33)</f>
        <v>68629853796.280006</v>
      </c>
      <c r="F18" s="36"/>
      <c r="G18" s="36"/>
      <c r="H18" s="36"/>
      <c r="I18" s="36">
        <f>SUM(I21:I33)</f>
        <v>758716829.59291828</v>
      </c>
      <c r="J18" s="131">
        <f>I18/E18</f>
        <v>1.1055201018569612E-2</v>
      </c>
      <c r="K18" s="36"/>
      <c r="L18" s="36"/>
      <c r="M18" s="36"/>
      <c r="N18" s="36">
        <f>SUM(N21:N33)</f>
        <v>949270959.35017407</v>
      </c>
      <c r="O18" s="131">
        <f>N18/E18</f>
        <v>1.3831749695518484E-2</v>
      </c>
    </row>
    <row r="20" spans="1:16" ht="30.75" customHeight="1" x14ac:dyDescent="0.25">
      <c r="A20" s="28" t="s">
        <v>221</v>
      </c>
      <c r="B20" s="28" t="s">
        <v>102</v>
      </c>
      <c r="C20" s="28" t="s">
        <v>43</v>
      </c>
      <c r="D20" s="61" t="s">
        <v>106</v>
      </c>
      <c r="E20" s="32" t="str">
        <f>'портефль до погашения'!F7</f>
        <v>Вложения (руб) на 01.09.2021</v>
      </c>
      <c r="F20" s="32" t="s">
        <v>48</v>
      </c>
      <c r="G20" s="32" t="s">
        <v>56</v>
      </c>
      <c r="H20" s="32" t="s">
        <v>57</v>
      </c>
      <c r="I20" s="31" t="s">
        <v>108</v>
      </c>
      <c r="J20" s="31" t="s">
        <v>103</v>
      </c>
      <c r="K20" s="80" t="s">
        <v>164</v>
      </c>
      <c r="L20" s="80" t="s">
        <v>165</v>
      </c>
      <c r="M20" s="80" t="s">
        <v>166</v>
      </c>
      <c r="N20" s="80" t="s">
        <v>167</v>
      </c>
      <c r="P20" s="127" t="s">
        <v>192</v>
      </c>
    </row>
    <row r="21" spans="1:16" x14ac:dyDescent="0.25">
      <c r="A21" s="28" t="s">
        <v>485</v>
      </c>
      <c r="B21" s="28" t="s">
        <v>607</v>
      </c>
      <c r="C21" s="28" t="s">
        <v>610</v>
      </c>
      <c r="D21" s="28" t="s">
        <v>620</v>
      </c>
      <c r="E21" s="29">
        <v>518517197.50999999</v>
      </c>
      <c r="F21" s="30">
        <v>1.0463168480298844E-2</v>
      </c>
      <c r="G21" s="29">
        <v>446694.63486441161</v>
      </c>
      <c r="H21" s="29">
        <v>4978638.1626151111</v>
      </c>
      <c r="I21" s="124">
        <f>E21*F21</f>
        <v>5425332.7974795224</v>
      </c>
      <c r="J21" s="52" t="s">
        <v>75</v>
      </c>
      <c r="K21" s="108" t="s">
        <v>77</v>
      </c>
      <c r="L21" s="125">
        <f>VLOOKUP(K21,'РейтPD FRED Graph'!$R$4:$V$26,5,0)</f>
        <v>2.8789422845923352E-3</v>
      </c>
      <c r="M21" s="126">
        <f>L21*E21</f>
        <v>1492781.0851998543</v>
      </c>
      <c r="N21" s="126">
        <f>M21+I21</f>
        <v>6918113.8826793768</v>
      </c>
      <c r="P21" s="129">
        <f>I21-H21-G21</f>
        <v>0</v>
      </c>
    </row>
    <row r="22" spans="1:16" x14ac:dyDescent="0.25">
      <c r="A22" s="28" t="s">
        <v>485</v>
      </c>
      <c r="B22" s="28" t="s">
        <v>607</v>
      </c>
      <c r="C22" s="28" t="s">
        <v>611</v>
      </c>
      <c r="D22" s="28" t="s">
        <v>621</v>
      </c>
      <c r="E22" s="29">
        <v>13166063508.990002</v>
      </c>
      <c r="F22" s="30">
        <v>1.0463168480298844E-2</v>
      </c>
      <c r="G22" s="29">
        <v>11342362.336278189</v>
      </c>
      <c r="H22" s="29">
        <v>126416378.3805988</v>
      </c>
      <c r="I22" s="124">
        <f t="shared" ref="I22:I29" si="2">E22*F22</f>
        <v>137758740.71687698</v>
      </c>
      <c r="J22" s="52" t="s">
        <v>75</v>
      </c>
      <c r="K22" s="108" t="s">
        <v>77</v>
      </c>
      <c r="L22" s="125">
        <f>VLOOKUP(K22,'РейтPD FRED Graph'!$R$4:$V$26,5,0)</f>
        <v>2.8789422845923352E-3</v>
      </c>
      <c r="M22" s="126">
        <f t="shared" ref="M22:M28" si="3">L22*E22</f>
        <v>37904336.957659453</v>
      </c>
      <c r="N22" s="126">
        <f t="shared" ref="N22:N28" si="4">M22+I22</f>
        <v>175663077.67453644</v>
      </c>
      <c r="P22" s="129">
        <f t="shared" ref="P22:P33" si="5">I22-H22-G22</f>
        <v>0</v>
      </c>
    </row>
    <row r="23" spans="1:16" x14ac:dyDescent="0.25">
      <c r="A23" s="28" t="s">
        <v>485</v>
      </c>
      <c r="B23" s="28" t="s">
        <v>607</v>
      </c>
      <c r="C23" s="28" t="s">
        <v>612</v>
      </c>
      <c r="D23" s="28" t="s">
        <v>622</v>
      </c>
      <c r="E23" s="29">
        <v>11581451842.08</v>
      </c>
      <c r="F23" s="30">
        <v>1.0463168480298844E-2</v>
      </c>
      <c r="G23" s="29">
        <v>9977243.6220843382</v>
      </c>
      <c r="H23" s="29">
        <v>111201438.24806611</v>
      </c>
      <c r="I23" s="124">
        <f t="shared" si="2"/>
        <v>121178681.87015045</v>
      </c>
      <c r="J23" s="52" t="s">
        <v>75</v>
      </c>
      <c r="K23" s="108" t="s">
        <v>77</v>
      </c>
      <c r="L23" s="125">
        <f>VLOOKUP(K23,'РейтPD FRED Graph'!$R$4:$V$26,5,0)</f>
        <v>2.8789422845923352E-3</v>
      </c>
      <c r="M23" s="126">
        <f t="shared" si="3"/>
        <v>33342331.425133903</v>
      </c>
      <c r="N23" s="126">
        <f t="shared" si="4"/>
        <v>154521013.29528436</v>
      </c>
      <c r="P23" s="129">
        <f t="shared" si="5"/>
        <v>0</v>
      </c>
    </row>
    <row r="24" spans="1:16" x14ac:dyDescent="0.25">
      <c r="A24" s="28" t="s">
        <v>485</v>
      </c>
      <c r="B24" s="28" t="s">
        <v>607</v>
      </c>
      <c r="C24" s="28" t="s">
        <v>613</v>
      </c>
      <c r="D24" s="28" t="s">
        <v>623</v>
      </c>
      <c r="E24" s="29">
        <v>15797863064.84</v>
      </c>
      <c r="F24" s="30">
        <v>1.0463168480298844E-2</v>
      </c>
      <c r="G24" s="29">
        <v>13609617.399913881</v>
      </c>
      <c r="H24" s="29">
        <v>151686085.4761973</v>
      </c>
      <c r="I24" s="124">
        <f t="shared" si="2"/>
        <v>165295702.87611118</v>
      </c>
      <c r="J24" s="52" t="s">
        <v>75</v>
      </c>
      <c r="K24" s="108" t="s">
        <v>77</v>
      </c>
      <c r="L24" s="125">
        <f>VLOOKUP(K24,'РейтPD FRED Graph'!$R$4:$V$26,5,0)</f>
        <v>2.8789422845923352E-3</v>
      </c>
      <c r="M24" s="126">
        <f t="shared" si="3"/>
        <v>45481135.983567342</v>
      </c>
      <c r="N24" s="126">
        <f t="shared" si="4"/>
        <v>210776838.85967851</v>
      </c>
      <c r="P24" s="129">
        <f t="shared" si="5"/>
        <v>0</v>
      </c>
    </row>
    <row r="25" spans="1:16" x14ac:dyDescent="0.25">
      <c r="A25" s="28" t="s">
        <v>485</v>
      </c>
      <c r="B25" s="28" t="s">
        <v>148</v>
      </c>
      <c r="C25" s="28" t="s">
        <v>614</v>
      </c>
      <c r="D25" s="28" t="s">
        <v>624</v>
      </c>
      <c r="E25" s="29">
        <v>8429550574.4399996</v>
      </c>
      <c r="F25" s="30">
        <v>1.0463168480298844E-2</v>
      </c>
      <c r="G25" s="29">
        <v>7261928.8887673728</v>
      </c>
      <c r="H25" s="29">
        <v>80937878.984798253</v>
      </c>
      <c r="I25" s="124">
        <f t="shared" si="2"/>
        <v>88199807.873565614</v>
      </c>
      <c r="J25" s="52" t="s">
        <v>75</v>
      </c>
      <c r="K25" s="108" t="s">
        <v>75</v>
      </c>
      <c r="L25" s="125">
        <f>VLOOKUP(K25,'РейтPD FRED Graph'!$R$4:$V$26,5,0)</f>
        <v>1.3022780738698629E-3</v>
      </c>
      <c r="M25" s="126">
        <f t="shared" si="3"/>
        <v>10977618.885670319</v>
      </c>
      <c r="N25" s="126">
        <f t="shared" si="4"/>
        <v>99177426.759235933</v>
      </c>
      <c r="P25" s="129">
        <f t="shared" si="5"/>
        <v>-1.1175870895385742E-8</v>
      </c>
    </row>
    <row r="26" spans="1:16" x14ac:dyDescent="0.25">
      <c r="A26" s="28" t="s">
        <v>485</v>
      </c>
      <c r="B26" s="28" t="s">
        <v>608</v>
      </c>
      <c r="C26" s="28" t="s">
        <v>615</v>
      </c>
      <c r="D26" s="28" t="s">
        <v>625</v>
      </c>
      <c r="E26" s="29">
        <v>596583000</v>
      </c>
      <c r="F26" s="30">
        <v>7.8569545202671703E-2</v>
      </c>
      <c r="G26" s="29">
        <v>6658945.9301078739</v>
      </c>
      <c r="H26" s="29">
        <v>40214309.055537619</v>
      </c>
      <c r="I26" s="124">
        <f t="shared" si="2"/>
        <v>46873254.985645495</v>
      </c>
      <c r="J26" s="52" t="s">
        <v>83</v>
      </c>
      <c r="K26" s="108" t="s">
        <v>83</v>
      </c>
      <c r="L26" s="125">
        <f>VLOOKUP(K26,'РейтPD FRED Graph'!$R$4:$V$26,5,0)</f>
        <v>1.337758602896655E-2</v>
      </c>
      <c r="M26" s="126">
        <f t="shared" si="3"/>
        <v>7980840.4059189511</v>
      </c>
      <c r="N26" s="126">
        <f t="shared" si="4"/>
        <v>54854095.391564444</v>
      </c>
      <c r="P26" s="129">
        <f>I26-H26-G26</f>
        <v>0</v>
      </c>
    </row>
    <row r="27" spans="1:16" x14ac:dyDescent="0.25">
      <c r="A27" s="28" t="s">
        <v>485</v>
      </c>
      <c r="B27" s="28" t="s">
        <v>607</v>
      </c>
      <c r="C27" s="28" t="s">
        <v>616</v>
      </c>
      <c r="D27" s="28" t="s">
        <v>626</v>
      </c>
      <c r="E27" s="29">
        <v>1826903222.1600001</v>
      </c>
      <c r="F27" s="30">
        <v>1.0463168480298844E-2</v>
      </c>
      <c r="G27" s="29">
        <v>1573849.1831597153</v>
      </c>
      <c r="H27" s="29">
        <v>17541347.027501196</v>
      </c>
      <c r="I27" s="124">
        <f t="shared" si="2"/>
        <v>19115196.210660908</v>
      </c>
      <c r="J27" s="52" t="s">
        <v>75</v>
      </c>
      <c r="K27" s="108" t="s">
        <v>77</v>
      </c>
      <c r="L27" s="125">
        <f>VLOOKUP(K27,'РейтPD FRED Graph'!$R$4:$V$26,5,0)</f>
        <v>2.8789422845923352E-3</v>
      </c>
      <c r="M27" s="126">
        <f t="shared" si="3"/>
        <v>5259548.9361344092</v>
      </c>
      <c r="N27" s="126">
        <f t="shared" si="4"/>
        <v>24374745.146795318</v>
      </c>
      <c r="P27" s="129">
        <f t="shared" si="5"/>
        <v>-2.5611370801925659E-9</v>
      </c>
    </row>
    <row r="28" spans="1:16" x14ac:dyDescent="0.25">
      <c r="A28" s="28" t="s">
        <v>485</v>
      </c>
      <c r="B28" s="28" t="s">
        <v>607</v>
      </c>
      <c r="C28" s="28" t="s">
        <v>617</v>
      </c>
      <c r="D28" s="28" t="s">
        <v>627</v>
      </c>
      <c r="E28" s="29">
        <v>9067346386.2600002</v>
      </c>
      <c r="F28" s="30">
        <v>1.0463168480298844E-2</v>
      </c>
      <c r="G28" s="29">
        <v>7811380.2254773602</v>
      </c>
      <c r="H28" s="29">
        <v>87061792.683189899</v>
      </c>
      <c r="I28" s="124">
        <f t="shared" si="2"/>
        <v>94873172.908667266</v>
      </c>
      <c r="J28" s="52" t="s">
        <v>75</v>
      </c>
      <c r="K28" s="108" t="s">
        <v>77</v>
      </c>
      <c r="L28" s="125">
        <f>VLOOKUP(K28,'РейтPD FRED Graph'!$R$4:$V$26,5,0)</f>
        <v>2.8789422845923352E-3</v>
      </c>
      <c r="M28" s="126">
        <f t="shared" si="3"/>
        <v>26104366.920449421</v>
      </c>
      <c r="N28" s="126">
        <f t="shared" si="4"/>
        <v>120977539.82911669</v>
      </c>
      <c r="P28" s="129">
        <f t="shared" si="5"/>
        <v>7.4505805969238281E-9</v>
      </c>
    </row>
    <row r="29" spans="1:16" x14ac:dyDescent="0.25">
      <c r="A29" s="28" t="s">
        <v>619</v>
      </c>
      <c r="B29" s="28" t="s">
        <v>609</v>
      </c>
      <c r="C29" s="28" t="s">
        <v>618</v>
      </c>
      <c r="D29" s="28" t="s">
        <v>628</v>
      </c>
      <c r="E29" s="29">
        <v>7645575000</v>
      </c>
      <c r="F29" s="30">
        <v>1.0463168480298844E-2</v>
      </c>
      <c r="G29" s="29">
        <v>6586545.9223994361</v>
      </c>
      <c r="H29" s="29">
        <v>73410393.431361407</v>
      </c>
      <c r="I29" s="124">
        <f t="shared" si="2"/>
        <v>79996939.353760839</v>
      </c>
      <c r="J29" s="52" t="s">
        <v>75</v>
      </c>
      <c r="K29" s="108" t="s">
        <v>77</v>
      </c>
      <c r="L29" s="125">
        <f>VLOOKUP(K29,'РейтPD FRED Graph'!$R$4:$V$26,5,0)</f>
        <v>2.8789422845923352E-3</v>
      </c>
      <c r="M29" s="126">
        <f t="shared" ref="M29" si="6">L29*E29</f>
        <v>22011169.157522041</v>
      </c>
      <c r="N29" s="126">
        <f t="shared" ref="N29" si="7">M29+I29</f>
        <v>102008108.51128288</v>
      </c>
      <c r="P29" s="129">
        <f t="shared" si="5"/>
        <v>0</v>
      </c>
    </row>
    <row r="30" spans="1:16" x14ac:dyDescent="0.25">
      <c r="A30" s="28"/>
      <c r="B30" s="28"/>
      <c r="C30" s="28"/>
      <c r="D30" s="28"/>
      <c r="E30" s="29"/>
      <c r="F30" s="30"/>
      <c r="G30" s="29"/>
      <c r="H30" s="29"/>
      <c r="I30" s="124"/>
      <c r="J30" s="52"/>
      <c r="K30" s="108"/>
      <c r="L30" s="125"/>
      <c r="M30" s="126"/>
      <c r="N30" s="126"/>
      <c r="P30" s="129">
        <f t="shared" si="5"/>
        <v>0</v>
      </c>
    </row>
    <row r="31" spans="1:16" x14ac:dyDescent="0.25">
      <c r="A31" s="28"/>
      <c r="B31" s="28"/>
      <c r="C31" s="28"/>
      <c r="D31" s="28"/>
      <c r="E31" s="29"/>
      <c r="F31" s="30"/>
      <c r="G31" s="29"/>
      <c r="H31" s="29"/>
      <c r="I31" s="124"/>
      <c r="J31" s="52"/>
      <c r="K31" s="108"/>
      <c r="L31" s="125"/>
      <c r="M31" s="126"/>
      <c r="N31" s="126"/>
      <c r="P31" s="129">
        <f t="shared" si="5"/>
        <v>0</v>
      </c>
    </row>
    <row r="32" spans="1:16" x14ac:dyDescent="0.25">
      <c r="A32" s="28"/>
      <c r="B32" s="28"/>
      <c r="C32" s="28"/>
      <c r="D32" s="28"/>
      <c r="E32" s="29"/>
      <c r="F32" s="30"/>
      <c r="G32" s="29"/>
      <c r="H32" s="29"/>
      <c r="I32" s="124"/>
      <c r="J32" s="52"/>
      <c r="K32" s="108"/>
      <c r="L32" s="125"/>
      <c r="M32" s="126"/>
      <c r="N32" s="126"/>
      <c r="P32" s="129">
        <f t="shared" si="5"/>
        <v>0</v>
      </c>
    </row>
    <row r="33" spans="1:16" x14ac:dyDescent="0.25">
      <c r="A33" s="28"/>
      <c r="B33" s="28"/>
      <c r="C33" s="28"/>
      <c r="D33" s="28"/>
      <c r="E33" s="29"/>
      <c r="F33" s="30"/>
      <c r="G33" s="29"/>
      <c r="H33" s="29"/>
      <c r="I33" s="124"/>
      <c r="J33" s="52"/>
      <c r="K33" s="108"/>
      <c r="L33" s="125"/>
      <c r="M33" s="126"/>
      <c r="N33" s="126"/>
      <c r="P33" s="129">
        <f t="shared" si="5"/>
        <v>0</v>
      </c>
    </row>
  </sheetData>
  <mergeCells count="2">
    <mergeCell ref="A17:C17"/>
    <mergeCell ref="A18:C18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6"/>
  <sheetViews>
    <sheetView zoomScale="80" zoomScaleNormal="80" workbookViewId="0">
      <selection activeCell="A38" sqref="A38"/>
    </sheetView>
  </sheetViews>
  <sheetFormatPr defaultColWidth="9.140625" defaultRowHeight="12.75" x14ac:dyDescent="0.2"/>
  <cols>
    <col min="1" max="1" width="19.42578125" style="38" customWidth="1"/>
    <col min="2" max="2" width="14.42578125" style="38" customWidth="1"/>
    <col min="3" max="5" width="10.5703125" style="38" customWidth="1"/>
    <col min="6" max="6" width="14.5703125" style="38" customWidth="1"/>
    <col min="7" max="7" width="10.7109375" style="38" bestFit="1" customWidth="1"/>
    <col min="8" max="8" width="10.7109375" style="38" customWidth="1"/>
    <col min="9" max="9" width="16" style="39" customWidth="1"/>
    <col min="10" max="10" width="17.42578125" style="39" customWidth="1"/>
    <col min="11" max="11" width="11.85546875" style="38" customWidth="1"/>
    <col min="12" max="12" width="9.140625" style="38"/>
    <col min="13" max="13" width="11.85546875" style="38" customWidth="1"/>
    <col min="14" max="14" width="13.5703125" style="38" customWidth="1"/>
    <col min="15" max="15" width="12.5703125" style="38" customWidth="1"/>
    <col min="16" max="16" width="11.28515625" style="38" customWidth="1"/>
    <col min="17" max="17" width="9.42578125" style="38" customWidth="1"/>
    <col min="18" max="18" width="10" style="38" customWidth="1"/>
    <col min="19" max="19" width="14.5703125" style="38" customWidth="1"/>
    <col min="20" max="21" width="9.140625" style="38"/>
    <col min="22" max="22" width="14.85546875" style="38" customWidth="1"/>
    <col min="23" max="23" width="9.140625" style="38"/>
    <col min="24" max="24" width="10.28515625" style="38" bestFit="1" customWidth="1"/>
    <col min="25" max="29" width="9.140625" style="38"/>
    <col min="30" max="30" width="13.7109375" style="38" customWidth="1"/>
    <col min="31" max="31" width="9.140625" style="38"/>
    <col min="32" max="32" width="22.5703125" style="38" customWidth="1"/>
    <col min="33" max="16384" width="9.140625" style="38"/>
  </cols>
  <sheetData>
    <row r="1" spans="1:32" x14ac:dyDescent="0.2">
      <c r="H1" s="240" t="s">
        <v>109</v>
      </c>
      <c r="I1" s="241"/>
      <c r="J1" s="241"/>
      <c r="K1" s="242"/>
      <c r="M1" s="240" t="s">
        <v>109</v>
      </c>
      <c r="N1" s="241"/>
      <c r="O1" s="241"/>
      <c r="P1" s="242"/>
    </row>
    <row r="2" spans="1:32" ht="14.45" customHeight="1" x14ac:dyDescent="0.2">
      <c r="A2" s="238" t="s">
        <v>185</v>
      </c>
      <c r="B2" s="238"/>
      <c r="C2" s="238"/>
      <c r="D2" s="238"/>
      <c r="E2" s="238"/>
      <c r="F2" s="238"/>
      <c r="H2" s="240" t="s">
        <v>110</v>
      </c>
      <c r="I2" s="242"/>
      <c r="J2" s="86" t="s">
        <v>50</v>
      </c>
      <c r="K2" s="87">
        <v>0.75</v>
      </c>
      <c r="M2" s="240" t="s">
        <v>22</v>
      </c>
      <c r="N2" s="242"/>
      <c r="O2" s="86" t="s">
        <v>50</v>
      </c>
      <c r="P2" s="87">
        <v>1</v>
      </c>
      <c r="R2" s="239" t="s">
        <v>168</v>
      </c>
      <c r="S2" s="239"/>
      <c r="T2" s="239"/>
      <c r="U2" s="239"/>
      <c r="V2" s="239"/>
      <c r="W2" s="239"/>
      <c r="X2" s="239"/>
    </row>
    <row r="3" spans="1:32" ht="38.25" x14ac:dyDescent="0.2">
      <c r="A3" s="40" t="s">
        <v>51</v>
      </c>
      <c r="B3" s="40" t="s">
        <v>111</v>
      </c>
      <c r="C3" s="40" t="s">
        <v>52</v>
      </c>
      <c r="D3" s="40" t="s">
        <v>53</v>
      </c>
      <c r="E3" s="40" t="s">
        <v>54</v>
      </c>
      <c r="F3" s="40" t="s">
        <v>112</v>
      </c>
      <c r="G3" s="41"/>
      <c r="H3" s="40" t="s">
        <v>55</v>
      </c>
      <c r="I3" s="42" t="s">
        <v>56</v>
      </c>
      <c r="J3" s="42" t="s">
        <v>57</v>
      </c>
      <c r="K3" s="40" t="s">
        <v>45</v>
      </c>
      <c r="L3" s="41"/>
      <c r="M3" s="40" t="s">
        <v>55</v>
      </c>
      <c r="N3" s="42" t="s">
        <v>56</v>
      </c>
      <c r="O3" s="42" t="s">
        <v>57</v>
      </c>
      <c r="P3" s="40" t="s">
        <v>45</v>
      </c>
      <c r="R3" s="40" t="str">
        <f>B3</f>
        <v>Универсальная шкала</v>
      </c>
      <c r="S3" s="40" t="s">
        <v>55</v>
      </c>
      <c r="T3" s="42" t="s">
        <v>50</v>
      </c>
      <c r="U3" s="42"/>
      <c r="V3" s="40" t="s">
        <v>184</v>
      </c>
    </row>
    <row r="4" spans="1:32" x14ac:dyDescent="0.2">
      <c r="A4" s="43" t="s">
        <v>58</v>
      </c>
      <c r="B4" s="44" t="s">
        <v>59</v>
      </c>
      <c r="C4" s="45">
        <v>0</v>
      </c>
      <c r="D4" s="45">
        <v>1.1723329425556859E-3</v>
      </c>
      <c r="E4" s="45">
        <v>0</v>
      </c>
      <c r="F4" s="46">
        <v>1.0000000000000001E-5</v>
      </c>
      <c r="H4" s="45">
        <v>0.23994001499750031</v>
      </c>
      <c r="I4" s="47">
        <v>7.500000000000001E-6</v>
      </c>
      <c r="J4" s="47">
        <v>1.1895639320110399E-4</v>
      </c>
      <c r="K4" s="48">
        <v>1.26456393201104E-4</v>
      </c>
      <c r="M4" s="45">
        <v>0.23994001499750031</v>
      </c>
      <c r="N4" s="47">
        <v>1.0000000000000001E-5</v>
      </c>
      <c r="O4" s="47">
        <v>1.5860852426813866E-4</v>
      </c>
      <c r="P4" s="48">
        <v>1.6860852426813866E-4</v>
      </c>
      <c r="R4" s="44" t="str">
        <f>B4</f>
        <v>AAA</v>
      </c>
      <c r="S4" s="45">
        <f>0.06*((1-EXP(-50*F4)/(1-EXP(-50))))+0.12*(1-(1-EXP(-50*F4)/(1-EXP(-50))))</f>
        <v>0.11997000749875016</v>
      </c>
      <c r="T4" s="47">
        <f>1-0.90736*(1-F4^0.30224)^4.5948</f>
        <v>0.21419364827164478</v>
      </c>
      <c r="U4" s="47">
        <f>(_xlfn.NORM.S.INV(F4)+S4^0.5*_xlfn.NORM.S.INV($X$6))/((1-S4)^0.5)</f>
        <v>-3.9758020702746033</v>
      </c>
      <c r="V4" s="120">
        <f>(_xlfn.NORM.S.DIST(U4,TRUE)-F4)*T4</f>
        <v>5.3700968435672869E-6</v>
      </c>
      <c r="X4" s="208">
        <f>_xlfn.NORM.DIST(-0.04,E31,E32,TRUE)</f>
        <v>6.1153061208238178E-2</v>
      </c>
      <c r="Y4" s="118" t="s">
        <v>183</v>
      </c>
      <c r="Z4" s="117" t="s">
        <v>193</v>
      </c>
      <c r="AF4" s="119"/>
    </row>
    <row r="5" spans="1:32" x14ac:dyDescent="0.2">
      <c r="A5" s="43" t="s">
        <v>60</v>
      </c>
      <c r="B5" s="44" t="s">
        <v>61</v>
      </c>
      <c r="C5" s="45">
        <v>0</v>
      </c>
      <c r="D5" s="45">
        <v>0</v>
      </c>
      <c r="E5" s="45">
        <v>0</v>
      </c>
      <c r="F5" s="46">
        <v>5.0000000000000002E-5</v>
      </c>
      <c r="H5" s="45">
        <v>0.2397003746876952</v>
      </c>
      <c r="I5" s="47">
        <v>3.7500000000000003E-5</v>
      </c>
      <c r="J5" s="47">
        <v>5.628953701183625E-4</v>
      </c>
      <c r="K5" s="48">
        <v>6.0039537011836249E-4</v>
      </c>
      <c r="M5" s="45">
        <v>0.2397003746876952</v>
      </c>
      <c r="N5" s="47">
        <v>5.0000000000000002E-5</v>
      </c>
      <c r="O5" s="47">
        <v>7.5052716015781655E-4</v>
      </c>
      <c r="P5" s="48">
        <v>8.0052716015781658E-4</v>
      </c>
      <c r="R5" s="44" t="str">
        <f t="shared" ref="R5:R26" si="0">B5</f>
        <v>AA+</v>
      </c>
      <c r="S5" s="45">
        <f>0.06*((1-EXP(-50*F5)/(1-EXP(-50))))+0.12*(1-(1-EXP(-50*F5)/(1-EXP(-50))))</f>
        <v>0.1198501873438476</v>
      </c>
      <c r="T5" s="47">
        <f t="shared" ref="T5:T24" si="1">1-0.90736*(1-F5^0.30224)^4.5948</f>
        <v>0.28359120437045782</v>
      </c>
      <c r="U5" s="47">
        <f t="shared" ref="U5:U24" si="2">(_xlfn.NORM.S.INV(F5)+S5^0.5*_xlfn.NORM.S.INV($X$6))/((1-S5)^0.5)</f>
        <v>-3.5768463692643984</v>
      </c>
      <c r="V5" s="120">
        <f t="shared" ref="V5:V24" si="3">(_xlfn.NORM.S.DIST(U5,TRUE)-F5)*T5</f>
        <v>3.5131905123315314E-5</v>
      </c>
      <c r="Z5" s="38" t="s">
        <v>194</v>
      </c>
      <c r="AF5" s="119"/>
    </row>
    <row r="6" spans="1:32" x14ac:dyDescent="0.2">
      <c r="A6" s="43" t="s">
        <v>62</v>
      </c>
      <c r="B6" s="44" t="s">
        <v>63</v>
      </c>
      <c r="C6" s="45">
        <v>2.0000000000000001E-4</v>
      </c>
      <c r="D6" s="45">
        <v>0</v>
      </c>
      <c r="E6" s="45">
        <v>0</v>
      </c>
      <c r="F6" s="49">
        <v>6.666666666666667E-5</v>
      </c>
      <c r="H6" s="45">
        <v>0.23960066592654278</v>
      </c>
      <c r="I6" s="47">
        <v>5.0000000000000002E-5</v>
      </c>
      <c r="J6" s="47">
        <v>7.3918043068642845E-4</v>
      </c>
      <c r="K6" s="48">
        <v>7.8918043068642847E-4</v>
      </c>
      <c r="M6" s="45">
        <v>0.23960066592654278</v>
      </c>
      <c r="N6" s="47">
        <v>6.666666666666667E-5</v>
      </c>
      <c r="O6" s="47">
        <v>9.855739075819046E-4</v>
      </c>
      <c r="P6" s="48">
        <v>1.0522405742485713E-3</v>
      </c>
      <c r="R6" s="44" t="str">
        <f t="shared" si="0"/>
        <v>AA</v>
      </c>
      <c r="S6" s="45">
        <f t="shared" ref="S6:S24" si="4">0.06*((1-EXP(-50*F6)/(1-EXP(-50))))+0.12*(1-(1-EXP(-50*F6)/(1-EXP(-50))))</f>
        <v>0.11980033296327139</v>
      </c>
      <c r="T6" s="47">
        <f t="shared" si="1"/>
        <v>0.29923555646084898</v>
      </c>
      <c r="U6" s="47">
        <f t="shared" si="2"/>
        <v>-3.5018542333772058</v>
      </c>
      <c r="V6" s="120">
        <f t="shared" si="3"/>
        <v>4.9179212692960708E-5</v>
      </c>
      <c r="X6" s="38">
        <f>1-X4</f>
        <v>0.93884693879176184</v>
      </c>
      <c r="AF6" s="119"/>
    </row>
    <row r="7" spans="1:32" x14ac:dyDescent="0.2">
      <c r="A7" s="43" t="s">
        <v>64</v>
      </c>
      <c r="B7" s="44" t="s">
        <v>65</v>
      </c>
      <c r="C7" s="45">
        <v>2.9999999999999997E-4</v>
      </c>
      <c r="D7" s="45">
        <v>8.1059173196433392E-4</v>
      </c>
      <c r="E7" s="45">
        <v>4.3323699898556445E-4</v>
      </c>
      <c r="F7" s="49">
        <v>5.1460957698329943E-4</v>
      </c>
      <c r="H7" s="45">
        <v>0.23695172746982804</v>
      </c>
      <c r="I7" s="47">
        <v>3.859571827374746E-4</v>
      </c>
      <c r="J7" s="47">
        <v>4.8054626362045603E-3</v>
      </c>
      <c r="K7" s="48">
        <v>5.1914198189420349E-3</v>
      </c>
      <c r="M7" s="45">
        <v>0.23695172746982804</v>
      </c>
      <c r="N7" s="47">
        <v>5.1460957698329943E-4</v>
      </c>
      <c r="O7" s="47">
        <v>6.4072835149394129E-3</v>
      </c>
      <c r="P7" s="48">
        <v>6.9218930919227126E-3</v>
      </c>
      <c r="R7" s="44" t="str">
        <f t="shared" si="0"/>
        <v>AA-</v>
      </c>
      <c r="S7" s="45">
        <f t="shared" si="4"/>
        <v>0.11847586373491402</v>
      </c>
      <c r="T7" s="47">
        <f t="shared" si="1"/>
        <v>0.4448551584383259</v>
      </c>
      <c r="U7" s="47">
        <f t="shared" si="2"/>
        <v>-2.9295753491124659</v>
      </c>
      <c r="V7" s="120">
        <f t="shared" si="3"/>
        <v>5.2604921893301213E-4</v>
      </c>
      <c r="AF7" s="119"/>
    </row>
    <row r="8" spans="1:32" x14ac:dyDescent="0.2">
      <c r="A8" s="43" t="s">
        <v>66</v>
      </c>
      <c r="B8" s="44" t="s">
        <v>67</v>
      </c>
      <c r="C8" s="45">
        <v>5.0000000000000001E-4</v>
      </c>
      <c r="D8" s="45">
        <v>0</v>
      </c>
      <c r="E8" s="45">
        <v>6.2597187978419289E-4</v>
      </c>
      <c r="F8" s="49">
        <v>5.2999999999999998E-4</v>
      </c>
      <c r="H8" s="45">
        <v>0.2368617652602642</v>
      </c>
      <c r="I8" s="47">
        <v>3.9749999999999996E-4</v>
      </c>
      <c r="J8" s="47">
        <v>4.9318340484964234E-3</v>
      </c>
      <c r="K8" s="48">
        <v>5.3293340484964237E-3</v>
      </c>
      <c r="M8" s="45">
        <v>0.2368617652602642</v>
      </c>
      <c r="N8" s="47">
        <v>5.2999999999999998E-4</v>
      </c>
      <c r="O8" s="47">
        <v>6.5757787313285654E-3</v>
      </c>
      <c r="P8" s="48">
        <v>7.1057787313285655E-3</v>
      </c>
      <c r="R8" s="44" t="str">
        <f t="shared" si="0"/>
        <v>A+</v>
      </c>
      <c r="S8" s="45">
        <f t="shared" si="4"/>
        <v>0.1184308826301321</v>
      </c>
      <c r="T8" s="47">
        <f t="shared" si="1"/>
        <v>0.44742582196396341</v>
      </c>
      <c r="U8" s="47">
        <f t="shared" si="2"/>
        <v>-2.9207493693842004</v>
      </c>
      <c r="V8" s="120">
        <f t="shared" si="3"/>
        <v>5.440488080414637E-4</v>
      </c>
      <c r="AF8" s="119"/>
    </row>
    <row r="9" spans="1:32" x14ac:dyDescent="0.2">
      <c r="A9" s="43" t="s">
        <v>68</v>
      </c>
      <c r="B9" s="44" t="s">
        <v>69</v>
      </c>
      <c r="C9" s="45">
        <v>5.0000000000000001E-4</v>
      </c>
      <c r="D9" s="45">
        <v>7.0621468926553672E-4</v>
      </c>
      <c r="E9" s="45">
        <v>4.3750455518509757E-4</v>
      </c>
      <c r="F9" s="49">
        <v>5.4790641481687814E-4</v>
      </c>
      <c r="H9" s="45">
        <v>0.23675718332219026</v>
      </c>
      <c r="I9" s="47">
        <v>4.1092981111265857E-4</v>
      </c>
      <c r="J9" s="47">
        <v>5.0780870835640205E-3</v>
      </c>
      <c r="K9" s="48">
        <v>5.4890168946766793E-3</v>
      </c>
      <c r="M9" s="45">
        <v>0.23675718332219026</v>
      </c>
      <c r="N9" s="47">
        <v>5.4790641481687814E-4</v>
      </c>
      <c r="O9" s="47">
        <v>6.7707827780853613E-3</v>
      </c>
      <c r="P9" s="48">
        <v>7.3186891929022391E-3</v>
      </c>
      <c r="R9" s="44" t="str">
        <f t="shared" si="0"/>
        <v>A</v>
      </c>
      <c r="S9" s="45">
        <f t="shared" si="4"/>
        <v>0.11837859166109513</v>
      </c>
      <c r="T9" s="47">
        <f t="shared" si="1"/>
        <v>0.4503406505876516</v>
      </c>
      <c r="U9" s="47">
        <f t="shared" si="2"/>
        <v>-2.9107758131767669</v>
      </c>
      <c r="V9" s="120">
        <f t="shared" si="3"/>
        <v>5.6506790256679522E-4</v>
      </c>
      <c r="AF9" s="119"/>
    </row>
    <row r="10" spans="1:32" x14ac:dyDescent="0.2">
      <c r="A10" s="43" t="s">
        <v>70</v>
      </c>
      <c r="B10" s="44" t="s">
        <v>71</v>
      </c>
      <c r="C10" s="45">
        <v>5.9999999999999995E-4</v>
      </c>
      <c r="D10" s="45">
        <v>5.9180352123095132E-4</v>
      </c>
      <c r="E10" s="45">
        <v>5.3977628452939186E-4</v>
      </c>
      <c r="F10" s="49">
        <v>5.77193268586781E-4</v>
      </c>
      <c r="H10" s="45">
        <v>0.23658633591456821</v>
      </c>
      <c r="I10" s="47">
        <v>4.3289495144008575E-4</v>
      </c>
      <c r="J10" s="47">
        <v>5.3155422619068568E-3</v>
      </c>
      <c r="K10" s="48">
        <v>5.7484372133469429E-3</v>
      </c>
      <c r="M10" s="45">
        <v>0.23658633591456821</v>
      </c>
      <c r="N10" s="47">
        <v>5.77193268586781E-4</v>
      </c>
      <c r="O10" s="47">
        <v>7.0873896825424769E-3</v>
      </c>
      <c r="P10" s="48">
        <v>7.6645829511292583E-3</v>
      </c>
      <c r="R10" s="44" t="str">
        <f t="shared" si="0"/>
        <v>A-</v>
      </c>
      <c r="S10" s="45">
        <f t="shared" si="4"/>
        <v>0.1182931679572841</v>
      </c>
      <c r="T10" s="47">
        <f t="shared" si="1"/>
        <v>0.45494321569513807</v>
      </c>
      <c r="U10" s="47">
        <f t="shared" si="2"/>
        <v>-2.8950990978564368</v>
      </c>
      <c r="V10" s="120">
        <f t="shared" si="3"/>
        <v>5.996156082506462E-4</v>
      </c>
      <c r="AF10" s="119"/>
    </row>
    <row r="11" spans="1:32" x14ac:dyDescent="0.2">
      <c r="A11" s="43" t="s">
        <v>72</v>
      </c>
      <c r="B11" s="44" t="s">
        <v>73</v>
      </c>
      <c r="C11" s="45">
        <v>8.9999999999999998E-4</v>
      </c>
      <c r="D11" s="45">
        <v>8.3010514665190918E-4</v>
      </c>
      <c r="E11" s="45">
        <v>1.0580937497897125E-3</v>
      </c>
      <c r="F11" s="49">
        <v>9.2939963214720733E-4</v>
      </c>
      <c r="G11" s="50"/>
      <c r="H11" s="45">
        <v>0.23455118585926016</v>
      </c>
      <c r="I11" s="47">
        <v>6.9704972411040547E-4</v>
      </c>
      <c r="J11" s="47">
        <v>8.0258658755348947E-3</v>
      </c>
      <c r="K11" s="48">
        <v>8.7229155996452999E-3</v>
      </c>
      <c r="M11" s="45">
        <v>0.23455118585926016</v>
      </c>
      <c r="N11" s="47">
        <v>9.2939963214720733E-4</v>
      </c>
      <c r="O11" s="47">
        <v>1.0701154500713194E-2</v>
      </c>
      <c r="P11" s="48">
        <v>1.1630554132860401E-2</v>
      </c>
      <c r="R11" s="44" t="str">
        <f t="shared" si="0"/>
        <v>BBB+</v>
      </c>
      <c r="S11" s="45">
        <f t="shared" si="4"/>
        <v>0.11727559292963008</v>
      </c>
      <c r="T11" s="47">
        <f t="shared" si="1"/>
        <v>0.49897449389572135</v>
      </c>
      <c r="U11" s="47">
        <f t="shared" si="2"/>
        <v>-2.7489812758339385</v>
      </c>
      <c r="V11" s="120">
        <f t="shared" si="3"/>
        <v>1.0277080369633861E-3</v>
      </c>
      <c r="AF11" s="119"/>
    </row>
    <row r="12" spans="1:32" x14ac:dyDescent="0.2">
      <c r="A12" s="43" t="s">
        <v>74</v>
      </c>
      <c r="B12" s="44" t="s">
        <v>75</v>
      </c>
      <c r="C12" s="45">
        <v>1.5E-3</v>
      </c>
      <c r="D12" s="45">
        <v>5.1948051948051948E-4</v>
      </c>
      <c r="E12" s="45">
        <v>1.4264582999801156E-3</v>
      </c>
      <c r="F12" s="49">
        <v>1.1486462731535451E-3</v>
      </c>
      <c r="G12" s="50"/>
      <c r="H12" s="45">
        <v>0.23330229560479887</v>
      </c>
      <c r="I12" s="47">
        <v>8.6148470486515879E-4</v>
      </c>
      <c r="J12" s="47">
        <v>9.6016837754336858E-3</v>
      </c>
      <c r="K12" s="48">
        <v>1.0463168480298844E-2</v>
      </c>
      <c r="M12" s="45">
        <v>0.23330229560479887</v>
      </c>
      <c r="N12" s="47">
        <v>1.1486462731535451E-3</v>
      </c>
      <c r="O12" s="47">
        <v>1.2802245033911582E-2</v>
      </c>
      <c r="P12" s="48">
        <v>1.3950891307065127E-2</v>
      </c>
      <c r="R12" s="44" t="str">
        <f t="shared" si="0"/>
        <v>BBB</v>
      </c>
      <c r="S12" s="45">
        <f t="shared" si="4"/>
        <v>0.11665114780239944</v>
      </c>
      <c r="T12" s="47">
        <f t="shared" si="1"/>
        <v>0.51963117380453938</v>
      </c>
      <c r="U12" s="47">
        <f t="shared" si="2"/>
        <v>-2.6823995724255045</v>
      </c>
      <c r="V12" s="120">
        <f t="shared" si="3"/>
        <v>1.3022780738698629E-3</v>
      </c>
      <c r="AF12" s="119"/>
    </row>
    <row r="13" spans="1:32" x14ac:dyDescent="0.2">
      <c r="A13" s="43" t="s">
        <v>76</v>
      </c>
      <c r="B13" s="44" t="s">
        <v>77</v>
      </c>
      <c r="C13" s="45">
        <v>2.3999999999999998E-3</v>
      </c>
      <c r="D13" s="45">
        <v>2.4528591139046452E-3</v>
      </c>
      <c r="E13" s="45">
        <v>2.2648093102919375E-3</v>
      </c>
      <c r="F13" s="49">
        <v>2.372556141398861E-3</v>
      </c>
      <c r="G13" s="50"/>
      <c r="H13" s="45">
        <v>0.22657659576590455</v>
      </c>
      <c r="I13" s="47">
        <v>1.7794171060491457E-3</v>
      </c>
      <c r="J13" s="47">
        <v>1.7331179238117309E-2</v>
      </c>
      <c r="K13" s="48">
        <v>1.9110596344166456E-2</v>
      </c>
      <c r="M13" s="45">
        <v>0.22657659576590455</v>
      </c>
      <c r="N13" s="47">
        <v>2.372556141398861E-3</v>
      </c>
      <c r="O13" s="47">
        <v>2.3108238984156412E-2</v>
      </c>
      <c r="P13" s="48">
        <v>2.5480795125555275E-2</v>
      </c>
      <c r="R13" s="44" t="str">
        <f t="shared" si="0"/>
        <v>BBB-</v>
      </c>
      <c r="S13" s="45">
        <f t="shared" si="4"/>
        <v>0.11328829788295228</v>
      </c>
      <c r="T13" s="47">
        <f t="shared" si="1"/>
        <v>0.59486021440851933</v>
      </c>
      <c r="U13" s="47">
        <f t="shared" si="2"/>
        <v>-2.4465144074013545</v>
      </c>
      <c r="V13" s="120">
        <f t="shared" si="3"/>
        <v>2.8789422845923352E-3</v>
      </c>
      <c r="AF13" s="119"/>
    </row>
    <row r="14" spans="1:32" x14ac:dyDescent="0.2">
      <c r="A14" s="43" t="s">
        <v>78</v>
      </c>
      <c r="B14" s="44" t="s">
        <v>79</v>
      </c>
      <c r="C14" s="45">
        <v>3.2000000000000002E-3</v>
      </c>
      <c r="D14" s="45">
        <v>2.7950310559006208E-3</v>
      </c>
      <c r="E14" s="45">
        <v>4.2346157814935337E-3</v>
      </c>
      <c r="F14" s="49">
        <v>3.4098822791313846E-3</v>
      </c>
      <c r="G14" s="50"/>
      <c r="H14" s="45">
        <v>0.22118976636104029</v>
      </c>
      <c r="I14" s="47">
        <v>2.5574117093485386E-3</v>
      </c>
      <c r="J14" s="47">
        <v>2.2888357949587639E-2</v>
      </c>
      <c r="K14" s="48">
        <v>2.5445769658936176E-2</v>
      </c>
      <c r="M14" s="45">
        <v>0.22118976636104029</v>
      </c>
      <c r="N14" s="47">
        <v>3.4098822791313846E-3</v>
      </c>
      <c r="O14" s="47">
        <v>3.0517810599450187E-2</v>
      </c>
      <c r="P14" s="48">
        <v>3.3927692878581571E-2</v>
      </c>
      <c r="R14" s="44" t="str">
        <f t="shared" si="0"/>
        <v>BB+</v>
      </c>
      <c r="S14" s="45">
        <f t="shared" si="4"/>
        <v>0.11059488318052015</v>
      </c>
      <c r="T14" s="47">
        <f t="shared" si="1"/>
        <v>0.63461060334031372</v>
      </c>
      <c r="U14" s="47">
        <f t="shared" si="2"/>
        <v>-2.323933922839307</v>
      </c>
      <c r="V14" s="120">
        <f t="shared" si="3"/>
        <v>4.2231023230869707E-3</v>
      </c>
      <c r="AF14" s="119"/>
    </row>
    <row r="15" spans="1:32" x14ac:dyDescent="0.2">
      <c r="A15" s="43" t="s">
        <v>80</v>
      </c>
      <c r="B15" s="44" t="s">
        <v>81</v>
      </c>
      <c r="C15" s="45">
        <v>4.7999999999999996E-3</v>
      </c>
      <c r="D15" s="45">
        <v>5.2210233205708338E-3</v>
      </c>
      <c r="E15" s="45">
        <v>6.7938091388333177E-3</v>
      </c>
      <c r="F15" s="49">
        <v>5.6049441531347173E-3</v>
      </c>
      <c r="G15" s="50"/>
      <c r="H15" s="45">
        <v>0.21067163148236215</v>
      </c>
      <c r="I15" s="47">
        <v>4.203708114851038E-3</v>
      </c>
      <c r="J15" s="47">
        <v>3.2694150032581602E-2</v>
      </c>
      <c r="K15" s="48">
        <v>3.6897858147432641E-2</v>
      </c>
      <c r="M15" s="45">
        <v>0.21067163148236215</v>
      </c>
      <c r="N15" s="47">
        <v>5.6049441531347173E-3</v>
      </c>
      <c r="O15" s="47">
        <v>4.3592200043442136E-2</v>
      </c>
      <c r="P15" s="48">
        <v>4.919714419657685E-2</v>
      </c>
      <c r="R15" s="44" t="str">
        <f t="shared" si="0"/>
        <v>BB</v>
      </c>
      <c r="S15" s="45">
        <f t="shared" si="4"/>
        <v>0.10533581574118107</v>
      </c>
      <c r="T15" s="47">
        <f t="shared" si="1"/>
        <v>0.69049286501005969</v>
      </c>
      <c r="U15" s="47">
        <f t="shared" si="2"/>
        <v>-2.1510383493934042</v>
      </c>
      <c r="V15" s="120">
        <f t="shared" si="3"/>
        <v>6.9958267116009875E-3</v>
      </c>
      <c r="AF15" s="119"/>
    </row>
    <row r="16" spans="1:32" x14ac:dyDescent="0.2">
      <c r="A16" s="43" t="s">
        <v>82</v>
      </c>
      <c r="B16" s="44" t="s">
        <v>83</v>
      </c>
      <c r="C16" s="45">
        <v>9.5999999999999992E-3</v>
      </c>
      <c r="D16" s="45">
        <v>1.0948905109489048E-2</v>
      </c>
      <c r="E16" s="45">
        <v>1.2936524060171539E-2</v>
      </c>
      <c r="F16" s="49">
        <v>1.1161809723220196E-2</v>
      </c>
      <c r="G16" s="50"/>
      <c r="H16" s="45">
        <v>0.18867610050094885</v>
      </c>
      <c r="I16" s="47">
        <v>8.3713572924151471E-3</v>
      </c>
      <c r="J16" s="47">
        <v>5.0555801609588627E-2</v>
      </c>
      <c r="K16" s="48">
        <v>5.8927158902003771E-2</v>
      </c>
      <c r="M16" s="45">
        <v>0.18867610050094885</v>
      </c>
      <c r="N16" s="47">
        <v>1.1161809723220196E-2</v>
      </c>
      <c r="O16" s="47">
        <v>6.7407735479451503E-2</v>
      </c>
      <c r="P16" s="48">
        <v>7.8569545202671703E-2</v>
      </c>
      <c r="R16" s="44" t="str">
        <f t="shared" si="0"/>
        <v>BB-</v>
      </c>
      <c r="S16" s="45">
        <f t="shared" si="4"/>
        <v>9.4338050250474426E-2</v>
      </c>
      <c r="T16" s="47">
        <f t="shared" si="1"/>
        <v>0.76827308288818041</v>
      </c>
      <c r="U16" s="47">
        <f t="shared" si="2"/>
        <v>-1.9021717858471392</v>
      </c>
      <c r="V16" s="120">
        <f t="shared" si="3"/>
        <v>1.337758602896655E-2</v>
      </c>
      <c r="AF16" s="119"/>
    </row>
    <row r="17" spans="1:32" x14ac:dyDescent="0.2">
      <c r="A17" s="43" t="s">
        <v>84</v>
      </c>
      <c r="B17" s="44" t="s">
        <v>85</v>
      </c>
      <c r="C17" s="45">
        <v>1.9800000000000002E-2</v>
      </c>
      <c r="D17" s="45">
        <v>1.4095851792186869E-2</v>
      </c>
      <c r="E17" s="45">
        <v>1.9341351803721873E-2</v>
      </c>
      <c r="F17" s="49">
        <v>1.7745734531969582E-2</v>
      </c>
      <c r="G17" s="50"/>
      <c r="H17" s="45">
        <v>0.16941257844540847</v>
      </c>
      <c r="I17" s="47">
        <v>1.3309300898977187E-2</v>
      </c>
      <c r="J17" s="47">
        <v>6.503289224274178E-2</v>
      </c>
      <c r="K17" s="48">
        <v>7.8342193141718974E-2</v>
      </c>
      <c r="M17" s="45">
        <v>0.16941257844540847</v>
      </c>
      <c r="N17" s="47">
        <v>1.7745734531969582E-2</v>
      </c>
      <c r="O17" s="47">
        <v>8.6710522990322392E-2</v>
      </c>
      <c r="P17" s="48">
        <v>0.10445625752229197</v>
      </c>
      <c r="R17" s="44" t="str">
        <f t="shared" si="0"/>
        <v>B+</v>
      </c>
      <c r="S17" s="45">
        <f t="shared" si="4"/>
        <v>8.4706289222704234E-2</v>
      </c>
      <c r="T17" s="47">
        <f t="shared" si="1"/>
        <v>0.81872255593563936</v>
      </c>
      <c r="U17" s="47">
        <f t="shared" si="2"/>
        <v>-1.7277920605784509</v>
      </c>
      <c r="V17" s="120">
        <f t="shared" si="3"/>
        <v>1.9867957561441316E-2</v>
      </c>
      <c r="AF17" s="119"/>
    </row>
    <row r="18" spans="1:32" x14ac:dyDescent="0.2">
      <c r="A18" s="43" t="s">
        <v>86</v>
      </c>
      <c r="B18" s="44" t="s">
        <v>87</v>
      </c>
      <c r="C18" s="45">
        <v>3.1300000000000001E-2</v>
      </c>
      <c r="D18" s="45">
        <v>2.1015067406819989E-2</v>
      </c>
      <c r="E18" s="45">
        <v>2.9758011021272401E-2</v>
      </c>
      <c r="F18" s="49">
        <v>2.7357692809364131E-2</v>
      </c>
      <c r="G18" s="50"/>
      <c r="H18" s="45">
        <v>0.15055740672779094</v>
      </c>
      <c r="I18" s="47">
        <v>2.0518269607023097E-2</v>
      </c>
      <c r="J18" s="47">
        <v>8.040939285227644E-2</v>
      </c>
      <c r="K18" s="48">
        <v>0.10092766245929954</v>
      </c>
      <c r="M18" s="45">
        <v>0.15055740672779094</v>
      </c>
      <c r="N18" s="47">
        <v>2.7357692809364131E-2</v>
      </c>
      <c r="O18" s="47">
        <v>0.10721252380303524</v>
      </c>
      <c r="P18" s="48">
        <v>0.13457021661239937</v>
      </c>
      <c r="R18" s="44" t="str">
        <f t="shared" si="0"/>
        <v>B</v>
      </c>
      <c r="S18" s="45">
        <f t="shared" si="4"/>
        <v>7.5278703363895472E-2</v>
      </c>
      <c r="T18" s="47">
        <f t="shared" si="1"/>
        <v>0.86269500270015786</v>
      </c>
      <c r="U18" s="47">
        <f t="shared" si="2"/>
        <v>-1.5569311600807152</v>
      </c>
      <c r="V18" s="120">
        <f t="shared" si="3"/>
        <v>2.7939000866944019E-2</v>
      </c>
      <c r="AF18" s="119"/>
    </row>
    <row r="19" spans="1:32" x14ac:dyDescent="0.2">
      <c r="A19" s="43" t="s">
        <v>88</v>
      </c>
      <c r="B19" s="44" t="s">
        <v>89</v>
      </c>
      <c r="C19" s="45">
        <v>6.5199999999999994E-2</v>
      </c>
      <c r="D19" s="45">
        <v>3.2000000000000001E-2</v>
      </c>
      <c r="E19" s="45">
        <v>4.6433445927740236E-2</v>
      </c>
      <c r="F19" s="49">
        <v>4.787781530924675E-2</v>
      </c>
      <c r="G19" s="50"/>
      <c r="H19" s="45">
        <v>0.13095286403006209</v>
      </c>
      <c r="I19" s="47">
        <v>3.5908361481935061E-2</v>
      </c>
      <c r="J19" s="47">
        <v>0.10538433903618909</v>
      </c>
      <c r="K19" s="48">
        <v>0.14129270051812415</v>
      </c>
      <c r="M19" s="45">
        <v>0.13095286403006209</v>
      </c>
      <c r="N19" s="47">
        <v>4.787781530924675E-2</v>
      </c>
      <c r="O19" s="47">
        <v>0.14051245204825211</v>
      </c>
      <c r="P19" s="48">
        <v>0.18839026735749886</v>
      </c>
      <c r="R19" s="44" t="str">
        <f t="shared" si="0"/>
        <v>B-</v>
      </c>
      <c r="S19" s="45">
        <f t="shared" si="4"/>
        <v>6.5476432015031047E-2</v>
      </c>
      <c r="T19" s="47">
        <f t="shared" si="1"/>
        <v>0.91261967052796855</v>
      </c>
      <c r="U19" s="47">
        <f t="shared" si="2"/>
        <v>-1.314156850952922</v>
      </c>
      <c r="V19" s="120">
        <f t="shared" si="3"/>
        <v>4.2454060967724951E-2</v>
      </c>
      <c r="AF19" s="119"/>
    </row>
    <row r="20" spans="1:32" x14ac:dyDescent="0.2">
      <c r="A20" s="43" t="s">
        <v>90</v>
      </c>
      <c r="B20" s="43" t="s">
        <v>91</v>
      </c>
      <c r="C20" s="45">
        <v>0.17409999999999998</v>
      </c>
      <c r="D20" s="45">
        <v>0.13373255813953489</v>
      </c>
      <c r="E20" s="45">
        <v>6.2266718460657122E-2</v>
      </c>
      <c r="F20" s="49">
        <v>0.12336642553339733</v>
      </c>
      <c r="H20" s="45">
        <v>0.12025136994665954</v>
      </c>
      <c r="I20" s="47">
        <v>9.2524819150047996E-2</v>
      </c>
      <c r="J20" s="47">
        <v>0.17288459683164764</v>
      </c>
      <c r="K20" s="48">
        <v>0.26540941598169565</v>
      </c>
      <c r="M20" s="45">
        <v>0.12025136994665954</v>
      </c>
      <c r="N20" s="47">
        <v>0.12336642553339733</v>
      </c>
      <c r="O20" s="47">
        <v>0.23051279577553024</v>
      </c>
      <c r="P20" s="48">
        <v>0.35387922130892757</v>
      </c>
      <c r="R20" s="44" t="str">
        <f t="shared" si="0"/>
        <v>CCC+</v>
      </c>
      <c r="S20" s="45">
        <f t="shared" si="4"/>
        <v>6.012568497332977E-2</v>
      </c>
      <c r="T20" s="47">
        <f t="shared" si="1"/>
        <v>0.97209427002268345</v>
      </c>
      <c r="U20" s="47">
        <f t="shared" si="2"/>
        <v>-0.80398317290715604</v>
      </c>
      <c r="V20" s="120">
        <f t="shared" si="3"/>
        <v>8.4899720522024741E-2</v>
      </c>
      <c r="AF20" s="119"/>
    </row>
    <row r="21" spans="1:32" x14ac:dyDescent="0.2">
      <c r="A21" s="43" t="s">
        <v>92</v>
      </c>
      <c r="B21" s="43" t="s">
        <v>93</v>
      </c>
      <c r="C21" s="51">
        <v>0.28299999999999997</v>
      </c>
      <c r="D21" s="51">
        <v>0.2354651162790698</v>
      </c>
      <c r="E21" s="45">
        <v>7.8099990993574009E-2</v>
      </c>
      <c r="F21" s="49">
        <v>0.19885503575754793</v>
      </c>
      <c r="H21" s="45">
        <v>0.12000576897968515</v>
      </c>
      <c r="I21" s="47">
        <v>0.14914127681816094</v>
      </c>
      <c r="J21" s="47">
        <v>0.21315910841616251</v>
      </c>
      <c r="K21" s="48">
        <v>0.36230038523432345</v>
      </c>
      <c r="M21" s="45">
        <v>0.12000576897968515</v>
      </c>
      <c r="N21" s="47">
        <v>0.19885503575754793</v>
      </c>
      <c r="O21" s="47">
        <v>0.28421214455488336</v>
      </c>
      <c r="P21" s="48">
        <v>0.48306718031243129</v>
      </c>
      <c r="R21" s="44" t="str">
        <f t="shared" si="0"/>
        <v>CCC</v>
      </c>
      <c r="S21" s="45">
        <f t="shared" si="4"/>
        <v>6.0002884489842576E-2</v>
      </c>
      <c r="T21" s="47">
        <f t="shared" si="1"/>
        <v>0.98853071991874253</v>
      </c>
      <c r="U21" s="47">
        <f t="shared" si="2"/>
        <v>-0.48190353565885963</v>
      </c>
      <c r="V21" s="120">
        <f t="shared" si="3"/>
        <v>0.1147508221275354</v>
      </c>
      <c r="AF21" s="119"/>
    </row>
    <row r="22" spans="1:32" x14ac:dyDescent="0.2">
      <c r="A22" s="43" t="s">
        <v>113</v>
      </c>
      <c r="B22" s="43" t="s">
        <v>94</v>
      </c>
      <c r="C22" s="51">
        <v>0.28299999999999997</v>
      </c>
      <c r="D22" s="51">
        <v>0.2354651162790698</v>
      </c>
      <c r="E22" s="45">
        <v>0.21164126775008979</v>
      </c>
      <c r="F22" s="49">
        <v>0.2433687946763865</v>
      </c>
      <c r="H22" s="45">
        <v>0.12000062300999806</v>
      </c>
      <c r="I22" s="47">
        <v>0.18252659600728988</v>
      </c>
      <c r="J22" s="47">
        <v>0.22759407634678663</v>
      </c>
      <c r="K22" s="48">
        <v>0.41012067235407651</v>
      </c>
      <c r="M22" s="45">
        <v>0.12000062300999806</v>
      </c>
      <c r="N22" s="47">
        <v>0.2433687946763865</v>
      </c>
      <c r="O22" s="47">
        <v>0.30345876846238218</v>
      </c>
      <c r="P22" s="48">
        <v>0.54682756313876868</v>
      </c>
      <c r="R22" s="44" t="str">
        <f t="shared" si="0"/>
        <v>CCC-</v>
      </c>
      <c r="S22" s="45">
        <f t="shared" si="4"/>
        <v>6.0000311504999029E-2</v>
      </c>
      <c r="T22" s="47">
        <f t="shared" si="1"/>
        <v>0.99293336387402265</v>
      </c>
      <c r="U22" s="47">
        <f t="shared" si="2"/>
        <v>-0.32698044976885282</v>
      </c>
      <c r="V22" s="120">
        <f t="shared" si="3"/>
        <v>0.12756467262540827</v>
      </c>
      <c r="AF22" s="119"/>
    </row>
    <row r="23" spans="1:32" x14ac:dyDescent="0.2">
      <c r="A23" s="44" t="s">
        <v>114</v>
      </c>
      <c r="B23" s="44" t="s">
        <v>95</v>
      </c>
      <c r="C23" s="45">
        <v>0.28299999999999997</v>
      </c>
      <c r="D23" s="45">
        <v>0.2354651162790698</v>
      </c>
      <c r="E23" s="45">
        <v>0.34518254450660557</v>
      </c>
      <c r="F23" s="49">
        <v>0.28788255359522513</v>
      </c>
      <c r="H23" s="45">
        <v>0.12000006728078082</v>
      </c>
      <c r="I23" s="47">
        <v>0.21591191519641884</v>
      </c>
      <c r="J23" s="47">
        <v>0.23675025318474208</v>
      </c>
      <c r="K23" s="48">
        <v>0.45266216838116091</v>
      </c>
      <c r="M23" s="45">
        <v>0.12000006728078082</v>
      </c>
      <c r="N23" s="47">
        <v>0.28788255359522513</v>
      </c>
      <c r="O23" s="47">
        <v>0.31566700424632271</v>
      </c>
      <c r="P23" s="48">
        <v>0.60354955784154785</v>
      </c>
      <c r="R23" s="44" t="str">
        <f t="shared" si="0"/>
        <v>СС</v>
      </c>
      <c r="S23" s="45">
        <f t="shared" si="4"/>
        <v>6.0000033640390409E-2</v>
      </c>
      <c r="T23" s="47">
        <f t="shared" si="1"/>
        <v>0.99559475612004034</v>
      </c>
      <c r="U23" s="47">
        <f t="shared" si="2"/>
        <v>-0.18678452087714548</v>
      </c>
      <c r="V23" s="120">
        <f t="shared" si="3"/>
        <v>0.13742417266891252</v>
      </c>
      <c r="AF23" s="119"/>
    </row>
    <row r="24" spans="1:32" x14ac:dyDescent="0.2">
      <c r="A24" s="44" t="s">
        <v>98</v>
      </c>
      <c r="B24" s="44" t="s">
        <v>115</v>
      </c>
      <c r="C24" s="45">
        <v>0.64149999999999996</v>
      </c>
      <c r="D24" s="45">
        <v>0.61773255813953487</v>
      </c>
      <c r="E24" s="45">
        <v>0.67259127225330273</v>
      </c>
      <c r="F24" s="49">
        <v>0.64394127679761259</v>
      </c>
      <c r="H24" s="45">
        <v>0.12000000000000124</v>
      </c>
      <c r="I24" s="47">
        <v>0.48295595759820942</v>
      </c>
      <c r="J24" s="47">
        <v>0.18813920853945865</v>
      </c>
      <c r="K24" s="48">
        <v>0.67109516613766806</v>
      </c>
      <c r="M24" s="45">
        <v>0.12000000000000124</v>
      </c>
      <c r="N24" s="47">
        <v>0.64394127679761259</v>
      </c>
      <c r="O24" s="47">
        <v>0.25085227805261157</v>
      </c>
      <c r="P24" s="48">
        <v>0.89479355485022416</v>
      </c>
      <c r="R24" s="44" t="str">
        <f t="shared" si="0"/>
        <v>С</v>
      </c>
      <c r="S24" s="45">
        <f t="shared" si="4"/>
        <v>6.0000000000000622E-2</v>
      </c>
      <c r="T24" s="47">
        <f t="shared" si="1"/>
        <v>0.99993672275788015</v>
      </c>
      <c r="U24" s="47">
        <f t="shared" si="2"/>
        <v>0.77098801069875034</v>
      </c>
      <c r="V24" s="120">
        <f t="shared" si="3"/>
        <v>0.13569311733458511</v>
      </c>
      <c r="AF24" s="119"/>
    </row>
    <row r="25" spans="1:32" x14ac:dyDescent="0.2">
      <c r="A25" s="44" t="s">
        <v>98</v>
      </c>
      <c r="B25" s="44" t="s">
        <v>132</v>
      </c>
      <c r="C25" s="45">
        <v>1</v>
      </c>
      <c r="D25" s="45">
        <v>1</v>
      </c>
      <c r="E25" s="45">
        <v>1</v>
      </c>
      <c r="F25" s="49">
        <v>1</v>
      </c>
      <c r="H25" s="45"/>
      <c r="I25" s="47"/>
      <c r="J25" s="47"/>
      <c r="K25" s="48">
        <f>F25</f>
        <v>1</v>
      </c>
      <c r="M25" s="87"/>
      <c r="N25" s="87"/>
      <c r="O25" s="87"/>
      <c r="P25" s="121">
        <f>F25</f>
        <v>1</v>
      </c>
      <c r="R25" s="44" t="str">
        <f t="shared" si="0"/>
        <v>RD</v>
      </c>
      <c r="S25" s="45"/>
      <c r="T25" s="47"/>
      <c r="U25" s="47"/>
      <c r="V25" s="120">
        <f>F25</f>
        <v>1</v>
      </c>
      <c r="AF25" s="119"/>
    </row>
    <row r="26" spans="1:32" x14ac:dyDescent="0.2">
      <c r="A26" s="44" t="s">
        <v>115</v>
      </c>
      <c r="B26" s="44" t="s">
        <v>116</v>
      </c>
      <c r="C26" s="45">
        <v>1</v>
      </c>
      <c r="D26" s="45">
        <v>1</v>
      </c>
      <c r="E26" s="45">
        <v>1</v>
      </c>
      <c r="F26" s="49">
        <v>1</v>
      </c>
      <c r="H26" s="45"/>
      <c r="I26" s="47"/>
      <c r="J26" s="47"/>
      <c r="K26" s="48">
        <f>F26</f>
        <v>1</v>
      </c>
      <c r="M26" s="87"/>
      <c r="N26" s="87"/>
      <c r="O26" s="87"/>
      <c r="P26" s="121">
        <f>F26</f>
        <v>1</v>
      </c>
      <c r="R26" s="44" t="str">
        <f t="shared" si="0"/>
        <v>D</v>
      </c>
      <c r="S26" s="45"/>
      <c r="T26" s="47"/>
      <c r="U26" s="47"/>
      <c r="V26" s="120">
        <f>F26</f>
        <v>1</v>
      </c>
    </row>
    <row r="30" spans="1:32" ht="15" customHeight="1" x14ac:dyDescent="0.2">
      <c r="A30" s="237" t="s">
        <v>169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</row>
    <row r="31" spans="1:32" ht="15" x14ac:dyDescent="0.25">
      <c r="A31" s="110"/>
      <c r="B31" s="110"/>
      <c r="C31" s="110"/>
      <c r="D31" s="114" t="s">
        <v>170</v>
      </c>
      <c r="E31" s="116">
        <f>AVERAGE(C45:C230)</f>
        <v>2.5229171909815103E-2</v>
      </c>
      <c r="F31" s="115"/>
      <c r="G31" s="115">
        <v>0.999</v>
      </c>
      <c r="H31" s="116">
        <f>_xlfn.NORM.INV(1-G31,$E$31,$E$32)</f>
        <v>-0.10522496555929647</v>
      </c>
      <c r="I31" s="115">
        <f>COUNTIF(C48:C230,"&lt;=" &amp;H31)</f>
        <v>0</v>
      </c>
      <c r="J31" s="110"/>
    </row>
    <row r="32" spans="1:32" ht="15" x14ac:dyDescent="0.25">
      <c r="A32" s="110" t="s">
        <v>171</v>
      </c>
      <c r="B32" s="110"/>
      <c r="C32" s="110"/>
      <c r="D32" s="114" t="s">
        <v>172</v>
      </c>
      <c r="E32" s="116">
        <f>_xlfn.STDEV.S(C45:C230)</f>
        <v>4.221499374294204E-2</v>
      </c>
      <c r="F32" s="115"/>
      <c r="G32" s="115">
        <v>0.995</v>
      </c>
      <c r="H32" s="116">
        <f>_xlfn.NORM.INV(1-G32,$E$31,$E$32)</f>
        <v>-8.3509446022388453E-2</v>
      </c>
      <c r="I32" s="115">
        <f>COUNTIF(C48:C230,"&lt;=" &amp;H32)</f>
        <v>1</v>
      </c>
      <c r="J32" s="110"/>
    </row>
    <row r="33" spans="1:10" ht="15" x14ac:dyDescent="0.25">
      <c r="A33" s="110" t="s">
        <v>173</v>
      </c>
      <c r="B33" s="110"/>
      <c r="C33" s="110"/>
      <c r="D33" s="115"/>
      <c r="E33" s="115"/>
      <c r="F33" s="115"/>
      <c r="G33" s="115">
        <v>0.99</v>
      </c>
      <c r="H33" s="116">
        <f>_xlfn.NORM.INV(1-G33,$E$31,$E$32)</f>
        <v>-7.2977589036725507E-2</v>
      </c>
      <c r="I33" s="115">
        <f>COUNTIF(C48:C230,"&lt;=" &amp;H33)</f>
        <v>3</v>
      </c>
      <c r="J33" s="110"/>
    </row>
    <row r="34" spans="1:10" ht="15" x14ac:dyDescent="0.25">
      <c r="A34" s="110" t="s">
        <v>174</v>
      </c>
      <c r="B34" s="110"/>
      <c r="C34" s="110"/>
      <c r="D34" s="115"/>
      <c r="E34" s="115"/>
      <c r="F34" s="115"/>
      <c r="G34" s="115">
        <v>0.95</v>
      </c>
      <c r="H34" s="116">
        <f>_xlfn.NORM.INV(1-G34,$E$31,$E$32)</f>
        <v>-4.4208313659996779E-2</v>
      </c>
      <c r="I34" s="115">
        <f>COUNTIF(C48:C230,"&lt;=" &amp;H34)</f>
        <v>4</v>
      </c>
      <c r="J34" s="110"/>
    </row>
    <row r="35" spans="1:10" ht="15" x14ac:dyDescent="0.25">
      <c r="A35" s="110" t="s">
        <v>175</v>
      </c>
      <c r="B35" s="110"/>
      <c r="C35" s="110"/>
      <c r="D35" s="115"/>
      <c r="E35" s="115"/>
      <c r="F35" s="115"/>
      <c r="G35" s="115">
        <v>0.9</v>
      </c>
      <c r="H35" s="116">
        <f>_xlfn.NORM.INV(1-G35,$E$31,$E$32)</f>
        <v>-2.8871519410907789E-2</v>
      </c>
      <c r="I35" s="115">
        <f>COUNTIF(C48:C230,"&lt;=" &amp;H35)</f>
        <v>6</v>
      </c>
      <c r="J35" s="110"/>
    </row>
    <row r="36" spans="1:10" ht="15" x14ac:dyDescent="0.25">
      <c r="A36" s="110" t="s">
        <v>176</v>
      </c>
      <c r="B36" s="110"/>
      <c r="C36" s="110"/>
      <c r="D36" s="110"/>
      <c r="E36" s="110"/>
      <c r="F36" s="110"/>
      <c r="G36" s="110"/>
      <c r="H36" s="110"/>
      <c r="I36" s="110"/>
      <c r="J36" s="110"/>
    </row>
    <row r="37" spans="1:10" ht="15" x14ac:dyDescent="0.25">
      <c r="A37" s="110" t="s">
        <v>177</v>
      </c>
      <c r="B37" s="110" t="s">
        <v>178</v>
      </c>
      <c r="C37" s="110"/>
      <c r="D37" s="110"/>
      <c r="E37" s="110"/>
      <c r="F37" s="110"/>
      <c r="G37" s="110"/>
      <c r="H37" s="110"/>
      <c r="I37" s="110"/>
      <c r="J37" s="110"/>
    </row>
    <row r="38" spans="1:10" ht="15" x14ac:dyDescent="0.25">
      <c r="A38" s="130" t="s">
        <v>181</v>
      </c>
      <c r="B38" s="113"/>
      <c r="C38" s="110"/>
      <c r="D38" s="110"/>
      <c r="E38" s="110"/>
      <c r="F38" s="110"/>
      <c r="G38" s="110"/>
      <c r="H38" s="110"/>
      <c r="I38" s="110"/>
      <c r="J38" s="110"/>
    </row>
    <row r="39" spans="1:10" ht="15" x14ac:dyDescent="0.25">
      <c r="A39" s="112"/>
      <c r="B39" s="113"/>
      <c r="C39" s="110"/>
      <c r="D39" s="110"/>
      <c r="E39" s="110"/>
      <c r="F39" s="110"/>
      <c r="G39" s="110"/>
      <c r="H39" s="110"/>
      <c r="I39" s="110"/>
      <c r="J39" s="110"/>
    </row>
    <row r="40" spans="1:10" ht="15" x14ac:dyDescent="0.25">
      <c r="A40" s="112"/>
      <c r="B40" s="113" t="s">
        <v>182</v>
      </c>
      <c r="C40" s="110"/>
      <c r="D40" s="110"/>
      <c r="E40" s="110"/>
      <c r="F40" s="110"/>
      <c r="G40" s="110"/>
      <c r="H40" s="110"/>
      <c r="I40" s="110"/>
      <c r="J40" s="110"/>
    </row>
    <row r="41" spans="1:10" ht="15" x14ac:dyDescent="0.25">
      <c r="A41" s="110"/>
      <c r="B41" s="110"/>
      <c r="C41" s="110"/>
      <c r="D41" s="110"/>
      <c r="E41" s="110"/>
      <c r="F41" s="110"/>
      <c r="G41" s="110"/>
      <c r="H41" s="110"/>
      <c r="I41" s="110"/>
      <c r="J41" s="110"/>
    </row>
    <row r="42" spans="1:10" ht="15" x14ac:dyDescent="0.25">
      <c r="A42" s="110" t="s">
        <v>179</v>
      </c>
      <c r="B42" s="110"/>
      <c r="C42" s="110"/>
      <c r="D42" s="110"/>
      <c r="E42" s="110"/>
      <c r="F42" s="110"/>
      <c r="G42" s="110"/>
      <c r="H42" s="110"/>
      <c r="I42" s="110"/>
      <c r="J42" s="110"/>
    </row>
    <row r="43" spans="1:10" ht="15" x14ac:dyDescent="0.25">
      <c r="A43" s="110" t="s">
        <v>180</v>
      </c>
      <c r="B43" s="110" t="s">
        <v>177</v>
      </c>
      <c r="C43" s="110"/>
      <c r="D43" s="110"/>
      <c r="E43" s="110"/>
      <c r="F43" s="110"/>
      <c r="G43" s="110"/>
      <c r="H43" s="110"/>
      <c r="I43" s="110"/>
      <c r="J43" s="110"/>
    </row>
    <row r="44" spans="1:10" ht="15" x14ac:dyDescent="0.25">
      <c r="A44" s="111">
        <v>37622</v>
      </c>
      <c r="B44" s="207">
        <v>65.510103132139804</v>
      </c>
      <c r="C44" s="207"/>
      <c r="D44" s="207"/>
      <c r="E44" s="207"/>
      <c r="F44" s="110"/>
      <c r="G44" s="110"/>
      <c r="H44" s="110"/>
      <c r="I44" s="110"/>
      <c r="J44" s="110"/>
    </row>
    <row r="45" spans="1:10" ht="15" x14ac:dyDescent="0.25">
      <c r="A45" s="111">
        <v>37712</v>
      </c>
      <c r="B45" s="207">
        <v>66.240826761037695</v>
      </c>
      <c r="C45" s="207"/>
      <c r="D45" s="207"/>
      <c r="E45" s="207"/>
      <c r="F45" s="110"/>
      <c r="G45" s="110"/>
      <c r="H45" s="110"/>
      <c r="I45" s="110"/>
      <c r="J45" s="110"/>
    </row>
    <row r="46" spans="1:10" ht="15" x14ac:dyDescent="0.25">
      <c r="A46" s="111">
        <v>37803</v>
      </c>
      <c r="B46" s="207">
        <v>67.359082660623002</v>
      </c>
      <c r="C46" s="207"/>
      <c r="D46" s="207"/>
      <c r="E46" s="207"/>
      <c r="F46" s="110"/>
      <c r="G46" s="110"/>
      <c r="H46" s="110"/>
      <c r="I46" s="110"/>
      <c r="J46" s="110"/>
    </row>
    <row r="47" spans="1:10" ht="15" x14ac:dyDescent="0.25">
      <c r="A47" s="111">
        <v>37895</v>
      </c>
      <c r="B47" s="207">
        <v>68.587590252858504</v>
      </c>
      <c r="C47" s="207"/>
      <c r="D47" s="207"/>
      <c r="E47" s="207"/>
      <c r="F47" s="110"/>
      <c r="G47" s="110"/>
      <c r="H47" s="110"/>
      <c r="I47" s="110"/>
      <c r="J47" s="110"/>
    </row>
    <row r="48" spans="1:10" ht="15" x14ac:dyDescent="0.25">
      <c r="A48" s="111">
        <v>37987</v>
      </c>
      <c r="B48" s="207">
        <v>69.876122629860504</v>
      </c>
      <c r="C48" s="207">
        <f>LN(B48/B44)</f>
        <v>6.4519620566705849E-2</v>
      </c>
      <c r="D48" s="207">
        <f>(C48-$E$31)/$E$32</f>
        <v>0.93072259813990244</v>
      </c>
      <c r="E48" s="207">
        <f>_xlfn.NORM.DIST(C48,$E$31,$E$32,TRUE)</f>
        <v>0.82400146149817355</v>
      </c>
      <c r="F48" s="110"/>
      <c r="G48" s="110"/>
      <c r="H48" s="110"/>
      <c r="I48" s="110"/>
      <c r="J48" s="110"/>
    </row>
    <row r="49" spans="1:10" ht="15" x14ac:dyDescent="0.25">
      <c r="A49" s="111">
        <v>38078</v>
      </c>
      <c r="B49" s="207">
        <v>71.222764113825605</v>
      </c>
      <c r="C49" s="207">
        <f t="shared" ref="C49:C112" si="5">LN(B49/B45)</f>
        <v>7.2515496722983991E-2</v>
      </c>
      <c r="D49" s="207">
        <f t="shared" ref="D49:D112" si="6">(C49-$E$31)/$E$32</f>
        <v>1.1201310392489332</v>
      </c>
      <c r="E49" s="207">
        <f t="shared" ref="E49:E112" si="7">_xlfn.NORM.DIST(C49,$E$31,$E$32,TRUE)</f>
        <v>0.86867103732939821</v>
      </c>
      <c r="F49" s="110"/>
      <c r="G49" s="110"/>
      <c r="H49" s="110"/>
      <c r="I49" s="110"/>
      <c r="J49" s="110"/>
    </row>
    <row r="50" spans="1:10" ht="15" x14ac:dyDescent="0.25">
      <c r="A50" s="111">
        <v>38169</v>
      </c>
      <c r="B50" s="207">
        <v>72.301457942461795</v>
      </c>
      <c r="C50" s="207">
        <f t="shared" si="5"/>
        <v>7.0806542758027793E-2</v>
      </c>
      <c r="D50" s="207">
        <f t="shared" si="6"/>
        <v>1.0796488831846103</v>
      </c>
      <c r="E50" s="207">
        <f t="shared" si="7"/>
        <v>0.8598507177008734</v>
      </c>
      <c r="F50" s="110"/>
      <c r="G50" s="110"/>
      <c r="H50" s="110"/>
      <c r="I50" s="110"/>
      <c r="J50" s="110"/>
    </row>
    <row r="51" spans="1:10" ht="15" x14ac:dyDescent="0.25">
      <c r="A51" s="111">
        <v>38261</v>
      </c>
      <c r="B51" s="207">
        <v>73.1099117214236</v>
      </c>
      <c r="C51" s="207">
        <f t="shared" si="5"/>
        <v>6.3852330565074264E-2</v>
      </c>
      <c r="D51" s="207">
        <f t="shared" si="6"/>
        <v>0.91491565509746386</v>
      </c>
      <c r="E51" s="207">
        <f t="shared" si="7"/>
        <v>0.81988204458225267</v>
      </c>
      <c r="F51" s="110"/>
      <c r="G51" s="110"/>
      <c r="H51" s="110"/>
      <c r="I51" s="110"/>
      <c r="J51" s="110"/>
    </row>
    <row r="52" spans="1:10" ht="15" x14ac:dyDescent="0.25">
      <c r="A52" s="111">
        <v>38353</v>
      </c>
      <c r="B52" s="207">
        <v>74.387932971289501</v>
      </c>
      <c r="C52" s="207">
        <f t="shared" si="5"/>
        <v>6.2569739833128177E-2</v>
      </c>
      <c r="D52" s="207">
        <f t="shared" si="6"/>
        <v>0.88453330469949598</v>
      </c>
      <c r="E52" s="207">
        <f t="shared" si="7"/>
        <v>0.81179580394656148</v>
      </c>
      <c r="F52" s="110"/>
      <c r="G52" s="110"/>
      <c r="H52" s="110"/>
      <c r="I52" s="110"/>
      <c r="J52" s="110"/>
    </row>
    <row r="53" spans="1:10" ht="15" x14ac:dyDescent="0.25">
      <c r="A53" s="111">
        <v>38443</v>
      </c>
      <c r="B53" s="207">
        <v>75.520336883177293</v>
      </c>
      <c r="C53" s="207">
        <f t="shared" si="5"/>
        <v>5.8589494656496134E-2</v>
      </c>
      <c r="D53" s="207">
        <f t="shared" si="6"/>
        <v>0.79024819830178405</v>
      </c>
      <c r="E53" s="207">
        <f t="shared" si="7"/>
        <v>0.78530858357296451</v>
      </c>
      <c r="F53" s="110"/>
      <c r="G53" s="110"/>
      <c r="H53" s="110"/>
      <c r="I53" s="110"/>
      <c r="J53" s="110"/>
    </row>
    <row r="54" spans="1:10" ht="15" x14ac:dyDescent="0.25">
      <c r="A54" s="111">
        <v>38534</v>
      </c>
      <c r="B54" s="207">
        <v>76.851159994691699</v>
      </c>
      <c r="C54" s="207">
        <f t="shared" si="5"/>
        <v>6.1026270000554272E-2</v>
      </c>
      <c r="D54" s="207">
        <f t="shared" si="6"/>
        <v>0.84797118077801714</v>
      </c>
      <c r="E54" s="207">
        <f t="shared" si="7"/>
        <v>0.80177298961299526</v>
      </c>
      <c r="F54" s="110"/>
      <c r="G54" s="110"/>
      <c r="H54" s="110"/>
      <c r="I54" s="110"/>
      <c r="J54" s="110"/>
    </row>
    <row r="55" spans="1:10" ht="15" x14ac:dyDescent="0.25">
      <c r="A55" s="111">
        <v>38626</v>
      </c>
      <c r="B55" s="207">
        <v>78.436476827611699</v>
      </c>
      <c r="C55" s="207">
        <f t="shared" si="5"/>
        <v>7.0325135983755865E-2</v>
      </c>
      <c r="D55" s="207">
        <f t="shared" si="6"/>
        <v>1.0682451914725295</v>
      </c>
      <c r="E55" s="207">
        <f t="shared" si="7"/>
        <v>0.85729503774538274</v>
      </c>
      <c r="F55" s="110"/>
      <c r="G55" s="110"/>
      <c r="H55" s="110"/>
      <c r="I55" s="110"/>
      <c r="J55" s="110"/>
    </row>
    <row r="56" spans="1:10" ht="15" x14ac:dyDescent="0.25">
      <c r="A56" s="111">
        <v>38718</v>
      </c>
      <c r="B56" s="207">
        <v>79.950775531723707</v>
      </c>
      <c r="C56" s="207">
        <f t="shared" si="5"/>
        <v>7.2117402003578746E-2</v>
      </c>
      <c r="D56" s="207">
        <f t="shared" si="6"/>
        <v>1.1107008656516246</v>
      </c>
      <c r="E56" s="207">
        <f t="shared" si="7"/>
        <v>0.86665143524621713</v>
      </c>
      <c r="F56" s="110"/>
      <c r="G56" s="110"/>
      <c r="H56" s="110"/>
      <c r="I56" s="110"/>
      <c r="J56" s="110"/>
    </row>
    <row r="57" spans="1:10" ht="15" x14ac:dyDescent="0.25">
      <c r="A57" s="111">
        <v>38808</v>
      </c>
      <c r="B57" s="207">
        <v>81.489911072484205</v>
      </c>
      <c r="C57" s="207">
        <f t="shared" si="5"/>
        <v>7.6077239388019094E-2</v>
      </c>
      <c r="D57" s="207">
        <f t="shared" si="6"/>
        <v>1.2045025468398967</v>
      </c>
      <c r="E57" s="207">
        <f t="shared" si="7"/>
        <v>0.88580230086062361</v>
      </c>
      <c r="F57" s="110"/>
      <c r="G57" s="110"/>
      <c r="H57" s="110"/>
      <c r="I57" s="110"/>
      <c r="J57" s="110"/>
    </row>
    <row r="58" spans="1:10" ht="15" x14ac:dyDescent="0.25">
      <c r="A58" s="111">
        <v>38899</v>
      </c>
      <c r="B58" s="207">
        <v>83.361024687635094</v>
      </c>
      <c r="C58" s="207">
        <f t="shared" si="5"/>
        <v>8.1310306106349498E-2</v>
      </c>
      <c r="D58" s="207">
        <f t="shared" si="6"/>
        <v>1.3284648231390688</v>
      </c>
      <c r="E58" s="207">
        <f t="shared" si="7"/>
        <v>0.9079877014858454</v>
      </c>
      <c r="F58" s="110"/>
      <c r="G58" s="110"/>
      <c r="H58" s="110"/>
      <c r="I58" s="110"/>
      <c r="J58" s="110"/>
    </row>
    <row r="59" spans="1:10" ht="15" x14ac:dyDescent="0.25">
      <c r="A59" s="111">
        <v>38991</v>
      </c>
      <c r="B59" s="207">
        <v>84.944251040678097</v>
      </c>
      <c r="C59" s="207">
        <f t="shared" si="5"/>
        <v>7.9706086391587203E-2</v>
      </c>
      <c r="D59" s="207">
        <f t="shared" si="6"/>
        <v>1.29046363985024</v>
      </c>
      <c r="E59" s="207">
        <f t="shared" si="7"/>
        <v>0.90155513580194857</v>
      </c>
      <c r="F59" s="110"/>
      <c r="G59" s="110"/>
      <c r="H59" s="110"/>
      <c r="I59" s="110"/>
      <c r="J59" s="110"/>
    </row>
    <row r="60" spans="1:10" ht="15" x14ac:dyDescent="0.25">
      <c r="A60" s="111">
        <v>39083</v>
      </c>
      <c r="B60" s="207">
        <v>86.484843242565105</v>
      </c>
      <c r="C60" s="207">
        <f t="shared" si="5"/>
        <v>7.8558036513156529E-2</v>
      </c>
      <c r="D60" s="207">
        <f t="shared" si="6"/>
        <v>1.2632683289751172</v>
      </c>
      <c r="E60" s="207">
        <f t="shared" si="7"/>
        <v>0.8967536179622948</v>
      </c>
      <c r="F60" s="110"/>
      <c r="G60" s="110"/>
      <c r="H60" s="110"/>
      <c r="I60" s="110"/>
      <c r="J60" s="110"/>
    </row>
    <row r="61" spans="1:10" ht="15" x14ac:dyDescent="0.25">
      <c r="A61" s="111">
        <v>39173</v>
      </c>
      <c r="B61" s="207">
        <v>88.6675461506522</v>
      </c>
      <c r="C61" s="207">
        <f t="shared" si="5"/>
        <v>8.4414716994242689E-2</v>
      </c>
      <c r="D61" s="207">
        <f t="shared" si="6"/>
        <v>1.4020029339533626</v>
      </c>
      <c r="E61" s="207">
        <f t="shared" si="7"/>
        <v>0.91954281471571608</v>
      </c>
      <c r="F61" s="110"/>
      <c r="G61" s="110"/>
      <c r="H61" s="110"/>
      <c r="I61" s="110"/>
      <c r="J61" s="110"/>
    </row>
    <row r="62" spans="1:10" ht="15" x14ac:dyDescent="0.25">
      <c r="A62" s="111">
        <v>39264</v>
      </c>
      <c r="B62" s="207">
        <v>90.6227634143888</v>
      </c>
      <c r="C62" s="207">
        <f t="shared" si="5"/>
        <v>8.3524563057342099E-2</v>
      </c>
      <c r="D62" s="207">
        <f t="shared" si="6"/>
        <v>1.3809167307355918</v>
      </c>
      <c r="E62" s="207">
        <f t="shared" si="7"/>
        <v>0.91634771745862598</v>
      </c>
      <c r="F62" s="110"/>
      <c r="G62" s="110"/>
      <c r="H62" s="110"/>
      <c r="I62" s="110"/>
      <c r="J62" s="110"/>
    </row>
    <row r="63" spans="1:10" ht="15" x14ac:dyDescent="0.25">
      <c r="A63" s="111">
        <v>39356</v>
      </c>
      <c r="B63" s="207">
        <v>93.517102377652094</v>
      </c>
      <c r="C63" s="207">
        <f t="shared" si="5"/>
        <v>9.6149161494287275E-2</v>
      </c>
      <c r="D63" s="207">
        <f t="shared" si="6"/>
        <v>1.6799715763627074</v>
      </c>
      <c r="E63" s="207">
        <f t="shared" si="7"/>
        <v>0.9535185769543213</v>
      </c>
      <c r="F63" s="110"/>
      <c r="G63" s="110"/>
      <c r="H63" s="110"/>
      <c r="I63" s="110"/>
      <c r="J63" s="110"/>
    </row>
    <row r="64" spans="1:10" ht="15" x14ac:dyDescent="0.25">
      <c r="A64" s="111">
        <v>39448</v>
      </c>
      <c r="B64" s="207">
        <v>95.998271786425306</v>
      </c>
      <c r="C64" s="207">
        <f t="shared" si="5"/>
        <v>0.10436101312580785</v>
      </c>
      <c r="D64" s="207">
        <f t="shared" si="6"/>
        <v>1.8744961019737889</v>
      </c>
      <c r="E64" s="207">
        <f t="shared" si="7"/>
        <v>0.96956896058829323</v>
      </c>
      <c r="F64" s="110"/>
      <c r="G64" s="110"/>
      <c r="H64" s="110"/>
      <c r="I64" s="110"/>
      <c r="J64" s="110"/>
    </row>
    <row r="65" spans="1:10" ht="15" x14ac:dyDescent="0.25">
      <c r="A65" s="111">
        <v>39539</v>
      </c>
      <c r="B65" s="207">
        <v>96.594999342283899</v>
      </c>
      <c r="C65" s="207">
        <f t="shared" si="5"/>
        <v>8.5633034178794948E-2</v>
      </c>
      <c r="D65" s="207">
        <f t="shared" si="6"/>
        <v>1.4308627554653803</v>
      </c>
      <c r="E65" s="207">
        <f t="shared" si="7"/>
        <v>0.92376522344031575</v>
      </c>
      <c r="F65" s="110"/>
      <c r="G65" s="110"/>
      <c r="H65" s="110"/>
      <c r="I65" s="110"/>
      <c r="J65" s="110"/>
    </row>
    <row r="66" spans="1:10" ht="15" x14ac:dyDescent="0.25">
      <c r="A66" s="111">
        <v>39630</v>
      </c>
      <c r="B66" s="207">
        <v>95.155088020845199</v>
      </c>
      <c r="C66" s="207">
        <f t="shared" si="5"/>
        <v>4.8802632689594207E-2</v>
      </c>
      <c r="D66" s="207">
        <f t="shared" si="6"/>
        <v>0.55841440894967254</v>
      </c>
      <c r="E66" s="207">
        <f t="shared" si="7"/>
        <v>0.71171928207802992</v>
      </c>
      <c r="F66" s="110"/>
      <c r="G66" s="110"/>
      <c r="H66" s="110"/>
      <c r="I66" s="110"/>
      <c r="J66" s="110"/>
    </row>
    <row r="67" spans="1:10" ht="15" x14ac:dyDescent="0.25">
      <c r="A67" s="111">
        <v>39722</v>
      </c>
      <c r="B67" s="207">
        <v>92.0604433206707</v>
      </c>
      <c r="C67" s="207">
        <f t="shared" si="5"/>
        <v>-1.5698978758184483E-2</v>
      </c>
      <c r="D67" s="207">
        <f t="shared" si="6"/>
        <v>-0.96951691897010872</v>
      </c>
      <c r="E67" s="207">
        <f t="shared" si="7"/>
        <v>0.16614367142265679</v>
      </c>
      <c r="F67" s="110"/>
      <c r="G67" s="110"/>
      <c r="H67" s="110"/>
      <c r="I67" s="110"/>
      <c r="J67" s="110"/>
    </row>
    <row r="68" spans="1:10" ht="15" x14ac:dyDescent="0.25">
      <c r="A68" s="111">
        <v>39814</v>
      </c>
      <c r="B68" s="207">
        <v>88.813488278373697</v>
      </c>
      <c r="C68" s="207">
        <f t="shared" si="5"/>
        <v>-7.7791655591084183E-2</v>
      </c>
      <c r="D68" s="207">
        <f t="shared" si="6"/>
        <v>-2.4403847630114459</v>
      </c>
      <c r="E68" s="207">
        <f t="shared" si="7"/>
        <v>7.3358130265647028E-3</v>
      </c>
      <c r="F68" s="110"/>
      <c r="G68" s="110"/>
      <c r="H68" s="110"/>
      <c r="I68" s="110"/>
      <c r="J68" s="110"/>
    </row>
    <row r="69" spans="1:10" ht="15" x14ac:dyDescent="0.25">
      <c r="A69" s="111">
        <v>39904</v>
      </c>
      <c r="B69" s="207">
        <v>87.517823129297597</v>
      </c>
      <c r="C69" s="207">
        <f t="shared" si="5"/>
        <v>-9.8684507708265937E-2</v>
      </c>
      <c r="D69" s="207">
        <f t="shared" si="6"/>
        <v>-2.935300200981275</v>
      </c>
      <c r="E69" s="207">
        <f t="shared" si="7"/>
        <v>1.666125657829022E-3</v>
      </c>
      <c r="F69" s="110"/>
      <c r="G69" s="110"/>
      <c r="H69" s="110"/>
      <c r="I69" s="110"/>
      <c r="J69" s="110"/>
    </row>
    <row r="70" spans="1:10" ht="15" x14ac:dyDescent="0.25">
      <c r="A70" s="111">
        <v>39995</v>
      </c>
      <c r="B70" s="207">
        <v>87.877018295896605</v>
      </c>
      <c r="C70" s="207">
        <f t="shared" si="5"/>
        <v>-7.9569748322082814E-2</v>
      </c>
      <c r="D70" s="207">
        <f t="shared" si="6"/>
        <v>-2.4825046965551034</v>
      </c>
      <c r="E70" s="207">
        <f t="shared" si="7"/>
        <v>6.5231174021972383E-3</v>
      </c>
      <c r="F70" s="110"/>
      <c r="G70" s="110"/>
      <c r="H70" s="110"/>
      <c r="I70" s="110"/>
      <c r="J70" s="110"/>
    </row>
    <row r="71" spans="1:10" ht="15" x14ac:dyDescent="0.25">
      <c r="A71" s="111">
        <v>40087</v>
      </c>
      <c r="B71" s="207">
        <v>88.827591433321601</v>
      </c>
      <c r="C71" s="207">
        <f t="shared" si="5"/>
        <v>-3.5748037864230725E-2</v>
      </c>
      <c r="D71" s="207">
        <f t="shared" si="6"/>
        <v>-1.4444443636626303</v>
      </c>
      <c r="E71" s="207">
        <f t="shared" si="7"/>
        <v>7.4307009581985217E-2</v>
      </c>
      <c r="F71" s="110"/>
      <c r="G71" s="110"/>
      <c r="H71" s="110"/>
      <c r="I71" s="110"/>
      <c r="J71" s="110"/>
    </row>
    <row r="72" spans="1:10" ht="15" x14ac:dyDescent="0.25">
      <c r="A72" s="111">
        <v>40179</v>
      </c>
      <c r="B72" s="207">
        <v>90.727135740616006</v>
      </c>
      <c r="C72" s="207">
        <f t="shared" si="5"/>
        <v>2.1317960149009989E-2</v>
      </c>
      <c r="D72" s="207">
        <f t="shared" si="6"/>
        <v>-9.2649824482303356E-2</v>
      </c>
      <c r="E72" s="207">
        <f t="shared" si="7"/>
        <v>0.46309087986603636</v>
      </c>
      <c r="F72" s="110"/>
      <c r="G72" s="110"/>
      <c r="H72" s="110"/>
      <c r="I72" s="110"/>
      <c r="J72" s="110"/>
    </row>
    <row r="73" spans="1:10" ht="15" x14ac:dyDescent="0.25">
      <c r="A73" s="111">
        <v>40269</v>
      </c>
      <c r="B73" s="207">
        <v>91.589133406016799</v>
      </c>
      <c r="C73" s="207">
        <f t="shared" si="5"/>
        <v>4.5470168176953429E-2</v>
      </c>
      <c r="D73" s="207">
        <f t="shared" si="6"/>
        <v>0.47947410321534006</v>
      </c>
      <c r="E73" s="207">
        <f t="shared" si="7"/>
        <v>0.68419930647793636</v>
      </c>
      <c r="F73" s="110"/>
      <c r="G73" s="110"/>
      <c r="H73" s="110"/>
      <c r="I73" s="110"/>
      <c r="J73" s="110"/>
    </row>
    <row r="74" spans="1:10" ht="15" x14ac:dyDescent="0.25">
      <c r="A74" s="111">
        <v>40360</v>
      </c>
      <c r="B74" s="207">
        <v>92.068613990935106</v>
      </c>
      <c r="C74" s="207">
        <f t="shared" si="5"/>
        <v>4.6595785652106786E-2</v>
      </c>
      <c r="D74" s="207">
        <f t="shared" si="6"/>
        <v>0.50613802935512653</v>
      </c>
      <c r="E74" s="207">
        <f t="shared" si="7"/>
        <v>0.69362012238538906</v>
      </c>
      <c r="F74" s="110"/>
      <c r="G74" s="110"/>
      <c r="H74" s="110"/>
      <c r="I74" s="110"/>
      <c r="J74" s="110"/>
    </row>
    <row r="75" spans="1:10" ht="15" x14ac:dyDescent="0.25">
      <c r="A75" s="111">
        <v>40452</v>
      </c>
      <c r="B75" s="207">
        <v>93.225898082320398</v>
      </c>
      <c r="C75" s="207">
        <f t="shared" si="5"/>
        <v>4.832824343516235E-2</v>
      </c>
      <c r="D75" s="207">
        <f t="shared" si="6"/>
        <v>0.54717695011406231</v>
      </c>
      <c r="E75" s="207">
        <f t="shared" si="7"/>
        <v>0.70787141488868544</v>
      </c>
      <c r="F75" s="110"/>
      <c r="G75" s="110"/>
      <c r="H75" s="110"/>
      <c r="I75" s="110"/>
      <c r="J75" s="110"/>
    </row>
    <row r="76" spans="1:10" ht="15" x14ac:dyDescent="0.25">
      <c r="A76" s="111">
        <v>40544</v>
      </c>
      <c r="B76" s="207">
        <v>94.166847649421797</v>
      </c>
      <c r="C76" s="207">
        <f t="shared" si="5"/>
        <v>3.7211690218317765E-2</v>
      </c>
      <c r="D76" s="207">
        <f t="shared" si="6"/>
        <v>0.28384508076602594</v>
      </c>
      <c r="E76" s="207">
        <f t="shared" si="7"/>
        <v>0.61173544737708707</v>
      </c>
      <c r="F76" s="110"/>
      <c r="G76" s="110"/>
      <c r="H76" s="110"/>
      <c r="I76" s="110"/>
      <c r="J76" s="110"/>
    </row>
    <row r="77" spans="1:10" ht="15" x14ac:dyDescent="0.25">
      <c r="A77" s="111">
        <v>40634</v>
      </c>
      <c r="B77" s="207">
        <v>95.168779962570795</v>
      </c>
      <c r="C77" s="207">
        <f t="shared" si="5"/>
        <v>3.8339312738892427E-2</v>
      </c>
      <c r="D77" s="207">
        <f t="shared" si="6"/>
        <v>0.31055650295504827</v>
      </c>
      <c r="E77" s="207">
        <f t="shared" si="7"/>
        <v>0.62193110065022195</v>
      </c>
      <c r="F77" s="110"/>
      <c r="G77" s="110"/>
      <c r="H77" s="110"/>
      <c r="I77" s="110"/>
      <c r="J77" s="110"/>
    </row>
    <row r="78" spans="1:10" ht="15" x14ac:dyDescent="0.25">
      <c r="A78" s="111">
        <v>40725</v>
      </c>
      <c r="B78" s="207">
        <v>96.355655783664403</v>
      </c>
      <c r="C78" s="207">
        <f t="shared" si="5"/>
        <v>4.5511990214318836E-2</v>
      </c>
      <c r="D78" s="207">
        <f t="shared" si="6"/>
        <v>0.48046479476015164</v>
      </c>
      <c r="E78" s="207">
        <f t="shared" si="7"/>
        <v>0.68455153470179053</v>
      </c>
      <c r="F78" s="110"/>
      <c r="G78" s="110"/>
      <c r="H78" s="110"/>
      <c r="I78" s="110"/>
      <c r="J78" s="110"/>
    </row>
    <row r="79" spans="1:10" ht="15" x14ac:dyDescent="0.25">
      <c r="A79" s="111">
        <v>40817</v>
      </c>
      <c r="B79" s="207">
        <v>97.556006526236899</v>
      </c>
      <c r="C79" s="207">
        <f t="shared" si="5"/>
        <v>4.5401079483722732E-2</v>
      </c>
      <c r="D79" s="207">
        <f t="shared" si="6"/>
        <v>0.47783751187408824</v>
      </c>
      <c r="E79" s="207">
        <f t="shared" si="7"/>
        <v>0.68361707005099392</v>
      </c>
      <c r="F79" s="110"/>
      <c r="G79" s="110"/>
      <c r="H79" s="110"/>
      <c r="I79" s="110"/>
      <c r="J79" s="110"/>
    </row>
    <row r="80" spans="1:10" ht="15" x14ac:dyDescent="0.25">
      <c r="A80" s="111">
        <v>40909</v>
      </c>
      <c r="B80" s="207">
        <v>98.996999818282106</v>
      </c>
      <c r="C80" s="207">
        <f t="shared" si="5"/>
        <v>5.0021360952249488E-2</v>
      </c>
      <c r="D80" s="207">
        <f t="shared" si="6"/>
        <v>0.58728396818913209</v>
      </c>
      <c r="E80" s="207">
        <f t="shared" si="7"/>
        <v>0.72149349678514962</v>
      </c>
      <c r="F80" s="110"/>
      <c r="G80" s="110"/>
      <c r="H80" s="110"/>
      <c r="I80" s="110"/>
      <c r="J80" s="110"/>
    </row>
    <row r="81" spans="1:10" ht="15" x14ac:dyDescent="0.25">
      <c r="A81" s="111">
        <v>41000</v>
      </c>
      <c r="B81" s="207">
        <v>99.407391644865498</v>
      </c>
      <c r="C81" s="207">
        <f t="shared" si="5"/>
        <v>4.3574527079077448E-2</v>
      </c>
      <c r="D81" s="207">
        <f t="shared" si="6"/>
        <v>0.43456965269193054</v>
      </c>
      <c r="E81" s="207">
        <f t="shared" si="7"/>
        <v>0.66806258661268925</v>
      </c>
      <c r="F81" s="110"/>
      <c r="G81" s="110"/>
      <c r="H81" s="110"/>
      <c r="I81" s="110"/>
      <c r="J81" s="110"/>
    </row>
    <row r="82" spans="1:10" ht="15" x14ac:dyDescent="0.25">
      <c r="A82" s="111">
        <v>41091</v>
      </c>
      <c r="B82" s="207">
        <v>99.919609894516498</v>
      </c>
      <c r="C82" s="207">
        <f t="shared" si="5"/>
        <v>3.6319868092657921E-2</v>
      </c>
      <c r="D82" s="207">
        <f t="shared" si="6"/>
        <v>0.26271936104922627</v>
      </c>
      <c r="E82" s="207">
        <f t="shared" si="7"/>
        <v>0.60361655355575905</v>
      </c>
      <c r="F82" s="110"/>
      <c r="G82" s="110"/>
      <c r="H82" s="110"/>
      <c r="I82" s="110"/>
      <c r="J82" s="110"/>
    </row>
    <row r="83" spans="1:10" ht="15" x14ac:dyDescent="0.25">
      <c r="A83" s="111">
        <v>41183</v>
      </c>
      <c r="B83" s="207">
        <v>99.986457132823602</v>
      </c>
      <c r="C83" s="207">
        <f t="shared" si="5"/>
        <v>2.4608109150523357E-2</v>
      </c>
      <c r="D83" s="207">
        <f t="shared" si="6"/>
        <v>-1.4711899830509441E-2</v>
      </c>
      <c r="E83" s="207">
        <f t="shared" si="7"/>
        <v>0.4941310128472694</v>
      </c>
      <c r="F83" s="110"/>
      <c r="G83" s="110"/>
      <c r="H83" s="110"/>
      <c r="I83" s="110"/>
      <c r="J83" s="110"/>
    </row>
    <row r="84" spans="1:10" ht="15" x14ac:dyDescent="0.25">
      <c r="A84" s="111">
        <v>41275</v>
      </c>
      <c r="B84" s="207">
        <v>100.726985612283</v>
      </c>
      <c r="C84" s="207">
        <f t="shared" si="5"/>
        <v>1.732419927567224E-2</v>
      </c>
      <c r="D84" s="207">
        <f t="shared" si="6"/>
        <v>-0.18725509429844467</v>
      </c>
      <c r="E84" s="207">
        <f t="shared" si="7"/>
        <v>0.4257303148532865</v>
      </c>
      <c r="F84" s="110"/>
      <c r="G84" s="110"/>
      <c r="H84" s="110"/>
      <c r="I84" s="110"/>
      <c r="J84" s="110"/>
    </row>
    <row r="85" spans="1:10" ht="15" x14ac:dyDescent="0.25">
      <c r="A85" s="111">
        <v>41365</v>
      </c>
      <c r="B85" s="207">
        <v>101.070009806263</v>
      </c>
      <c r="C85" s="207">
        <f t="shared" si="5"/>
        <v>1.6586969588867809E-2</v>
      </c>
      <c r="D85" s="207">
        <f t="shared" si="6"/>
        <v>-0.20471878720560491</v>
      </c>
      <c r="E85" s="207">
        <f t="shared" si="7"/>
        <v>0.41889592060191883</v>
      </c>
      <c r="F85" s="110"/>
      <c r="G85" s="110"/>
      <c r="H85" s="110"/>
      <c r="I85" s="110"/>
      <c r="J85" s="110"/>
    </row>
    <row r="86" spans="1:10" ht="15" x14ac:dyDescent="0.25">
      <c r="A86" s="111">
        <v>41456</v>
      </c>
      <c r="B86" s="207">
        <v>101.11096217383999</v>
      </c>
      <c r="C86" s="207">
        <f t="shared" si="5"/>
        <v>1.1852587536090031E-2</v>
      </c>
      <c r="D86" s="207">
        <f t="shared" si="6"/>
        <v>-0.31686808850851755</v>
      </c>
      <c r="E86" s="207">
        <f t="shared" si="7"/>
        <v>0.37567184845156976</v>
      </c>
      <c r="F86" s="110"/>
      <c r="G86" s="110"/>
      <c r="H86" s="110"/>
      <c r="I86" s="110"/>
      <c r="J86" s="110"/>
    </row>
    <row r="87" spans="1:10" ht="15" x14ac:dyDescent="0.25">
      <c r="A87" s="111">
        <v>41548</v>
      </c>
      <c r="B87" s="207">
        <v>101.69490921962699</v>
      </c>
      <c r="C87" s="207">
        <f t="shared" si="5"/>
        <v>1.694249681909955E-2</v>
      </c>
      <c r="D87" s="207">
        <f t="shared" si="6"/>
        <v>-0.19629696361381102</v>
      </c>
      <c r="E87" s="207">
        <f t="shared" si="7"/>
        <v>0.42218886892288005</v>
      </c>
      <c r="F87" s="110"/>
      <c r="G87" s="110"/>
      <c r="H87" s="110"/>
      <c r="I87" s="110"/>
      <c r="J87" s="110"/>
    </row>
    <row r="88" spans="1:10" ht="15" x14ac:dyDescent="0.25">
      <c r="A88" s="111">
        <v>41640</v>
      </c>
      <c r="B88" s="207">
        <v>101.687944867536</v>
      </c>
      <c r="C88" s="207">
        <f t="shared" si="5"/>
        <v>9.495015734234084E-3</v>
      </c>
      <c r="D88" s="207">
        <f t="shared" si="6"/>
        <v>-0.37271487641074513</v>
      </c>
      <c r="E88" s="207">
        <f t="shared" si="7"/>
        <v>0.35468033161604695</v>
      </c>
      <c r="F88" s="110"/>
      <c r="G88" s="110"/>
      <c r="H88" s="110"/>
      <c r="I88" s="110"/>
      <c r="J88" s="110"/>
    </row>
    <row r="89" spans="1:10" ht="15" x14ac:dyDescent="0.25">
      <c r="A89" s="111">
        <v>41730</v>
      </c>
      <c r="B89" s="207">
        <v>102.178133778542</v>
      </c>
      <c r="C89" s="207">
        <f t="shared" si="5"/>
        <v>1.0904256566714222E-2</v>
      </c>
      <c r="D89" s="207">
        <f t="shared" si="6"/>
        <v>-0.3393324047453134</v>
      </c>
      <c r="E89" s="207">
        <f t="shared" si="7"/>
        <v>0.36717966689869136</v>
      </c>
      <c r="F89" s="110"/>
      <c r="G89" s="110"/>
      <c r="H89" s="110"/>
      <c r="I89" s="110"/>
      <c r="J89" s="110"/>
    </row>
    <row r="90" spans="1:10" ht="15" x14ac:dyDescent="0.25">
      <c r="A90" s="111">
        <v>41821</v>
      </c>
      <c r="B90" s="207">
        <v>101.853222835591</v>
      </c>
      <c r="C90" s="207">
        <f t="shared" si="5"/>
        <v>7.3142359657024881E-3</v>
      </c>
      <c r="D90" s="207">
        <f t="shared" si="6"/>
        <v>-0.42437376760497159</v>
      </c>
      <c r="E90" s="207">
        <f t="shared" si="7"/>
        <v>0.33564662434956499</v>
      </c>
      <c r="F90" s="110"/>
      <c r="G90" s="110"/>
      <c r="H90" s="110"/>
      <c r="I90" s="110"/>
      <c r="J90" s="110"/>
    </row>
    <row r="91" spans="1:10" ht="15" x14ac:dyDescent="0.25">
      <c r="A91" s="111">
        <v>41913</v>
      </c>
      <c r="B91" s="207">
        <v>101.612644603989</v>
      </c>
      <c r="C91" s="207">
        <f t="shared" si="5"/>
        <v>-8.0926279993518053E-4</v>
      </c>
      <c r="D91" s="207">
        <f t="shared" si="6"/>
        <v>-0.61680536702918909</v>
      </c>
      <c r="E91" s="207">
        <f t="shared" si="7"/>
        <v>0.26868155575934372</v>
      </c>
      <c r="F91" s="110"/>
      <c r="G91" s="110"/>
      <c r="H91" s="110"/>
      <c r="I91" s="110"/>
      <c r="J91" s="110"/>
    </row>
    <row r="92" spans="1:10" ht="15" x14ac:dyDescent="0.25">
      <c r="A92" s="111">
        <v>42005</v>
      </c>
      <c r="B92" s="207">
        <v>100.577572391199</v>
      </c>
      <c r="C92" s="207">
        <f t="shared" si="5"/>
        <v>-1.097946546555666E-2</v>
      </c>
      <c r="D92" s="207">
        <f t="shared" si="6"/>
        <v>-0.8577198328123764</v>
      </c>
      <c r="E92" s="207">
        <f t="shared" si="7"/>
        <v>0.19552359297599953</v>
      </c>
      <c r="F92" s="110"/>
      <c r="G92" s="110"/>
      <c r="H92" s="110"/>
      <c r="I92" s="110"/>
      <c r="J92" s="110"/>
    </row>
    <row r="93" spans="1:10" ht="15" x14ac:dyDescent="0.25">
      <c r="A93" s="111">
        <v>42095</v>
      </c>
      <c r="B93" s="207">
        <v>99.902986393281907</v>
      </c>
      <c r="C93" s="207">
        <f t="shared" si="5"/>
        <v>-2.2518120643406855E-2</v>
      </c>
      <c r="D93" s="207">
        <f t="shared" si="6"/>
        <v>-1.1310505656821248</v>
      </c>
      <c r="E93" s="207">
        <f t="shared" si="7"/>
        <v>0.1290169045984598</v>
      </c>
      <c r="F93" s="110"/>
      <c r="G93" s="110"/>
      <c r="H93" s="110"/>
      <c r="I93" s="110"/>
      <c r="J93" s="110"/>
    </row>
    <row r="94" spans="1:10" ht="15" x14ac:dyDescent="0.25">
      <c r="A94" s="111">
        <v>42186</v>
      </c>
      <c r="B94" s="207">
        <v>100.096315425471</v>
      </c>
      <c r="C94" s="207">
        <f t="shared" si="5"/>
        <v>-1.7399908425960176E-2</v>
      </c>
      <c r="D94" s="207">
        <f t="shared" si="6"/>
        <v>-1.0098089933485415</v>
      </c>
      <c r="E94" s="207">
        <f t="shared" si="7"/>
        <v>0.15629340528782487</v>
      </c>
      <c r="F94" s="110"/>
      <c r="G94" s="110"/>
      <c r="H94" s="110"/>
      <c r="I94" s="110"/>
      <c r="J94" s="110"/>
    </row>
    <row r="95" spans="1:10" ht="15" x14ac:dyDescent="0.25">
      <c r="A95" s="111">
        <v>42278</v>
      </c>
      <c r="B95" s="207">
        <v>99.838582859556496</v>
      </c>
      <c r="C95" s="207">
        <f t="shared" si="5"/>
        <v>-1.7613271758840116E-2</v>
      </c>
      <c r="D95" s="207">
        <f t="shared" si="6"/>
        <v>-1.0148632007275398</v>
      </c>
      <c r="E95" s="207">
        <f t="shared" si="7"/>
        <v>0.15508552095095382</v>
      </c>
      <c r="F95" s="110"/>
      <c r="G95" s="110"/>
      <c r="H95" s="110"/>
      <c r="I95" s="110"/>
      <c r="J95" s="110"/>
    </row>
    <row r="96" spans="1:10" ht="15" x14ac:dyDescent="0.25">
      <c r="A96" s="111">
        <v>42370</v>
      </c>
      <c r="B96" s="207">
        <v>100.02834547988699</v>
      </c>
      <c r="C96" s="207">
        <f t="shared" si="5"/>
        <v>-5.4756937326607006E-3</v>
      </c>
      <c r="D96" s="207">
        <f t="shared" si="6"/>
        <v>-0.72734502412686897</v>
      </c>
      <c r="E96" s="207">
        <f t="shared" si="7"/>
        <v>0.23350731158695234</v>
      </c>
      <c r="F96" s="110"/>
      <c r="G96" s="110"/>
      <c r="H96" s="110"/>
      <c r="I96" s="110"/>
      <c r="J96" s="110"/>
    </row>
    <row r="97" spans="1:10" ht="15" x14ac:dyDescent="0.25">
      <c r="A97" s="111">
        <v>42461</v>
      </c>
      <c r="B97" s="207">
        <v>100.082102767723</v>
      </c>
      <c r="C97" s="207">
        <f t="shared" si="5"/>
        <v>1.7912977721237181E-3</v>
      </c>
      <c r="D97" s="207">
        <f t="shared" si="6"/>
        <v>-0.55520259650897097</v>
      </c>
      <c r="E97" s="207">
        <f t="shared" si="7"/>
        <v>0.2893780465618041</v>
      </c>
      <c r="F97" s="110"/>
      <c r="G97" s="110"/>
      <c r="H97" s="110"/>
      <c r="I97" s="110"/>
      <c r="J97" s="110"/>
    </row>
    <row r="98" spans="1:10" ht="15" x14ac:dyDescent="0.25">
      <c r="A98" s="111">
        <v>42552</v>
      </c>
      <c r="B98" s="207">
        <v>100.18303342167501</v>
      </c>
      <c r="C98" s="207">
        <f t="shared" si="5"/>
        <v>8.6597047695991761E-4</v>
      </c>
      <c r="D98" s="207">
        <f t="shared" si="6"/>
        <v>-0.5771219955925847</v>
      </c>
      <c r="E98" s="207">
        <f t="shared" si="7"/>
        <v>0.28192852329347584</v>
      </c>
      <c r="F98" s="110"/>
      <c r="G98" s="110"/>
      <c r="H98" s="110"/>
      <c r="I98" s="110"/>
      <c r="J98" s="110"/>
    </row>
    <row r="99" spans="1:10" ht="15" x14ac:dyDescent="0.25">
      <c r="A99" s="111">
        <v>42644</v>
      </c>
      <c r="B99" s="207">
        <v>101.009945481863</v>
      </c>
      <c r="C99" s="207">
        <f t="shared" si="5"/>
        <v>1.1664271705490163E-2</v>
      </c>
      <c r="D99" s="207">
        <f t="shared" si="6"/>
        <v>-0.321328963991446</v>
      </c>
      <c r="E99" s="207">
        <f t="shared" si="7"/>
        <v>0.3739805545964851</v>
      </c>
      <c r="F99" s="110"/>
      <c r="G99" s="110"/>
      <c r="H99" s="110"/>
      <c r="I99" s="110"/>
      <c r="J99" s="110"/>
    </row>
    <row r="100" spans="1:10" ht="15" x14ac:dyDescent="0.25">
      <c r="A100" s="111">
        <v>42736</v>
      </c>
      <c r="B100" s="207">
        <v>101.213989852501</v>
      </c>
      <c r="C100" s="207">
        <f t="shared" si="5"/>
        <v>1.1783386327125006E-2</v>
      </c>
      <c r="D100" s="207">
        <f t="shared" si="6"/>
        <v>-0.31850734515241069</v>
      </c>
      <c r="E100" s="207">
        <f t="shared" si="7"/>
        <v>0.37505006195820212</v>
      </c>
      <c r="F100" s="110"/>
      <c r="G100" s="110"/>
      <c r="H100" s="110"/>
      <c r="I100" s="110"/>
      <c r="J100" s="110"/>
    </row>
    <row r="101" spans="1:10" ht="15" x14ac:dyDescent="0.25">
      <c r="A101" s="111">
        <v>42826</v>
      </c>
      <c r="B101" s="207">
        <v>101.912985465178</v>
      </c>
      <c r="C101" s="207">
        <f t="shared" si="5"/>
        <v>1.8128488720125069E-2</v>
      </c>
      <c r="D101" s="207">
        <f t="shared" si="6"/>
        <v>-0.16820287201575634</v>
      </c>
      <c r="E101" s="207">
        <f t="shared" si="7"/>
        <v>0.43321184079783237</v>
      </c>
      <c r="F101" s="110"/>
      <c r="G101" s="110"/>
      <c r="H101" s="110"/>
      <c r="I101" s="110"/>
      <c r="J101" s="110"/>
    </row>
    <row r="102" spans="1:10" ht="15" x14ac:dyDescent="0.25">
      <c r="A102" s="111">
        <v>42917</v>
      </c>
      <c r="B102" s="207">
        <v>102.605335506475</v>
      </c>
      <c r="C102" s="207">
        <f t="shared" si="5"/>
        <v>2.389108718733084E-2</v>
      </c>
      <c r="D102" s="207">
        <f t="shared" si="6"/>
        <v>-3.1696906805961059E-2</v>
      </c>
      <c r="E102" s="207">
        <f t="shared" si="7"/>
        <v>0.48735688083005252</v>
      </c>
      <c r="F102" s="110"/>
      <c r="G102" s="110"/>
      <c r="H102" s="110"/>
      <c r="I102" s="110"/>
      <c r="J102" s="110"/>
    </row>
    <row r="103" spans="1:10" ht="15" x14ac:dyDescent="0.25">
      <c r="A103" s="111">
        <v>43009</v>
      </c>
      <c r="B103" s="207">
        <v>102.626997240875</v>
      </c>
      <c r="C103" s="207">
        <f t="shared" si="5"/>
        <v>1.5882047015607671E-2</v>
      </c>
      <c r="D103" s="207">
        <f t="shared" si="6"/>
        <v>-0.22141718061417895</v>
      </c>
      <c r="E103" s="207">
        <f t="shared" si="7"/>
        <v>0.41238380809809327</v>
      </c>
      <c r="F103" s="110"/>
      <c r="G103" s="110"/>
      <c r="H103" s="110"/>
      <c r="I103" s="110"/>
      <c r="J103" s="110"/>
    </row>
    <row r="104" spans="1:10" ht="15" x14ac:dyDescent="0.25">
      <c r="A104" s="111">
        <v>43101</v>
      </c>
      <c r="B104" s="207">
        <v>104.019199202563</v>
      </c>
      <c r="C104" s="207">
        <f t="shared" si="5"/>
        <v>2.7338502872052174E-2</v>
      </c>
      <c r="D104" s="207">
        <f t="shared" si="6"/>
        <v>4.9966392866982991E-2</v>
      </c>
      <c r="E104" s="207">
        <f t="shared" si="7"/>
        <v>0.51992541526950364</v>
      </c>
      <c r="F104" s="110"/>
      <c r="G104" s="110"/>
      <c r="H104" s="110"/>
      <c r="I104" s="110"/>
      <c r="J104" s="110"/>
    </row>
    <row r="105" spans="1:10" ht="15" x14ac:dyDescent="0.25">
      <c r="A105" s="111">
        <v>43191</v>
      </c>
      <c r="B105" s="207">
        <v>104.599980582697</v>
      </c>
      <c r="C105" s="207">
        <f t="shared" si="5"/>
        <v>2.6024000470342704E-2</v>
      </c>
      <c r="D105" s="207">
        <f t="shared" si="6"/>
        <v>1.8828110347890056E-2</v>
      </c>
      <c r="E105" s="207">
        <f t="shared" si="7"/>
        <v>0.50751088550989321</v>
      </c>
      <c r="F105" s="110"/>
      <c r="G105" s="110"/>
      <c r="H105" s="110"/>
      <c r="I105" s="110"/>
      <c r="J105" s="110"/>
    </row>
    <row r="106" spans="1:10" ht="15" x14ac:dyDescent="0.25">
      <c r="A106" s="111">
        <v>43282</v>
      </c>
      <c r="B106" s="207">
        <v>104.85216730046599</v>
      </c>
      <c r="C106" s="207">
        <f t="shared" si="5"/>
        <v>2.1661493248735779E-2</v>
      </c>
      <c r="D106" s="207">
        <f t="shared" si="6"/>
        <v>-8.4512121044097221E-2</v>
      </c>
      <c r="E106" s="207">
        <f t="shared" si="7"/>
        <v>0.46632463305973171</v>
      </c>
      <c r="F106" s="110"/>
      <c r="G106" s="110"/>
      <c r="H106" s="110"/>
      <c r="I106" s="110"/>
      <c r="J106" s="110"/>
    </row>
    <row r="107" spans="1:10" ht="15" x14ac:dyDescent="0.25">
      <c r="A107" s="111">
        <v>43374</v>
      </c>
      <c r="B107" s="207">
        <v>105.548085157941</v>
      </c>
      <c r="C107" s="207">
        <f t="shared" si="5"/>
        <v>2.8065603439511373E-2</v>
      </c>
      <c r="D107" s="207">
        <f t="shared" si="6"/>
        <v>6.7190144500980653E-2</v>
      </c>
      <c r="E107" s="207">
        <f t="shared" si="7"/>
        <v>0.52678483452794578</v>
      </c>
      <c r="F107" s="110"/>
      <c r="G107" s="110"/>
      <c r="H107" s="110"/>
      <c r="I107" s="110"/>
      <c r="J107" s="110"/>
    </row>
    <row r="108" spans="1:10" ht="15" x14ac:dyDescent="0.25">
      <c r="A108" s="111">
        <v>43466</v>
      </c>
      <c r="B108" s="207">
        <v>105.509547472327</v>
      </c>
      <c r="C108" s="207">
        <f t="shared" si="5"/>
        <v>1.4225956369092881E-2</v>
      </c>
      <c r="D108" s="207">
        <f t="shared" si="6"/>
        <v>-0.26064709633083527</v>
      </c>
      <c r="E108" s="207">
        <f t="shared" si="7"/>
        <v>0.39718233351622845</v>
      </c>
      <c r="F108" s="110"/>
      <c r="G108" s="110"/>
      <c r="H108" s="110"/>
      <c r="I108" s="110"/>
      <c r="J108" s="110"/>
    </row>
    <row r="109" spans="1:10" ht="15" x14ac:dyDescent="0.25">
      <c r="A109" s="111">
        <v>43556</v>
      </c>
      <c r="B109" s="207">
        <v>107.897738523181</v>
      </c>
      <c r="C109" s="207">
        <f t="shared" si="5"/>
        <v>3.1040547040848979E-2</v>
      </c>
      <c r="D109" s="207">
        <f t="shared" si="6"/>
        <v>0.13766139979602587</v>
      </c>
      <c r="E109" s="207">
        <f t="shared" si="7"/>
        <v>0.5547459863109574</v>
      </c>
      <c r="F109" s="110"/>
      <c r="G109" s="110"/>
      <c r="H109" s="110"/>
      <c r="I109" s="110"/>
      <c r="J109" s="110"/>
    </row>
    <row r="110" spans="1:10" ht="15" x14ac:dyDescent="0.25">
      <c r="A110" s="111">
        <v>43647</v>
      </c>
      <c r="B110" s="207">
        <v>106.842715131752</v>
      </c>
      <c r="C110" s="207">
        <f t="shared" si="5"/>
        <v>1.8806373362417569E-2</v>
      </c>
      <c r="D110" s="207">
        <f t="shared" si="6"/>
        <v>-0.15214496030741131</v>
      </c>
      <c r="E110" s="207">
        <f t="shared" si="7"/>
        <v>0.43953630187759807</v>
      </c>
      <c r="F110" s="110"/>
      <c r="G110" s="110"/>
      <c r="H110" s="110"/>
      <c r="I110" s="110"/>
      <c r="J110" s="110"/>
    </row>
    <row r="111" spans="1:10" ht="15" x14ac:dyDescent="0.25">
      <c r="A111" s="111">
        <v>43739</v>
      </c>
      <c r="B111" s="207">
        <v>106.357802673446</v>
      </c>
      <c r="C111" s="207">
        <f t="shared" si="5"/>
        <v>7.6422742634184105E-3</v>
      </c>
      <c r="D111" s="207">
        <f t="shared" si="6"/>
        <v>-0.41660310915803611</v>
      </c>
      <c r="E111" s="207">
        <f t="shared" si="7"/>
        <v>0.33848436739883647</v>
      </c>
      <c r="F111" s="110"/>
      <c r="G111" s="110"/>
      <c r="H111" s="110"/>
      <c r="I111" s="110"/>
      <c r="J111" s="110"/>
    </row>
    <row r="112" spans="1:10" ht="15" x14ac:dyDescent="0.25">
      <c r="A112" s="111">
        <v>43831</v>
      </c>
      <c r="B112" s="207">
        <v>105.643867339585</v>
      </c>
      <c r="C112" s="207">
        <f t="shared" si="5"/>
        <v>1.2722492363703172E-3</v>
      </c>
      <c r="D112" s="207">
        <f t="shared" si="6"/>
        <v>-0.56749795627886745</v>
      </c>
      <c r="E112" s="207">
        <f t="shared" si="7"/>
        <v>0.28518795735956654</v>
      </c>
      <c r="F112" s="110"/>
      <c r="G112" s="110"/>
      <c r="H112" s="110"/>
      <c r="I112" s="110"/>
      <c r="J112" s="110"/>
    </row>
    <row r="113" spans="1:10" ht="15" x14ac:dyDescent="0.25">
      <c r="A113" s="111">
        <v>43922</v>
      </c>
      <c r="B113" s="207">
        <v>102.947665357684</v>
      </c>
      <c r="C113" s="207">
        <f t="shared" ref="C113:C114" si="8">LN(B113/B109)</f>
        <v>-4.6963157259838725E-2</v>
      </c>
      <c r="D113" s="207">
        <f t="shared" ref="D113:D114" si="9">(C113-$E$31)/$E$32</f>
        <v>-1.7101110948695504</v>
      </c>
      <c r="E113" s="207">
        <f t="shared" ref="E113:E114" si="10">_xlfn.NORM.DIST(C113,$E$31,$E$32,TRUE)</f>
        <v>4.3622665764300038E-2</v>
      </c>
      <c r="F113" s="110"/>
      <c r="G113" s="110"/>
      <c r="H113" s="110"/>
      <c r="I113" s="110"/>
      <c r="J113" s="110"/>
    </row>
    <row r="114" spans="1:10" ht="15" x14ac:dyDescent="0.25">
      <c r="A114" s="111">
        <v>44013</v>
      </c>
      <c r="B114" s="207">
        <v>103.680027854974</v>
      </c>
      <c r="C114" s="207">
        <f t="shared" si="8"/>
        <v>-3.0048299715927623E-2</v>
      </c>
      <c r="D114" s="207">
        <f t="shared" si="9"/>
        <v>-1.3094274504064001</v>
      </c>
      <c r="E114" s="207">
        <f t="shared" si="10"/>
        <v>9.5194799027016053E-2</v>
      </c>
      <c r="F114" s="110"/>
      <c r="G114" s="110"/>
      <c r="H114" s="110"/>
      <c r="I114" s="110"/>
      <c r="J114" s="110"/>
    </row>
    <row r="115" spans="1:10" ht="15" x14ac:dyDescent="0.25">
      <c r="A115" s="111">
        <v>44105</v>
      </c>
      <c r="B115" s="207">
        <v>103.494401753738</v>
      </c>
      <c r="C115" s="207">
        <f t="shared" ref="C115" si="11">LN(B115/B111)</f>
        <v>-2.7291384922710615E-2</v>
      </c>
      <c r="D115" s="207">
        <f t="shared" ref="D115" si="12">(C115-$E$31)/$E$32</f>
        <v>-1.2441209195087628</v>
      </c>
      <c r="E115" s="207">
        <f t="shared" ref="E115" si="13">_xlfn.NORM.DIST(C115,$E$31,$E$32,TRUE)</f>
        <v>0.10672753143439982</v>
      </c>
    </row>
    <row r="116" spans="1:10" ht="15" x14ac:dyDescent="0.25">
      <c r="A116" s="111">
        <v>44197</v>
      </c>
      <c r="B116" s="207">
        <v>103.483876794312</v>
      </c>
      <c r="C116" s="207">
        <f t="shared" ref="C116" si="14">LN(B116/B112)</f>
        <v>-2.0657874620485749E-2</v>
      </c>
      <c r="D116" s="207">
        <f t="shared" ref="D116" si="15">(C116-$E$31)/$E$32</f>
        <v>-1.0869845631085222</v>
      </c>
      <c r="E116" s="207">
        <f t="shared" ref="E116" si="16">_xlfn.NORM.DIST(C116,$E$31,$E$32,TRUE)</f>
        <v>0.13852181598366511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6"/>
  <sheetViews>
    <sheetView zoomScale="90" zoomScaleNormal="90" workbookViewId="0">
      <selection activeCell="D31" sqref="D31"/>
    </sheetView>
  </sheetViews>
  <sheetFormatPr defaultColWidth="8.7109375" defaultRowHeight="12.75" x14ac:dyDescent="0.2"/>
  <cols>
    <col min="1" max="1" width="26.85546875" style="162" customWidth="1"/>
    <col min="2" max="2" width="32.28515625" style="143" customWidth="1"/>
    <col min="3" max="3" width="27.42578125" style="143" customWidth="1"/>
    <col min="4" max="4" width="13.85546875" style="143" customWidth="1"/>
    <col min="5" max="5" width="17" style="142" customWidth="1"/>
    <col min="6" max="6" width="33.42578125" style="143" customWidth="1"/>
    <col min="7" max="7" width="15.140625" style="143" customWidth="1"/>
    <col min="8" max="9" width="16.5703125" style="143" customWidth="1"/>
    <col min="10" max="10" width="27.85546875" style="143" bestFit="1" customWidth="1"/>
    <col min="11" max="11" width="15.28515625" style="143" customWidth="1"/>
    <col min="12" max="12" width="16.5703125" style="143" customWidth="1"/>
    <col min="13" max="13" width="16.140625" style="143" customWidth="1"/>
    <col min="14" max="14" width="17.28515625" style="143" customWidth="1"/>
    <col min="15" max="15" width="13.42578125" style="143" customWidth="1"/>
    <col min="16" max="16" width="7.5703125" style="143" customWidth="1"/>
    <col min="17" max="17" width="18.7109375" style="143" customWidth="1"/>
    <col min="18" max="18" width="12.5703125" style="143" customWidth="1"/>
    <col min="19" max="19" width="8.7109375" style="143" customWidth="1"/>
    <col min="20" max="20" width="12.42578125" style="143" customWidth="1"/>
    <col min="21" max="21" width="8.7109375" style="143"/>
    <col min="22" max="22" width="14.5703125" style="143" customWidth="1"/>
    <col min="23" max="16384" width="8.7109375" style="143"/>
  </cols>
  <sheetData>
    <row r="1" spans="1:18" ht="23.25" customHeight="1" x14ac:dyDescent="0.2">
      <c r="A1" s="170" t="str">
        <f>F25</f>
        <v>Отрасль</v>
      </c>
      <c r="B1" s="171" t="str">
        <f>D25</f>
        <v>Вложения (руб)</v>
      </c>
      <c r="C1" s="146" t="s">
        <v>287</v>
      </c>
      <c r="D1" s="142"/>
      <c r="E1" s="245" t="s">
        <v>286</v>
      </c>
      <c r="F1" s="245"/>
      <c r="G1" s="245"/>
      <c r="K1" s="244"/>
      <c r="L1" s="244"/>
      <c r="M1" s="244"/>
      <c r="N1" s="244"/>
    </row>
    <row r="2" spans="1:18" x14ac:dyDescent="0.2">
      <c r="A2" s="159" t="s">
        <v>204</v>
      </c>
      <c r="B2" s="140">
        <f>SUMIF(F26:$F$466,"Банк",D26:$D$466)</f>
        <v>24438613755.66</v>
      </c>
      <c r="C2" s="180">
        <f t="shared" ref="C2:C18" si="0">B2/$B$19</f>
        <v>0.36173467820837873</v>
      </c>
      <c r="D2" s="142"/>
      <c r="E2" s="143"/>
      <c r="I2" s="243" t="s">
        <v>331</v>
      </c>
      <c r="J2" s="243"/>
    </row>
    <row r="3" spans="1:18" x14ac:dyDescent="0.2">
      <c r="A3" s="159" t="s">
        <v>339</v>
      </c>
      <c r="B3" s="140">
        <f>SUMIF(F26:$F$466,"Страны",D26:$D$466)</f>
        <v>1109072644.71</v>
      </c>
      <c r="C3" s="141">
        <f t="shared" si="0"/>
        <v>1.6416235399234605E-2</v>
      </c>
      <c r="D3" s="142"/>
      <c r="E3" s="143"/>
      <c r="J3" s="151" t="str">
        <f>D25</f>
        <v>Вложения (руб)</v>
      </c>
    </row>
    <row r="4" spans="1:18" ht="25.5" x14ac:dyDescent="0.2">
      <c r="A4" s="159" t="s">
        <v>266</v>
      </c>
      <c r="B4" s="140">
        <f>SUMIF($F$26:$F$466,"Электроэнергетика и теплоэнергетика",$D$26:$D$466)</f>
        <v>1060791763.64</v>
      </c>
      <c r="C4" s="141">
        <f t="shared" si="0"/>
        <v>1.5701593024176463E-2</v>
      </c>
      <c r="D4" s="142"/>
      <c r="E4" s="143"/>
      <c r="I4" s="156" t="s">
        <v>71</v>
      </c>
      <c r="J4" s="140">
        <f>SUMIF($H$26:$H$246,I4,$D$26:$D$246)</f>
        <v>1537746519.95</v>
      </c>
      <c r="K4" s="194">
        <f>J4/$J$15</f>
        <v>2.2841639762931482E-2</v>
      </c>
    </row>
    <row r="5" spans="1:18" x14ac:dyDescent="0.2">
      <c r="A5" s="159" t="s">
        <v>223</v>
      </c>
      <c r="B5" s="140">
        <f>SUMIF($F$26:$F$466,"Топливная промышленность",$D$26:$D$466)</f>
        <v>17197505379.989998</v>
      </c>
      <c r="C5" s="141">
        <f t="shared" si="0"/>
        <v>0.25455347577465487</v>
      </c>
      <c r="D5" s="142"/>
      <c r="E5" s="143"/>
      <c r="I5" s="139" t="s">
        <v>73</v>
      </c>
      <c r="J5" s="140">
        <f t="shared" ref="J5:J14" si="1">SUMIF($H$26:$H$246,I5,$D$26:$D$246)</f>
        <v>0</v>
      </c>
      <c r="K5" s="194">
        <f t="shared" ref="K5:K14" si="2">J5/$J$15</f>
        <v>0</v>
      </c>
    </row>
    <row r="6" spans="1:18" x14ac:dyDescent="0.2">
      <c r="A6" s="159" t="s">
        <v>211</v>
      </c>
      <c r="B6" s="140">
        <f>SUMIF($F$26:$F$466,"Транспорт",$D$26:$D$466)</f>
        <v>2328349146.3199997</v>
      </c>
      <c r="C6" s="141">
        <f t="shared" si="0"/>
        <v>3.4463682663086977E-2</v>
      </c>
      <c r="D6" s="142"/>
      <c r="E6" s="143"/>
      <c r="I6" s="139" t="s">
        <v>75</v>
      </c>
      <c r="J6" s="140">
        <f t="shared" si="1"/>
        <v>14306771173.18</v>
      </c>
      <c r="K6" s="194">
        <f t="shared" si="2"/>
        <v>0.212512341318188</v>
      </c>
      <c r="L6" s="243" t="s">
        <v>335</v>
      </c>
      <c r="M6" s="243"/>
      <c r="N6" s="243"/>
      <c r="O6" s="154"/>
      <c r="P6" s="243" t="s">
        <v>336</v>
      </c>
      <c r="Q6" s="243"/>
      <c r="R6" s="243"/>
    </row>
    <row r="7" spans="1:18" x14ac:dyDescent="0.2">
      <c r="A7" s="159" t="s">
        <v>262</v>
      </c>
      <c r="B7" s="140">
        <f>SUMIF($F$26:$F$466,"Связь и телекоммуникации",$D$26:$D$466)</f>
        <v>1247146593.24</v>
      </c>
      <c r="C7" s="141">
        <f t="shared" si="0"/>
        <v>1.8459973879650347E-2</v>
      </c>
      <c r="D7" s="142"/>
      <c r="E7" s="243" t="s">
        <v>334</v>
      </c>
      <c r="F7" s="243"/>
      <c r="G7" s="243"/>
      <c r="I7" s="139" t="s">
        <v>77</v>
      </c>
      <c r="J7" s="140">
        <f t="shared" si="1"/>
        <v>22067338272.410004</v>
      </c>
      <c r="K7" s="194">
        <f t="shared" si="2"/>
        <v>0.32778756759048261</v>
      </c>
      <c r="M7" s="142" t="str">
        <f>D25</f>
        <v>Вложения (руб)</v>
      </c>
      <c r="N7" s="143" t="s">
        <v>195</v>
      </c>
      <c r="P7" s="150"/>
      <c r="Q7" s="151" t="str">
        <f>D25</f>
        <v>Вложения (руб)</v>
      </c>
      <c r="R7" s="150" t="str">
        <f>N7</f>
        <v>Доля</v>
      </c>
    </row>
    <row r="8" spans="1:18" ht="25.5" x14ac:dyDescent="0.2">
      <c r="A8" s="159" t="s">
        <v>267</v>
      </c>
      <c r="B8" s="140">
        <f>SUMIF($F$26:$F$466,"Горнодобывающая промышленность",$D$26:$D$466)</f>
        <v>1119244655.3299999</v>
      </c>
      <c r="C8" s="141">
        <f t="shared" si="0"/>
        <v>1.6566799135179149E-2</v>
      </c>
      <c r="D8" s="142"/>
      <c r="E8" s="143"/>
      <c r="F8" s="151" t="str">
        <f>D25</f>
        <v>Вложения (руб)</v>
      </c>
      <c r="G8" s="150" t="s">
        <v>288</v>
      </c>
      <c r="H8" s="150"/>
      <c r="I8" s="156" t="s">
        <v>79</v>
      </c>
      <c r="J8" s="140">
        <f t="shared" si="1"/>
        <v>10941583141.760002</v>
      </c>
      <c r="K8" s="194">
        <f t="shared" si="2"/>
        <v>0.16252594125094968</v>
      </c>
      <c r="L8" s="139">
        <v>1</v>
      </c>
      <c r="M8" s="140">
        <f>SUMIF($J$26:$J$285,L8,$D$26:$D$285)</f>
        <v>41641746077.449982</v>
      </c>
      <c r="N8" s="141">
        <f>M8/$M$12</f>
        <v>0.61854522228507802</v>
      </c>
      <c r="P8" s="139">
        <v>1</v>
      </c>
      <c r="Q8" s="140">
        <f>SUMIF($I$26:$I$285,P8,$D$26:$D$285)</f>
        <v>225514204</v>
      </c>
      <c r="R8" s="141">
        <f>Q8/$Q$11</f>
        <v>0.94982462077092056</v>
      </c>
    </row>
    <row r="9" spans="1:18" x14ac:dyDescent="0.2">
      <c r="A9" s="159" t="s">
        <v>247</v>
      </c>
      <c r="B9" s="140">
        <f>SUMIF($F$26:$F$466,"Финансовый лизинг",$D$26:$D$466)</f>
        <v>3150139953.8299999</v>
      </c>
      <c r="C9" s="141">
        <f t="shared" si="0"/>
        <v>4.6627639108463743E-2</v>
      </c>
      <c r="D9" s="142"/>
      <c r="E9" s="139" t="s">
        <v>284</v>
      </c>
      <c r="F9" s="140">
        <f>SUMIF($B$26:$B$246,"акции обыкновенные",D26:$D$246)+SUMIF($B$26:$B$246,"акции привилегированные",$D$26:$D$246)</f>
        <v>237427204</v>
      </c>
      <c r="G9" s="180">
        <f>F9/$F$11</f>
        <v>3.5143422657090738E-3</v>
      </c>
      <c r="H9" s="153"/>
      <c r="I9" s="157" t="s">
        <v>81</v>
      </c>
      <c r="J9" s="140">
        <f t="shared" si="1"/>
        <v>9088187225.9299984</v>
      </c>
      <c r="K9" s="194">
        <f t="shared" si="2"/>
        <v>0.13499565501830457</v>
      </c>
      <c r="L9" s="139">
        <v>2</v>
      </c>
      <c r="M9" s="140">
        <f>SUMIF($J$26:$J$285,L9,$D$26:$D$285)</f>
        <v>15180046224.02</v>
      </c>
      <c r="N9" s="141">
        <f t="shared" ref="N9:N11" si="3">M9/$M$12</f>
        <v>0.22548394220718992</v>
      </c>
      <c r="P9" s="139">
        <v>2</v>
      </c>
      <c r="Q9" s="140">
        <f>SUMIF($I$26:$I$285,P9,$D$26:$D$285)</f>
        <v>0</v>
      </c>
      <c r="R9" s="141">
        <f>Q9/$Q$11</f>
        <v>0</v>
      </c>
    </row>
    <row r="10" spans="1:18" x14ac:dyDescent="0.2">
      <c r="A10" s="159" t="s">
        <v>260</v>
      </c>
      <c r="B10" s="140">
        <f>SUMIF($F$26:$F$466,"Цветная и черная металлургия",$D$26:$D$466)</f>
        <v>3229001934.2900004</v>
      </c>
      <c r="C10" s="141">
        <f t="shared" si="0"/>
        <v>4.7794935805804718E-2</v>
      </c>
      <c r="D10" s="142"/>
      <c r="E10" s="139" t="s">
        <v>285</v>
      </c>
      <c r="F10" s="140">
        <f>SUMIF($B$26:$B$246,"корпоративные еврооблигации",D26:$D$246)+SUMIF($B$26:$B$246,"корпоративные рублевые облигации",D26:$D$246)+SUMIF($B$26:$B$246,"облигации РФ",D26:$D$246)+SUMIF($B$26:$B$246,"госеврооблигации",D26:$D$246)</f>
        <v>67322072141.489998</v>
      </c>
      <c r="G10" s="180">
        <f>F10/$F$11</f>
        <v>0.99648565773429087</v>
      </c>
      <c r="H10" s="153"/>
      <c r="I10" s="157" t="s">
        <v>83</v>
      </c>
      <c r="J10" s="140">
        <f t="shared" si="1"/>
        <v>2437255055.0200005</v>
      </c>
      <c r="K10" s="194">
        <f t="shared" si="2"/>
        <v>3.6202912024122638E-2</v>
      </c>
      <c r="L10" s="139">
        <v>3</v>
      </c>
      <c r="M10" s="140">
        <f>SUMIF($J$26:$J$285,L10,$D$26:$D$285)</f>
        <v>6122813000</v>
      </c>
      <c r="N10" s="141">
        <f t="shared" si="3"/>
        <v>9.0948076986278104E-2</v>
      </c>
      <c r="P10" s="139">
        <v>3</v>
      </c>
      <c r="Q10" s="140">
        <f t="shared" ref="Q10" si="4">SUMIF($I$26:$I$285,P10,$D$26:$D$285)</f>
        <v>11913000</v>
      </c>
      <c r="R10" s="141">
        <f>Q10/$Q$11</f>
        <v>5.0175379229079407E-2</v>
      </c>
    </row>
    <row r="11" spans="1:18" ht="25.5" x14ac:dyDescent="0.2">
      <c r="A11" s="159" t="s">
        <v>246</v>
      </c>
      <c r="B11" s="140">
        <f>SUMIF($F$26:$F$466,"Химическая и нефтехимическая промышленность",$D$26:$D$466)</f>
        <v>0</v>
      </c>
      <c r="C11" s="141">
        <f t="shared" si="0"/>
        <v>0</v>
      </c>
      <c r="D11" s="142"/>
      <c r="E11" s="143"/>
      <c r="F11" s="148">
        <f>SUM(F9:F10)</f>
        <v>67559499345.489998</v>
      </c>
      <c r="I11" s="156" t="s">
        <v>85</v>
      </c>
      <c r="J11" s="140">
        <f t="shared" si="1"/>
        <v>713846000</v>
      </c>
      <c r="K11" s="194">
        <f t="shared" si="2"/>
        <v>1.0603446645250583E-2</v>
      </c>
      <c r="L11" s="139">
        <v>4</v>
      </c>
      <c r="M11" s="140">
        <f>SUMIF($J$26:$J$285,L11,$D$26:$D$285)</f>
        <v>4377466840.0200005</v>
      </c>
      <c r="N11" s="141">
        <f t="shared" si="3"/>
        <v>6.5022758521453866E-2</v>
      </c>
      <c r="Q11" s="148">
        <f>SUM(Q8:Q10)</f>
        <v>237427204</v>
      </c>
    </row>
    <row r="12" spans="1:18" x14ac:dyDescent="0.2">
      <c r="A12" s="159" t="s">
        <v>273</v>
      </c>
      <c r="B12" s="140">
        <f>SUMIF($F$26:$F$466,"Инвестиционная деятельность",$D$26:$D$466)</f>
        <v>8472021589.71</v>
      </c>
      <c r="C12" s="141">
        <f t="shared" si="0"/>
        <v>0.12540089360913179</v>
      </c>
      <c r="D12" s="142"/>
      <c r="E12" s="144" t="s">
        <v>14</v>
      </c>
      <c r="F12" s="145">
        <f>B19-F11</f>
        <v>0</v>
      </c>
      <c r="I12" s="156" t="s">
        <v>87</v>
      </c>
      <c r="J12" s="140">
        <f t="shared" si="1"/>
        <v>1109072644.71</v>
      </c>
      <c r="K12" s="194">
        <f t="shared" si="2"/>
        <v>1.6474131134571659E-2</v>
      </c>
      <c r="M12" s="148">
        <f>SUM(M8:M11)</f>
        <v>67322072141.48999</v>
      </c>
      <c r="P12" s="155" t="s">
        <v>14</v>
      </c>
      <c r="Q12" s="149">
        <f>Q11-F9</f>
        <v>0</v>
      </c>
    </row>
    <row r="13" spans="1:18" x14ac:dyDescent="0.2">
      <c r="A13" s="159" t="s">
        <v>252</v>
      </c>
      <c r="B13" s="140">
        <f>SUMIF($F$26:$F$466,"Строительство жилых зданий",$D$26:$D$466)</f>
        <v>506480010</v>
      </c>
      <c r="C13" s="141">
        <f t="shared" si="0"/>
        <v>7.4967993384606182E-3</v>
      </c>
      <c r="D13" s="142"/>
      <c r="E13" s="143"/>
      <c r="I13" s="156" t="s">
        <v>89</v>
      </c>
      <c r="J13" s="140">
        <f t="shared" si="1"/>
        <v>5107100507.1000004</v>
      </c>
      <c r="K13" s="194">
        <f t="shared" si="2"/>
        <v>7.5860714690517347E-2</v>
      </c>
      <c r="L13" s="144" t="s">
        <v>14</v>
      </c>
      <c r="M13" s="145">
        <f>F10-M12</f>
        <v>0</v>
      </c>
    </row>
    <row r="14" spans="1:18" x14ac:dyDescent="0.2">
      <c r="A14" s="159" t="s">
        <v>218</v>
      </c>
      <c r="B14" s="140">
        <f>SUMIF($F$26:$F$466,"ОФЗ",$D$26:$D$466)</f>
        <v>2977775548.9499998</v>
      </c>
      <c r="C14" s="141">
        <f t="shared" si="0"/>
        <v>4.4076341266563637E-2</v>
      </c>
      <c r="D14" s="142"/>
      <c r="E14" s="143"/>
      <c r="F14" s="142"/>
      <c r="I14" s="156" t="s">
        <v>116</v>
      </c>
      <c r="J14" s="140">
        <f t="shared" si="1"/>
        <v>13171601.430000007</v>
      </c>
      <c r="K14" s="194">
        <f t="shared" si="2"/>
        <v>1.9565056468133371E-4</v>
      </c>
    </row>
    <row r="15" spans="1:18" ht="38.25" x14ac:dyDescent="0.2">
      <c r="A15" s="159" t="s">
        <v>257</v>
      </c>
      <c r="B15" s="140">
        <f>SUMIF($F$26:$F$466,"Лесная и лесоперерабатывающая промышленность",$D$26:$D$466)</f>
        <v>615660569.82000005</v>
      </c>
      <c r="C15" s="141">
        <f t="shared" si="0"/>
        <v>9.112864597642982E-3</v>
      </c>
      <c r="D15" s="142"/>
      <c r="E15" s="143"/>
      <c r="F15" s="142"/>
      <c r="I15" s="181"/>
      <c r="J15" s="148">
        <f>SUM(J4:J14)</f>
        <v>67322072141.490013</v>
      </c>
    </row>
    <row r="16" spans="1:18" ht="25.5" x14ac:dyDescent="0.2">
      <c r="A16" s="159" t="s">
        <v>261</v>
      </c>
      <c r="B16" s="140">
        <f>SUMIF($F$26:$F$466,"Профессиональные услуги, сервис",$D$26:$D$466)</f>
        <v>44540100</v>
      </c>
      <c r="C16" s="141">
        <f t="shared" si="0"/>
        <v>6.5927220348730006E-4</v>
      </c>
      <c r="D16" s="142"/>
      <c r="E16" s="143"/>
      <c r="F16" s="142"/>
      <c r="I16" s="144" t="s">
        <v>14</v>
      </c>
      <c r="J16" s="145">
        <f>J15-F10</f>
        <v>0</v>
      </c>
    </row>
    <row r="17" spans="1:14" x14ac:dyDescent="0.2">
      <c r="A17" s="159" t="s">
        <v>256</v>
      </c>
      <c r="B17" s="140">
        <f>SUMIF($F$26:$F$466,"Розничная торговля",$D$26:$D$466)</f>
        <v>0</v>
      </c>
      <c r="C17" s="141">
        <f t="shared" si="0"/>
        <v>0</v>
      </c>
      <c r="D17" s="142"/>
      <c r="E17" s="143"/>
      <c r="F17" s="142"/>
      <c r="I17" s="144"/>
    </row>
    <row r="18" spans="1:14" x14ac:dyDescent="0.2">
      <c r="A18" s="159" t="s">
        <v>227</v>
      </c>
      <c r="B18" s="140">
        <f>SUMIF($F$26:$F$466,"Прочее",$D$26:$D$466)</f>
        <v>63155699.999999985</v>
      </c>
      <c r="C18" s="141">
        <f t="shared" si="0"/>
        <v>9.3481598608406518E-4</v>
      </c>
      <c r="D18" s="142"/>
      <c r="E18" s="143"/>
      <c r="F18" s="142"/>
      <c r="I18" s="144"/>
    </row>
    <row r="19" spans="1:14" x14ac:dyDescent="0.2">
      <c r="A19" s="160"/>
      <c r="B19" s="174">
        <f>SUM(B2:B18)</f>
        <v>67559499345.489998</v>
      </c>
      <c r="C19" s="178">
        <f>SUM(C2:C18)</f>
        <v>0.99999999999999989</v>
      </c>
      <c r="D19" s="142"/>
      <c r="E19" s="143"/>
    </row>
    <row r="20" spans="1:14" x14ac:dyDescent="0.2">
      <c r="A20" s="161" t="s">
        <v>14</v>
      </c>
      <c r="B20" s="145">
        <f>SUM(D26:D154)-B19</f>
        <v>0</v>
      </c>
      <c r="D20" s="142"/>
      <c r="E20" s="144"/>
      <c r="F20" s="149"/>
      <c r="J20" s="148"/>
    </row>
    <row r="21" spans="1:14" x14ac:dyDescent="0.2">
      <c r="D21" s="142"/>
      <c r="E21" s="143"/>
      <c r="J21" s="145"/>
    </row>
    <row r="22" spans="1:14" x14ac:dyDescent="0.2">
      <c r="D22" s="142"/>
      <c r="E22" s="143"/>
      <c r="I22" s="144"/>
      <c r="J22" s="145"/>
    </row>
    <row r="23" spans="1:14" x14ac:dyDescent="0.2">
      <c r="D23" s="142"/>
      <c r="E23" s="143"/>
      <c r="I23" s="144"/>
      <c r="J23" s="144"/>
    </row>
    <row r="24" spans="1:14" x14ac:dyDescent="0.2">
      <c r="D24" s="142"/>
      <c r="E24" s="143"/>
    </row>
    <row r="25" spans="1:14" x14ac:dyDescent="0.2">
      <c r="A25" s="158" t="s">
        <v>473</v>
      </c>
      <c r="B25" s="139" t="s">
        <v>221</v>
      </c>
      <c r="C25" s="139" t="s">
        <v>43</v>
      </c>
      <c r="D25" s="140" t="s">
        <v>107</v>
      </c>
      <c r="E25" s="139" t="s">
        <v>102</v>
      </c>
      <c r="F25" s="139" t="s">
        <v>206</v>
      </c>
      <c r="G25" s="146" t="s">
        <v>282</v>
      </c>
      <c r="H25" s="152" t="s">
        <v>164</v>
      </c>
      <c r="I25" s="152" t="s">
        <v>332</v>
      </c>
      <c r="J25" s="152" t="s">
        <v>333</v>
      </c>
      <c r="L25" s="152" t="str">
        <f>E25</f>
        <v>Эмитент</v>
      </c>
      <c r="M25" s="152" t="s">
        <v>283</v>
      </c>
      <c r="N25" s="152" t="s">
        <v>289</v>
      </c>
    </row>
    <row r="26" spans="1:14" x14ac:dyDescent="0.2">
      <c r="A26" s="163" t="s">
        <v>646</v>
      </c>
      <c r="B26" s="164" t="s">
        <v>629</v>
      </c>
      <c r="C26" s="164" t="s">
        <v>342</v>
      </c>
      <c r="D26" s="165">
        <v>101763504</v>
      </c>
      <c r="E26" s="164" t="s">
        <v>245</v>
      </c>
      <c r="F26" s="169" t="str">
        <f>VLOOKUP(E26,'Справочник отрасли'!$A:$D,4,0)</f>
        <v>Топливная промышленность</v>
      </c>
      <c r="G26" s="167">
        <f t="shared" ref="G26:G57" si="5">D26/$B$19</f>
        <v>1.5062797235899487E-3</v>
      </c>
      <c r="H26" s="166"/>
      <c r="I26" s="168">
        <f>VLOOKUP(C26,'Справочник отрасли'!$J$6:$K$34,2,0)</f>
        <v>1</v>
      </c>
      <c r="J26" s="168" t="str">
        <f>VLOOKUP(A26,'Эшелоны результат'!$A$3:$H$283,8,FALSE)</f>
        <v>Ошибка, не численные значения</v>
      </c>
      <c r="L26" s="139" t="s">
        <v>245</v>
      </c>
      <c r="M26" s="172">
        <f t="shared" ref="M26:M57" si="6">SUMIF($E$26:$E$422,L26,$D$26:$D$422)</f>
        <v>101763504</v>
      </c>
      <c r="N26" s="173">
        <f t="shared" ref="N26:N57" si="7">M26/$M$77</f>
        <v>1.5062797235899489E-3</v>
      </c>
    </row>
    <row r="27" spans="1:14" x14ac:dyDescent="0.2">
      <c r="A27" s="163" t="s">
        <v>647</v>
      </c>
      <c r="B27" s="164" t="s">
        <v>629</v>
      </c>
      <c r="C27" s="164" t="s">
        <v>399</v>
      </c>
      <c r="D27" s="165">
        <v>63155699.999999985</v>
      </c>
      <c r="E27" s="164" t="s">
        <v>402</v>
      </c>
      <c r="F27" s="169" t="str">
        <f>VLOOKUP(E27,'Справочник отрасли'!$A:$D,4,0)</f>
        <v>Прочее</v>
      </c>
      <c r="G27" s="167">
        <f t="shared" si="5"/>
        <v>9.3481598608406518E-4</v>
      </c>
      <c r="H27" s="166"/>
      <c r="I27" s="168">
        <f>VLOOKUP(C27,'Справочник отрасли'!$J$6:$K$34,2,0)</f>
        <v>1</v>
      </c>
      <c r="J27" s="168" t="str">
        <f>VLOOKUP(A27,'Эшелоны результат'!$A$3:$H$283,8,FALSE)</f>
        <v>Ошибка, не численные значения</v>
      </c>
      <c r="L27" s="139" t="s">
        <v>402</v>
      </c>
      <c r="M27" s="172">
        <f t="shared" si="6"/>
        <v>63155699.999999985</v>
      </c>
      <c r="N27" s="173">
        <f t="shared" si="7"/>
        <v>9.3481598608406529E-4</v>
      </c>
    </row>
    <row r="28" spans="1:14" x14ac:dyDescent="0.2">
      <c r="A28" s="163" t="s">
        <v>648</v>
      </c>
      <c r="B28" s="164" t="s">
        <v>629</v>
      </c>
      <c r="C28" s="164" t="s">
        <v>400</v>
      </c>
      <c r="D28" s="165">
        <v>60595000</v>
      </c>
      <c r="E28" s="164" t="s">
        <v>135</v>
      </c>
      <c r="F28" s="169" t="str">
        <f>VLOOKUP(E28,'Справочник отрасли'!$A:$D,4,0)</f>
        <v>Горнодобывающая промышленность</v>
      </c>
      <c r="G28" s="167">
        <f t="shared" si="5"/>
        <v>8.9691310011232462E-4</v>
      </c>
      <c r="H28" s="166"/>
      <c r="I28" s="168">
        <f>VLOOKUP(C28,'Справочник отрасли'!$J$6:$K$34,2,0)</f>
        <v>1</v>
      </c>
      <c r="J28" s="168" t="str">
        <f>VLOOKUP(A28,'Эшелоны результат'!$A$3:$H$283,8,FALSE)</f>
        <v>Ошибка, не численные значения</v>
      </c>
      <c r="L28" s="139" t="s">
        <v>135</v>
      </c>
      <c r="M28" s="172">
        <f t="shared" si="6"/>
        <v>890607198.85000002</v>
      </c>
      <c r="N28" s="173">
        <f t="shared" si="7"/>
        <v>1.3182560668419954E-2</v>
      </c>
    </row>
    <row r="29" spans="1:14" x14ac:dyDescent="0.2">
      <c r="A29" s="163" t="s">
        <v>555</v>
      </c>
      <c r="B29" s="164" t="s">
        <v>484</v>
      </c>
      <c r="C29" s="164" t="s">
        <v>496</v>
      </c>
      <c r="D29" s="165">
        <v>477415336.56</v>
      </c>
      <c r="E29" s="164" t="s">
        <v>145</v>
      </c>
      <c r="F29" s="169" t="str">
        <f>VLOOKUP(E29,'Справочник отрасли'!$A:$D,4,0)</f>
        <v>Банк</v>
      </c>
      <c r="G29" s="167">
        <f t="shared" si="5"/>
        <v>7.0665908004818624E-3</v>
      </c>
      <c r="H29" s="166" t="s">
        <v>79</v>
      </c>
      <c r="I29" s="168" t="e">
        <f>VLOOKUP(C29,'Справочник отрасли'!$J$6:$K$34,2,0)</f>
        <v>#N/A</v>
      </c>
      <c r="J29" s="168">
        <f>VLOOKUP(A29,'Эшелоны результат'!$A$3:$H$283,8,FALSE)</f>
        <v>1</v>
      </c>
      <c r="L29" s="139" t="s">
        <v>145</v>
      </c>
      <c r="M29" s="172">
        <f t="shared" si="6"/>
        <v>2988680230.21</v>
      </c>
      <c r="N29" s="173">
        <f t="shared" si="7"/>
        <v>4.42377498229568E-2</v>
      </c>
    </row>
    <row r="30" spans="1:14" x14ac:dyDescent="0.2">
      <c r="A30" s="163" t="s">
        <v>603</v>
      </c>
      <c r="B30" s="164" t="s">
        <v>484</v>
      </c>
      <c r="C30" s="164" t="s">
        <v>545</v>
      </c>
      <c r="D30" s="165">
        <v>396748406.95999998</v>
      </c>
      <c r="E30" s="164" t="s">
        <v>105</v>
      </c>
      <c r="F30" s="169" t="str">
        <f>VLOOKUP(E30,'Справочник отрасли'!$A:$D,4,0)</f>
        <v>Топливная промышленность</v>
      </c>
      <c r="G30" s="167">
        <f t="shared" si="5"/>
        <v>5.8725776656674607E-3</v>
      </c>
      <c r="H30" s="166" t="s">
        <v>75</v>
      </c>
      <c r="I30" s="168" t="e">
        <f>VLOOKUP(C30,'Справочник отрасли'!$J$6:$K$34,2,0)</f>
        <v>#N/A</v>
      </c>
      <c r="J30" s="168">
        <f>VLOOKUP(A30,'Эшелоны результат'!$A$3:$H$283,8,FALSE)</f>
        <v>1</v>
      </c>
      <c r="L30" s="139" t="s">
        <v>105</v>
      </c>
      <c r="M30" s="172">
        <f t="shared" si="6"/>
        <v>396748406.95999998</v>
      </c>
      <c r="N30" s="173">
        <f t="shared" si="7"/>
        <v>5.8725776656674616E-3</v>
      </c>
    </row>
    <row r="31" spans="1:14" x14ac:dyDescent="0.2">
      <c r="A31" s="163" t="s">
        <v>649</v>
      </c>
      <c r="B31" s="164" t="s">
        <v>484</v>
      </c>
      <c r="C31" s="164" t="s">
        <v>631</v>
      </c>
      <c r="D31" s="165">
        <v>151192272.50999999</v>
      </c>
      <c r="E31" s="164" t="s">
        <v>135</v>
      </c>
      <c r="F31" s="169" t="str">
        <f>VLOOKUP(E31,'Справочник отрасли'!$A:$D,4,0)</f>
        <v>Горнодобывающая промышленность</v>
      </c>
      <c r="G31" s="167">
        <f t="shared" si="5"/>
        <v>2.2379128616217756E-3</v>
      </c>
      <c r="H31" s="166" t="s">
        <v>77</v>
      </c>
      <c r="I31" s="168" t="e">
        <f>VLOOKUP(C31,'Справочник отрасли'!$J$6:$K$34,2,0)</f>
        <v>#N/A</v>
      </c>
      <c r="J31" s="168">
        <f>VLOOKUP(A31,'Эшелоны результат'!$A$3:$H$283,8,FALSE)</f>
        <v>1</v>
      </c>
      <c r="L31" s="139" t="s">
        <v>104</v>
      </c>
      <c r="M31" s="172">
        <f t="shared" si="6"/>
        <v>3123219796.8099999</v>
      </c>
      <c r="N31" s="173">
        <f t="shared" si="7"/>
        <v>4.6229173203878898E-2</v>
      </c>
    </row>
    <row r="32" spans="1:14" x14ac:dyDescent="0.2">
      <c r="A32" s="163" t="s">
        <v>650</v>
      </c>
      <c r="B32" s="164" t="s">
        <v>484</v>
      </c>
      <c r="C32" s="164" t="s">
        <v>632</v>
      </c>
      <c r="D32" s="165">
        <v>2348844639.0099998</v>
      </c>
      <c r="E32" s="164" t="s">
        <v>104</v>
      </c>
      <c r="F32" s="169" t="str">
        <f>VLOOKUP(E32,'Справочник отрасли'!$A:$D,4,0)</f>
        <v>Топливная промышленность</v>
      </c>
      <c r="G32" s="167">
        <f t="shared" si="5"/>
        <v>3.4767052180157978E-2</v>
      </c>
      <c r="H32" s="166" t="s">
        <v>75</v>
      </c>
      <c r="I32" s="168" t="e">
        <f>VLOOKUP(C32,'Справочник отрасли'!$J$6:$K$34,2,0)</f>
        <v>#N/A</v>
      </c>
      <c r="J32" s="168">
        <f>VLOOKUP(A32,'Эшелоны результат'!$A$3:$H$283,8,FALSE)</f>
        <v>1</v>
      </c>
      <c r="L32" s="139" t="s">
        <v>147</v>
      </c>
      <c r="M32" s="172">
        <f t="shared" si="6"/>
        <v>916102418.00999999</v>
      </c>
      <c r="N32" s="173">
        <f t="shared" si="7"/>
        <v>1.3559934974135587E-2</v>
      </c>
    </row>
    <row r="33" spans="1:14" x14ac:dyDescent="0.2">
      <c r="A33" s="163" t="s">
        <v>651</v>
      </c>
      <c r="B33" s="164" t="s">
        <v>484</v>
      </c>
      <c r="C33" s="164" t="s">
        <v>633</v>
      </c>
      <c r="D33" s="165">
        <v>916102418.00999999</v>
      </c>
      <c r="E33" s="164" t="s">
        <v>147</v>
      </c>
      <c r="F33" s="169" t="str">
        <f>VLOOKUP(E33,'Справочник отрасли'!$A:$D,4,0)</f>
        <v>Банк</v>
      </c>
      <c r="G33" s="167">
        <f t="shared" si="5"/>
        <v>1.3559934974135586E-2</v>
      </c>
      <c r="H33" s="166" t="s">
        <v>77</v>
      </c>
      <c r="I33" s="168" t="e">
        <f>VLOOKUP(C33,'Справочник отрасли'!$J$6:$K$34,2,0)</f>
        <v>#N/A</v>
      </c>
      <c r="J33" s="168">
        <f>VLOOKUP(A33,'Эшелоны результат'!$A$3:$H$283,8,FALSE)</f>
        <v>1</v>
      </c>
      <c r="L33" s="139" t="s">
        <v>143</v>
      </c>
      <c r="M33" s="172">
        <f t="shared" si="6"/>
        <v>302166014.19999999</v>
      </c>
      <c r="N33" s="173">
        <f t="shared" si="7"/>
        <v>4.4725910808599174E-3</v>
      </c>
    </row>
    <row r="34" spans="1:14" x14ac:dyDescent="0.2">
      <c r="A34" s="163" t="s">
        <v>652</v>
      </c>
      <c r="B34" s="164" t="s">
        <v>484</v>
      </c>
      <c r="C34" s="164" t="s">
        <v>634</v>
      </c>
      <c r="D34" s="165">
        <v>302166014.19999999</v>
      </c>
      <c r="E34" s="164" t="s">
        <v>143</v>
      </c>
      <c r="F34" s="169" t="str">
        <f>VLOOKUP(E34,'Справочник отрасли'!$A:$D,4,0)</f>
        <v>Связь и телекоммуникации</v>
      </c>
      <c r="G34" s="167">
        <f t="shared" si="5"/>
        <v>4.4725910808599174E-3</v>
      </c>
      <c r="H34" s="166" t="s">
        <v>79</v>
      </c>
      <c r="I34" s="168" t="e">
        <f>VLOOKUP(C34,'Справочник отрасли'!$J$6:$K$34,2,0)</f>
        <v>#N/A</v>
      </c>
      <c r="J34" s="168">
        <f>VLOOKUP(A34,'Эшелоны результат'!$A$3:$H$283,8,FALSE)</f>
        <v>1</v>
      </c>
      <c r="L34" s="139" t="s">
        <v>136</v>
      </c>
      <c r="M34" s="172">
        <f t="shared" si="6"/>
        <v>337842572.10000002</v>
      </c>
      <c r="N34" s="173">
        <f t="shared" si="7"/>
        <v>5.0006671951833091E-3</v>
      </c>
    </row>
    <row r="35" spans="1:14" x14ac:dyDescent="0.2">
      <c r="A35" s="163" t="s">
        <v>548</v>
      </c>
      <c r="B35" s="164" t="s">
        <v>484</v>
      </c>
      <c r="C35" s="164" t="s">
        <v>489</v>
      </c>
      <c r="D35" s="165">
        <v>337842572.10000002</v>
      </c>
      <c r="E35" s="164" t="s">
        <v>136</v>
      </c>
      <c r="F35" s="169" t="str">
        <f>VLOOKUP(E35,'Справочник отрасли'!$A:$D,4,0)</f>
        <v>Транспорт</v>
      </c>
      <c r="G35" s="167">
        <f t="shared" si="5"/>
        <v>5.0006671951833082E-3</v>
      </c>
      <c r="H35" s="166" t="s">
        <v>77</v>
      </c>
      <c r="I35" s="168" t="e">
        <f>VLOOKUP(C35,'Справочник отрасли'!$J$6:$K$34,2,0)</f>
        <v>#N/A</v>
      </c>
      <c r="J35" s="168">
        <f>VLOOKUP(A35,'Эшелоны результат'!$A$3:$H$283,8,FALSE)</f>
        <v>1</v>
      </c>
      <c r="L35" s="139" t="s">
        <v>137</v>
      </c>
      <c r="M35" s="172">
        <f t="shared" si="6"/>
        <v>2092453493.5499997</v>
      </c>
      <c r="N35" s="173">
        <f t="shared" si="7"/>
        <v>3.0972010062559525E-2</v>
      </c>
    </row>
    <row r="36" spans="1:14" x14ac:dyDescent="0.2">
      <c r="A36" s="163" t="s">
        <v>549</v>
      </c>
      <c r="B36" s="164" t="s">
        <v>484</v>
      </c>
      <c r="C36" s="164" t="s">
        <v>490</v>
      </c>
      <c r="D36" s="165">
        <v>1916763664.7799997</v>
      </c>
      <c r="E36" s="164" t="s">
        <v>137</v>
      </c>
      <c r="F36" s="169" t="str">
        <f>VLOOKUP(E36,'Справочник отрасли'!$A:$D,4,0)</f>
        <v>Банк</v>
      </c>
      <c r="G36" s="167">
        <f t="shared" si="5"/>
        <v>2.8371490069485767E-2</v>
      </c>
      <c r="H36" s="166" t="s">
        <v>81</v>
      </c>
      <c r="I36" s="168" t="e">
        <f>VLOOKUP(C36,'Справочник отрасли'!$J$6:$K$34,2,0)</f>
        <v>#N/A</v>
      </c>
      <c r="J36" s="168">
        <f>VLOOKUP(A36,'Эшелоны результат'!$A$3:$H$283,8,FALSE)</f>
        <v>2</v>
      </c>
      <c r="L36" s="139" t="s">
        <v>139</v>
      </c>
      <c r="M36" s="172">
        <f t="shared" si="6"/>
        <v>711217520.39999998</v>
      </c>
      <c r="N36" s="173">
        <f t="shared" si="7"/>
        <v>1.052727636069254E-2</v>
      </c>
    </row>
    <row r="37" spans="1:14" x14ac:dyDescent="0.2">
      <c r="A37" s="163" t="s">
        <v>550</v>
      </c>
      <c r="B37" s="164" t="s">
        <v>484</v>
      </c>
      <c r="C37" s="164" t="s">
        <v>491</v>
      </c>
      <c r="D37" s="165">
        <v>65400564.869999997</v>
      </c>
      <c r="E37" s="164" t="s">
        <v>139</v>
      </c>
      <c r="F37" s="169" t="str">
        <f>VLOOKUP(E37,'Справочник отрасли'!$A:$D,4,0)</f>
        <v>Цветная и черная металлургия</v>
      </c>
      <c r="G37" s="167">
        <f t="shared" si="5"/>
        <v>9.6804395390129359E-4</v>
      </c>
      <c r="H37" s="166" t="s">
        <v>83</v>
      </c>
      <c r="I37" s="168" t="e">
        <f>VLOOKUP(C37,'Справочник отрасли'!$J$6:$K$34,2,0)</f>
        <v>#N/A</v>
      </c>
      <c r="J37" s="168">
        <f>VLOOKUP(A37,'Эшелоны результат'!$A$3:$H$283,8,FALSE)</f>
        <v>2</v>
      </c>
      <c r="L37" s="139" t="s">
        <v>101</v>
      </c>
      <c r="M37" s="172">
        <f t="shared" si="6"/>
        <v>232328793.12</v>
      </c>
      <c r="N37" s="173">
        <f t="shared" si="7"/>
        <v>3.4388767733742743E-3</v>
      </c>
    </row>
    <row r="38" spans="1:14" x14ac:dyDescent="0.2">
      <c r="A38" s="163" t="s">
        <v>551</v>
      </c>
      <c r="B38" s="164" t="s">
        <v>484</v>
      </c>
      <c r="C38" s="164" t="s">
        <v>492</v>
      </c>
      <c r="D38" s="165">
        <v>232328793.12</v>
      </c>
      <c r="E38" s="164" t="s">
        <v>101</v>
      </c>
      <c r="F38" s="169" t="str">
        <f>VLOOKUP(E38,'Справочник отрасли'!$A:$D,4,0)</f>
        <v>Связь и телекоммуникации</v>
      </c>
      <c r="G38" s="167">
        <f t="shared" si="5"/>
        <v>3.4388767733742739E-3</v>
      </c>
      <c r="H38" s="166" t="s">
        <v>81</v>
      </c>
      <c r="I38" s="168" t="e">
        <f>VLOOKUP(C38,'Справочник отрасли'!$J$6:$K$34,2,0)</f>
        <v>#N/A</v>
      </c>
      <c r="J38" s="168">
        <f>VLOOKUP(A38,'Эшелоны результат'!$A$3:$H$283,8,FALSE)</f>
        <v>2</v>
      </c>
      <c r="L38" s="139" t="s">
        <v>140</v>
      </c>
      <c r="M38" s="172">
        <f t="shared" si="6"/>
        <v>557388290.35999978</v>
      </c>
      <c r="N38" s="173">
        <f t="shared" si="7"/>
        <v>8.2503318668717875E-3</v>
      </c>
    </row>
    <row r="39" spans="1:14" x14ac:dyDescent="0.2">
      <c r="A39" s="163" t="s">
        <v>552</v>
      </c>
      <c r="B39" s="164" t="s">
        <v>484</v>
      </c>
      <c r="C39" s="164" t="s">
        <v>493</v>
      </c>
      <c r="D39" s="165">
        <v>557388290.35999978</v>
      </c>
      <c r="E39" s="164" t="s">
        <v>140</v>
      </c>
      <c r="F39" s="169" t="str">
        <f>VLOOKUP(E39,'Справочник отрасли'!$A:$D,4,0)</f>
        <v>Транспорт</v>
      </c>
      <c r="G39" s="167">
        <f t="shared" si="5"/>
        <v>8.2503318668717875E-3</v>
      </c>
      <c r="H39" s="166" t="s">
        <v>81</v>
      </c>
      <c r="I39" s="168" t="e">
        <f>VLOOKUP(C39,'Справочник отрасли'!$J$6:$K$34,2,0)</f>
        <v>#N/A</v>
      </c>
      <c r="J39" s="168">
        <f>VLOOKUP(A39,'Эшелоны результат'!$A$3:$H$283,8,FALSE)</f>
        <v>2</v>
      </c>
      <c r="L39" s="139" t="s">
        <v>141</v>
      </c>
      <c r="M39" s="172">
        <f t="shared" si="6"/>
        <v>299244674.80000001</v>
      </c>
      <c r="N39" s="173">
        <f t="shared" si="7"/>
        <v>4.4293500943472638E-3</v>
      </c>
    </row>
    <row r="40" spans="1:14" x14ac:dyDescent="0.2">
      <c r="A40" s="163" t="s">
        <v>553</v>
      </c>
      <c r="B40" s="164" t="s">
        <v>484</v>
      </c>
      <c r="C40" s="164" t="s">
        <v>494</v>
      </c>
      <c r="D40" s="165">
        <v>299244674.80000001</v>
      </c>
      <c r="E40" s="164" t="s">
        <v>141</v>
      </c>
      <c r="F40" s="169" t="str">
        <f>VLOOKUP(E40,'Справочник отрасли'!$A:$D,4,0)</f>
        <v>Цветная и черная металлургия</v>
      </c>
      <c r="G40" s="167">
        <f t="shared" si="5"/>
        <v>4.4293500943472638E-3</v>
      </c>
      <c r="H40" s="166" t="s">
        <v>83</v>
      </c>
      <c r="I40" s="168" t="e">
        <f>VLOOKUP(C40,'Справочник отрасли'!$J$6:$K$34,2,0)</f>
        <v>#N/A</v>
      </c>
      <c r="J40" s="168">
        <f>VLOOKUP(A40,'Эшелоны результат'!$A$3:$H$283,8,FALSE)</f>
        <v>2</v>
      </c>
      <c r="L40" s="139" t="s">
        <v>133</v>
      </c>
      <c r="M40" s="172">
        <f t="shared" si="6"/>
        <v>3001475340.4900002</v>
      </c>
      <c r="N40" s="173">
        <f t="shared" si="7"/>
        <v>4.4427140070130891E-2</v>
      </c>
    </row>
    <row r="41" spans="1:14" x14ac:dyDescent="0.2">
      <c r="A41" s="163" t="s">
        <v>554</v>
      </c>
      <c r="B41" s="164" t="s">
        <v>484</v>
      </c>
      <c r="C41" s="164" t="s">
        <v>495</v>
      </c>
      <c r="D41" s="165">
        <v>740897645.30000007</v>
      </c>
      <c r="E41" s="164" t="s">
        <v>133</v>
      </c>
      <c r="F41" s="169" t="str">
        <f>VLOOKUP(E41,'Справочник отрасли'!$A:$D,4,0)</f>
        <v>Финансовый лизинг</v>
      </c>
      <c r="G41" s="167">
        <f t="shared" si="5"/>
        <v>1.0966594668074009E-2</v>
      </c>
      <c r="H41" s="166" t="s">
        <v>81</v>
      </c>
      <c r="I41" s="168" t="e">
        <f>VLOOKUP(C41,'Справочник отрасли'!$J$6:$K$34,2,0)</f>
        <v>#N/A</v>
      </c>
      <c r="J41" s="168">
        <f>VLOOKUP(A41,'Эшелоны результат'!$A$3:$H$283,8,FALSE)</f>
        <v>2</v>
      </c>
      <c r="L41" s="139" t="s">
        <v>146</v>
      </c>
      <c r="M41" s="172">
        <f t="shared" si="6"/>
        <v>1182539797.1099999</v>
      </c>
      <c r="N41" s="173">
        <f t="shared" si="7"/>
        <v>1.7503679106066993E-2</v>
      </c>
    </row>
    <row r="42" spans="1:14" x14ac:dyDescent="0.2">
      <c r="A42" s="163" t="s">
        <v>555</v>
      </c>
      <c r="B42" s="164" t="s">
        <v>484</v>
      </c>
      <c r="C42" s="164" t="s">
        <v>496</v>
      </c>
      <c r="D42" s="165">
        <v>1381747871.3100002</v>
      </c>
      <c r="E42" s="164" t="s">
        <v>145</v>
      </c>
      <c r="F42" s="169" t="str">
        <f>VLOOKUP(E42,'Справочник отрасли'!$A:$D,4,0)</f>
        <v>Банк</v>
      </c>
      <c r="G42" s="167">
        <f t="shared" si="5"/>
        <v>2.0452310699401892E-2</v>
      </c>
      <c r="H42" s="166" t="s">
        <v>79</v>
      </c>
      <c r="I42" s="168" t="e">
        <f>VLOOKUP(C42,'Справочник отрасли'!$J$6:$K$34,2,0)</f>
        <v>#N/A</v>
      </c>
      <c r="J42" s="168">
        <f>VLOOKUP(A42,'Эшелоны результат'!$A$3:$H$283,8,FALSE)</f>
        <v>1</v>
      </c>
      <c r="L42" s="139" t="s">
        <v>100</v>
      </c>
      <c r="M42" s="172">
        <f t="shared" si="6"/>
        <v>228637456.47999999</v>
      </c>
      <c r="N42" s="173">
        <f t="shared" si="7"/>
        <v>3.3842384667591967E-3</v>
      </c>
    </row>
    <row r="43" spans="1:14" x14ac:dyDescent="0.2">
      <c r="A43" s="163" t="s">
        <v>556</v>
      </c>
      <c r="B43" s="164" t="s">
        <v>484</v>
      </c>
      <c r="C43" s="164" t="s">
        <v>497</v>
      </c>
      <c r="D43" s="165">
        <v>880015251.65999997</v>
      </c>
      <c r="E43" s="164" t="s">
        <v>146</v>
      </c>
      <c r="F43" s="169" t="str">
        <f>VLOOKUP(E43,'Справочник отрасли'!$A:$D,4,0)</f>
        <v>Банк</v>
      </c>
      <c r="G43" s="167">
        <f t="shared" si="5"/>
        <v>1.3025781129012263E-2</v>
      </c>
      <c r="H43" s="166" t="s">
        <v>81</v>
      </c>
      <c r="I43" s="168" t="e">
        <f>VLOOKUP(C43,'Справочник отрасли'!$J$6:$K$34,2,0)</f>
        <v>#N/A</v>
      </c>
      <c r="J43" s="168">
        <f>VLOOKUP(A43,'Эшелоны результат'!$A$3:$H$283,8,FALSE)</f>
        <v>2</v>
      </c>
      <c r="L43" s="139" t="s">
        <v>149</v>
      </c>
      <c r="M43" s="172">
        <f t="shared" si="6"/>
        <v>5837090074.8600016</v>
      </c>
      <c r="N43" s="173">
        <f t="shared" si="7"/>
        <v>8.6399250015307627E-2</v>
      </c>
    </row>
    <row r="44" spans="1:14" x14ac:dyDescent="0.2">
      <c r="A44" s="163" t="s">
        <v>557</v>
      </c>
      <c r="B44" s="164" t="s">
        <v>484</v>
      </c>
      <c r="C44" s="164" t="s">
        <v>498</v>
      </c>
      <c r="D44" s="165">
        <v>144088766.63</v>
      </c>
      <c r="E44" s="164" t="s">
        <v>104</v>
      </c>
      <c r="F44" s="169" t="str">
        <f>VLOOKUP(E44,'Справочник отрасли'!$A:$D,4,0)</f>
        <v>Топливная промышленность</v>
      </c>
      <c r="G44" s="167">
        <f t="shared" si="5"/>
        <v>2.1327684193328585E-3</v>
      </c>
      <c r="H44" s="166" t="s">
        <v>75</v>
      </c>
      <c r="I44" s="168" t="e">
        <f>VLOOKUP(C44,'Справочник отрасли'!$J$6:$K$34,2,0)</f>
        <v>#N/A</v>
      </c>
      <c r="J44" s="168">
        <f>VLOOKUP(A44,'Эшелоны результат'!$A$3:$H$283,8,FALSE)</f>
        <v>1</v>
      </c>
      <c r="L44" s="139" t="s">
        <v>150</v>
      </c>
      <c r="M44" s="172">
        <f t="shared" si="6"/>
        <v>4807920355.0699997</v>
      </c>
      <c r="N44" s="173">
        <f t="shared" si="7"/>
        <v>7.1165719131264668E-2</v>
      </c>
    </row>
    <row r="45" spans="1:14" x14ac:dyDescent="0.2">
      <c r="A45" s="163" t="s">
        <v>558</v>
      </c>
      <c r="B45" s="164" t="s">
        <v>484</v>
      </c>
      <c r="C45" s="164" t="s">
        <v>499</v>
      </c>
      <c r="D45" s="165">
        <v>228637456.47999999</v>
      </c>
      <c r="E45" s="164" t="s">
        <v>100</v>
      </c>
      <c r="F45" s="169" t="str">
        <f>VLOOKUP(E45,'Справочник отрасли'!$A:$D,4,0)</f>
        <v>Горнодобывающая промышленность</v>
      </c>
      <c r="G45" s="167">
        <f t="shared" si="5"/>
        <v>3.3842384667591963E-3</v>
      </c>
      <c r="H45" s="166" t="s">
        <v>75</v>
      </c>
      <c r="I45" s="168" t="e">
        <f>VLOOKUP(C45,'Справочник отрасли'!$J$6:$K$34,2,0)</f>
        <v>#N/A</v>
      </c>
      <c r="J45" s="168">
        <f>VLOOKUP(A45,'Эшелоны результат'!$A$3:$H$283,8,FALSE)</f>
        <v>1</v>
      </c>
      <c r="L45" s="139" t="s">
        <v>151</v>
      </c>
      <c r="M45" s="172">
        <f t="shared" si="6"/>
        <v>8066058649.8500004</v>
      </c>
      <c r="N45" s="173">
        <f t="shared" si="7"/>
        <v>0.11939192457009318</v>
      </c>
    </row>
    <row r="46" spans="1:14" x14ac:dyDescent="0.2">
      <c r="A46" s="163" t="s">
        <v>559</v>
      </c>
      <c r="B46" s="164" t="s">
        <v>484</v>
      </c>
      <c r="C46" s="164" t="s">
        <v>500</v>
      </c>
      <c r="D46" s="165">
        <v>5837090074.8600016</v>
      </c>
      <c r="E46" s="164" t="s">
        <v>149</v>
      </c>
      <c r="F46" s="169" t="str">
        <f>VLOOKUP(E46,'Справочник отрасли'!$A:$D,4,0)</f>
        <v>Банк</v>
      </c>
      <c r="G46" s="167">
        <f t="shared" si="5"/>
        <v>8.6399250015307613E-2</v>
      </c>
      <c r="H46" s="166" t="s">
        <v>77</v>
      </c>
      <c r="I46" s="168" t="e">
        <f>VLOOKUP(C46,'Справочник отрасли'!$J$6:$K$34,2,0)</f>
        <v>#N/A</v>
      </c>
      <c r="J46" s="168">
        <f>VLOOKUP(A46,'Эшелоны результат'!$A$3:$H$283,8,FALSE)</f>
        <v>1</v>
      </c>
      <c r="L46" s="139" t="s">
        <v>153</v>
      </c>
      <c r="M46" s="172">
        <f t="shared" si="6"/>
        <v>768661410.63</v>
      </c>
      <c r="N46" s="173">
        <f t="shared" si="7"/>
        <v>1.1377547466702961E-2</v>
      </c>
    </row>
    <row r="47" spans="1:14" x14ac:dyDescent="0.2">
      <c r="A47" s="163" t="s">
        <v>560</v>
      </c>
      <c r="B47" s="164" t="s">
        <v>484</v>
      </c>
      <c r="C47" s="164" t="s">
        <v>501</v>
      </c>
      <c r="D47" s="165">
        <v>4807920355.0699997</v>
      </c>
      <c r="E47" s="164" t="s">
        <v>150</v>
      </c>
      <c r="F47" s="169" t="str">
        <f>VLOOKUP(E47,'Справочник отрасли'!$A:$D,4,0)</f>
        <v>Топливная промышленность</v>
      </c>
      <c r="G47" s="167">
        <f t="shared" si="5"/>
        <v>7.1165719131264654E-2</v>
      </c>
      <c r="H47" s="166" t="s">
        <v>75</v>
      </c>
      <c r="I47" s="168" t="e">
        <f>VLOOKUP(C47,'Справочник отрасли'!$J$6:$K$34,2,0)</f>
        <v>#N/A</v>
      </c>
      <c r="J47" s="168">
        <f>VLOOKUP(A47,'Эшелоны результат'!$A$3:$H$283,8,FALSE)</f>
        <v>1</v>
      </c>
      <c r="L47" s="139" t="s">
        <v>337</v>
      </c>
      <c r="M47" s="172">
        <f t="shared" si="6"/>
        <v>1109072644.71</v>
      </c>
      <c r="N47" s="173">
        <f t="shared" si="7"/>
        <v>1.6416235399234608E-2</v>
      </c>
    </row>
    <row r="48" spans="1:14" x14ac:dyDescent="0.2">
      <c r="A48" s="163" t="s">
        <v>561</v>
      </c>
      <c r="B48" s="164" t="s">
        <v>484</v>
      </c>
      <c r="C48" s="164" t="s">
        <v>502</v>
      </c>
      <c r="D48" s="165">
        <v>175689828.77000001</v>
      </c>
      <c r="E48" s="164" t="s">
        <v>137</v>
      </c>
      <c r="F48" s="169" t="str">
        <f>VLOOKUP(E48,'Справочник отрасли'!$A:$D,4,0)</f>
        <v>Банк</v>
      </c>
      <c r="G48" s="167">
        <f t="shared" si="5"/>
        <v>2.6005199930737551E-3</v>
      </c>
      <c r="H48" s="166" t="s">
        <v>81</v>
      </c>
      <c r="I48" s="168" t="e">
        <f>VLOOKUP(C48,'Справочник отрасли'!$J$6:$K$34,2,0)</f>
        <v>#N/A</v>
      </c>
      <c r="J48" s="168">
        <f>VLOOKUP(A48,'Эшелоны результат'!$A$3:$H$283,8,FALSE)</f>
        <v>2</v>
      </c>
      <c r="L48" s="139" t="s">
        <v>138</v>
      </c>
      <c r="M48" s="172">
        <f t="shared" si="6"/>
        <v>3120465056.0200005</v>
      </c>
      <c r="N48" s="173">
        <f t="shared" si="7"/>
        <v>4.6188398171253038E-2</v>
      </c>
    </row>
    <row r="49" spans="1:14" x14ac:dyDescent="0.2">
      <c r="A49" s="163" t="s">
        <v>562</v>
      </c>
      <c r="B49" s="164" t="s">
        <v>484</v>
      </c>
      <c r="C49" s="164" t="s">
        <v>503</v>
      </c>
      <c r="D49" s="165">
        <v>8066058649.8500004</v>
      </c>
      <c r="E49" s="164" t="s">
        <v>151</v>
      </c>
      <c r="F49" s="169" t="str">
        <f>VLOOKUP(E49,'Справочник отрасли'!$A:$D,4,0)</f>
        <v>Топливная промышленность</v>
      </c>
      <c r="G49" s="167">
        <f t="shared" si="5"/>
        <v>0.11939192457009316</v>
      </c>
      <c r="H49" s="166" t="s">
        <v>77</v>
      </c>
      <c r="I49" s="168" t="e">
        <f>VLOOKUP(C49,'Справочник отрасли'!$J$6:$K$34,2,0)</f>
        <v>#N/A</v>
      </c>
      <c r="J49" s="168">
        <f>VLOOKUP(A49,'Эшелоны результат'!$A$3:$H$283,8,FALSE)</f>
        <v>1</v>
      </c>
      <c r="L49" s="139" t="s">
        <v>134</v>
      </c>
      <c r="M49" s="172">
        <f t="shared" si="6"/>
        <v>987978851.21000004</v>
      </c>
      <c r="N49" s="173">
        <f t="shared" si="7"/>
        <v>1.4623833225252484E-2</v>
      </c>
    </row>
    <row r="50" spans="1:14" x14ac:dyDescent="0.2">
      <c r="A50" s="163" t="s">
        <v>563</v>
      </c>
      <c r="B50" s="164" t="s">
        <v>484</v>
      </c>
      <c r="C50" s="164" t="s">
        <v>504</v>
      </c>
      <c r="D50" s="165">
        <v>678819926.34000003</v>
      </c>
      <c r="E50" s="164" t="s">
        <v>135</v>
      </c>
      <c r="F50" s="169" t="str">
        <f>VLOOKUP(E50,'Справочник отрасли'!$A:$D,4,0)</f>
        <v>Горнодобывающая промышленность</v>
      </c>
      <c r="G50" s="167">
        <f t="shared" si="5"/>
        <v>1.0047734706685853E-2</v>
      </c>
      <c r="H50" s="166" t="s">
        <v>77</v>
      </c>
      <c r="I50" s="168" t="e">
        <f>VLOOKUP(C50,'Справочник отрасли'!$J$6:$K$34,2,0)</f>
        <v>#N/A</v>
      </c>
      <c r="J50" s="168">
        <f>VLOOKUP(A50,'Эшелоны результат'!$A$3:$H$283,8,FALSE)</f>
        <v>1</v>
      </c>
      <c r="L50" s="139" t="s">
        <v>479</v>
      </c>
      <c r="M50" s="172">
        <f t="shared" si="6"/>
        <v>712651785.91999996</v>
      </c>
      <c r="N50" s="173">
        <f t="shared" si="7"/>
        <v>1.0548506025416154E-2</v>
      </c>
    </row>
    <row r="51" spans="1:14" x14ac:dyDescent="0.2">
      <c r="A51" s="163" t="s">
        <v>564</v>
      </c>
      <c r="B51" s="164" t="s">
        <v>484</v>
      </c>
      <c r="C51" s="164" t="s">
        <v>505</v>
      </c>
      <c r="D51" s="165">
        <v>768661410.63</v>
      </c>
      <c r="E51" s="164" t="s">
        <v>153</v>
      </c>
      <c r="F51" s="169" t="str">
        <f>VLOOKUP(E51,'Справочник отрасли'!$A:$D,4,0)</f>
        <v>Банк</v>
      </c>
      <c r="G51" s="167">
        <f t="shared" si="5"/>
        <v>1.1377547466702959E-2</v>
      </c>
      <c r="H51" s="166" t="s">
        <v>77</v>
      </c>
      <c r="I51" s="168" t="e">
        <f>VLOOKUP(C51,'Справочник отрасли'!$J$6:$K$34,2,0)</f>
        <v>#N/A</v>
      </c>
      <c r="J51" s="168">
        <f>VLOOKUP(A51,'Эшелоны результат'!$A$3:$H$283,8,FALSE)</f>
        <v>1</v>
      </c>
      <c r="L51" s="139" t="s">
        <v>155</v>
      </c>
      <c r="M51" s="172">
        <f t="shared" si="6"/>
        <v>61119473.549999997</v>
      </c>
      <c r="N51" s="173">
        <f t="shared" si="7"/>
        <v>9.0467623564590696E-4</v>
      </c>
    </row>
    <row r="52" spans="1:14" x14ac:dyDescent="0.2">
      <c r="A52" s="163" t="s">
        <v>565</v>
      </c>
      <c r="B52" s="164" t="s">
        <v>484</v>
      </c>
      <c r="C52" s="164" t="s">
        <v>506</v>
      </c>
      <c r="D52" s="165">
        <v>410072474.54000002</v>
      </c>
      <c r="E52" s="164" t="s">
        <v>337</v>
      </c>
      <c r="F52" s="169" t="str">
        <f>VLOOKUP(E52,'Справочник отрасли'!$A:$D,4,0)</f>
        <v>Страны</v>
      </c>
      <c r="G52" s="167">
        <f t="shared" si="5"/>
        <v>6.0697974158000446E-3</v>
      </c>
      <c r="H52" s="166" t="s">
        <v>87</v>
      </c>
      <c r="I52" s="168" t="e">
        <f>VLOOKUP(C52,'Справочник отрасли'!$J$6:$K$34,2,0)</f>
        <v>#N/A</v>
      </c>
      <c r="J52" s="168">
        <f>VLOOKUP(A52,'Эшелоны результат'!$A$3:$H$283,8,FALSE)</f>
        <v>2</v>
      </c>
      <c r="L52" s="139" t="s">
        <v>197</v>
      </c>
      <c r="M52" s="172">
        <f t="shared" si="6"/>
        <v>13171601.430000007</v>
      </c>
      <c r="N52" s="173">
        <f t="shared" si="7"/>
        <v>1.9496298163256435E-4</v>
      </c>
    </row>
    <row r="53" spans="1:14" x14ac:dyDescent="0.2">
      <c r="A53" s="163" t="s">
        <v>566</v>
      </c>
      <c r="B53" s="164" t="s">
        <v>484</v>
      </c>
      <c r="C53" s="164" t="s">
        <v>507</v>
      </c>
      <c r="D53" s="165">
        <v>630286391.17000008</v>
      </c>
      <c r="E53" s="164" t="s">
        <v>104</v>
      </c>
      <c r="F53" s="169" t="str">
        <f>VLOOKUP(E53,'Справочник отрасли'!$A:$D,4,0)</f>
        <v>Топливная промышленность</v>
      </c>
      <c r="G53" s="167">
        <f t="shared" si="5"/>
        <v>9.3293526043880526E-3</v>
      </c>
      <c r="H53" s="166" t="s">
        <v>79</v>
      </c>
      <c r="I53" s="168" t="e">
        <f>VLOOKUP(C53,'Справочник отрасли'!$J$6:$K$34,2,0)</f>
        <v>#N/A</v>
      </c>
      <c r="J53" s="168">
        <f>VLOOKUP(A53,'Эшелоны результат'!$A$3:$H$283,8,FALSE)</f>
        <v>1</v>
      </c>
      <c r="L53" s="139" t="s">
        <v>157</v>
      </c>
      <c r="M53" s="172">
        <f t="shared" si="6"/>
        <v>1464638695.9200001</v>
      </c>
      <c r="N53" s="173">
        <f t="shared" si="7"/>
        <v>2.1679241411041831E-2</v>
      </c>
    </row>
    <row r="54" spans="1:14" x14ac:dyDescent="0.2">
      <c r="A54" s="163" t="s">
        <v>567</v>
      </c>
      <c r="B54" s="164" t="s">
        <v>484</v>
      </c>
      <c r="C54" s="164" t="s">
        <v>508</v>
      </c>
      <c r="D54" s="165">
        <v>2012305128.6500003</v>
      </c>
      <c r="E54" s="164" t="s">
        <v>138</v>
      </c>
      <c r="F54" s="169" t="str">
        <f>VLOOKUP(E54,'Справочник отрасли'!$A:$D,4,0)</f>
        <v>Банк</v>
      </c>
      <c r="G54" s="167">
        <f t="shared" si="5"/>
        <v>2.9785672601854971E-2</v>
      </c>
      <c r="H54" s="166" t="s">
        <v>81</v>
      </c>
      <c r="I54" s="168" t="e">
        <f>VLOOKUP(C54,'Справочник отрасли'!$J$6:$K$34,2,0)</f>
        <v>#N/A</v>
      </c>
      <c r="J54" s="168">
        <f>VLOOKUP(A54,'Эшелоны результат'!$A$3:$H$283,8,FALSE)</f>
        <v>2</v>
      </c>
      <c r="L54" s="139" t="s">
        <v>198</v>
      </c>
      <c r="M54" s="172">
        <f t="shared" si="6"/>
        <v>226645880</v>
      </c>
      <c r="N54" s="173">
        <f t="shared" si="7"/>
        <v>3.3547596147947179E-3</v>
      </c>
    </row>
    <row r="55" spans="1:14" x14ac:dyDescent="0.2">
      <c r="A55" s="163" t="s">
        <v>568</v>
      </c>
      <c r="B55" s="164" t="s">
        <v>484</v>
      </c>
      <c r="C55" s="164" t="s">
        <v>509</v>
      </c>
      <c r="D55" s="165">
        <v>1108159927.3699999</v>
      </c>
      <c r="E55" s="164" t="s">
        <v>138</v>
      </c>
      <c r="F55" s="169" t="str">
        <f>VLOOKUP(E55,'Справочник отрасли'!$A:$D,4,0)</f>
        <v>Банк</v>
      </c>
      <c r="G55" s="167">
        <f t="shared" si="5"/>
        <v>1.6402725569398053E-2</v>
      </c>
      <c r="H55" s="166" t="s">
        <v>81</v>
      </c>
      <c r="I55" s="168" t="e">
        <f>VLOOKUP(C55,'Справочник отрасли'!$J$6:$K$34,2,0)</f>
        <v>#N/A</v>
      </c>
      <c r="J55" s="168">
        <f>VLOOKUP(A55,'Эшелоны результат'!$A$3:$H$283,8,FALSE)</f>
        <v>2</v>
      </c>
      <c r="L55" s="139" t="s">
        <v>160</v>
      </c>
      <c r="M55" s="172">
        <f t="shared" si="6"/>
        <v>2046798027.1900001</v>
      </c>
      <c r="N55" s="173">
        <f t="shared" si="7"/>
        <v>3.0296228465562725E-2</v>
      </c>
    </row>
    <row r="56" spans="1:14" x14ac:dyDescent="0.2">
      <c r="A56" s="163" t="s">
        <v>569</v>
      </c>
      <c r="B56" s="164" t="s">
        <v>484</v>
      </c>
      <c r="C56" s="164" t="s">
        <v>510</v>
      </c>
      <c r="D56" s="165">
        <v>987978851.21000004</v>
      </c>
      <c r="E56" s="164" t="s">
        <v>134</v>
      </c>
      <c r="F56" s="169" t="str">
        <f>VLOOKUP(E56,'Справочник отрасли'!$A:$D,4,0)</f>
        <v>Цветная и черная металлургия</v>
      </c>
      <c r="G56" s="167">
        <f t="shared" si="5"/>
        <v>1.4623833225252483E-2</v>
      </c>
      <c r="H56" s="166" t="s">
        <v>79</v>
      </c>
      <c r="I56" s="168" t="e">
        <f>VLOOKUP(C56,'Справочник отрасли'!$J$6:$K$34,2,0)</f>
        <v>#N/A</v>
      </c>
      <c r="J56" s="168">
        <f>VLOOKUP(A56,'Эшелоны результат'!$A$3:$H$283,8,FALSE)</f>
        <v>1</v>
      </c>
      <c r="L56" s="139" t="s">
        <v>199</v>
      </c>
      <c r="M56" s="172">
        <f t="shared" si="6"/>
        <v>8514163.9399999995</v>
      </c>
      <c r="N56" s="173">
        <f t="shared" si="7"/>
        <v>1.2602467487894981E-4</v>
      </c>
    </row>
    <row r="57" spans="1:14" x14ac:dyDescent="0.2">
      <c r="A57" s="163" t="s">
        <v>570</v>
      </c>
      <c r="B57" s="164" t="s">
        <v>484</v>
      </c>
      <c r="C57" s="164" t="s">
        <v>511</v>
      </c>
      <c r="D57" s="165">
        <v>699000170.16999996</v>
      </c>
      <c r="E57" s="164" t="s">
        <v>337</v>
      </c>
      <c r="F57" s="169" t="str">
        <f>VLOOKUP(E57,'Справочник отрасли'!$A:$D,4,0)</f>
        <v>Страны</v>
      </c>
      <c r="G57" s="167">
        <f t="shared" si="5"/>
        <v>1.0346437983434559E-2</v>
      </c>
      <c r="H57" s="166" t="s">
        <v>87</v>
      </c>
      <c r="I57" s="168" t="e">
        <f>VLOOKUP(C57,'Справочник отрасли'!$J$6:$K$34,2,0)</f>
        <v>#N/A</v>
      </c>
      <c r="J57" s="168">
        <f>VLOOKUP(A57,'Эшелоны результат'!$A$3:$H$283,8,FALSE)</f>
        <v>2</v>
      </c>
      <c r="L57" s="139" t="s">
        <v>200</v>
      </c>
      <c r="M57" s="172">
        <f t="shared" si="6"/>
        <v>701794667.29999995</v>
      </c>
      <c r="N57" s="173">
        <f t="shared" si="7"/>
        <v>1.0387801480160747E-2</v>
      </c>
    </row>
    <row r="58" spans="1:14" x14ac:dyDescent="0.2">
      <c r="A58" s="163" t="s">
        <v>571</v>
      </c>
      <c r="B58" s="164" t="s">
        <v>484</v>
      </c>
      <c r="C58" s="164" t="s">
        <v>512</v>
      </c>
      <c r="D58" s="165">
        <v>712651785.91999996</v>
      </c>
      <c r="E58" s="164" t="s">
        <v>479</v>
      </c>
      <c r="F58" s="169" t="str">
        <f>VLOOKUP(E58,'Справочник отрасли'!$A:$D,4,0)</f>
        <v>Связь и телекоммуникации</v>
      </c>
      <c r="G58" s="167">
        <f t="shared" ref="G58:G90" si="8">D58/$B$19</f>
        <v>1.0548506025416154E-2</v>
      </c>
      <c r="H58" s="52" t="s">
        <v>79</v>
      </c>
      <c r="I58" s="168" t="e">
        <f>VLOOKUP(C58,'Справочник отрасли'!$J$6:$K$34,2,0)</f>
        <v>#N/A</v>
      </c>
      <c r="J58" s="168">
        <f>VLOOKUP(A58,'Эшелоны результат'!$A$3:$H$283,8,FALSE)</f>
        <v>2</v>
      </c>
      <c r="L58" s="139" t="s">
        <v>156</v>
      </c>
      <c r="M58" s="172">
        <f t="shared" ref="M58:M76" si="9">SUMIF($E$26:$E$422,L58,$D$26:$D$422)</f>
        <v>1537746519.95</v>
      </c>
      <c r="N58" s="173">
        <f t="shared" ref="N58:N76" si="10">M58/$M$77</f>
        <v>2.276136642289452E-2</v>
      </c>
    </row>
    <row r="59" spans="1:14" x14ac:dyDescent="0.2">
      <c r="A59" s="163" t="s">
        <v>573</v>
      </c>
      <c r="B59" s="164" t="s">
        <v>485</v>
      </c>
      <c r="C59" s="164" t="s">
        <v>514</v>
      </c>
      <c r="D59" s="165">
        <v>609058.78</v>
      </c>
      <c r="E59" s="164" t="s">
        <v>155</v>
      </c>
      <c r="F59" s="169" t="str">
        <f>VLOOKUP(E59,'Справочник отрасли'!$A:$D,4,0)</f>
        <v>Банк</v>
      </c>
      <c r="G59" s="167">
        <f t="shared" si="8"/>
        <v>9.0151464398123663E-6</v>
      </c>
      <c r="H59" s="166" t="s">
        <v>77</v>
      </c>
      <c r="I59" s="168" t="e">
        <f>VLOOKUP(C59,'Справочник отрасли'!$J$6:$K$34,2,0)</f>
        <v>#N/A</v>
      </c>
      <c r="J59" s="168">
        <v>4</v>
      </c>
      <c r="L59" s="139" t="s">
        <v>161</v>
      </c>
      <c r="M59" s="172">
        <f t="shared" si="9"/>
        <v>148664613.34</v>
      </c>
      <c r="N59" s="173">
        <f t="shared" si="10"/>
        <v>2.2004990383328571E-3</v>
      </c>
    </row>
    <row r="60" spans="1:14" x14ac:dyDescent="0.2">
      <c r="A60" s="163" t="s">
        <v>653</v>
      </c>
      <c r="B60" s="164" t="s">
        <v>485</v>
      </c>
      <c r="C60" s="164" t="s">
        <v>635</v>
      </c>
      <c r="D60" s="165">
        <v>13171601.430000007</v>
      </c>
      <c r="E60" s="164" t="s">
        <v>197</v>
      </c>
      <c r="F60" s="169" t="str">
        <f>VLOOKUP(E60,'Справочник отрасли'!$A:$D,4,0)</f>
        <v>Инвестиционная деятельность</v>
      </c>
      <c r="G60" s="167">
        <f t="shared" si="8"/>
        <v>1.9496298163256432E-4</v>
      </c>
      <c r="H60" s="166" t="s">
        <v>116</v>
      </c>
      <c r="I60" s="168" t="e">
        <f>VLOOKUP(C60,'Справочник отрасли'!$J$6:$K$34,2,0)</f>
        <v>#N/A</v>
      </c>
      <c r="J60" s="168">
        <v>4</v>
      </c>
      <c r="L60" s="139" t="s">
        <v>343</v>
      </c>
      <c r="M60" s="172">
        <f t="shared" si="9"/>
        <v>44540100</v>
      </c>
      <c r="N60" s="173">
        <f t="shared" si="10"/>
        <v>6.5927220348730017E-4</v>
      </c>
    </row>
    <row r="61" spans="1:14" x14ac:dyDescent="0.2">
      <c r="A61" s="163" t="s">
        <v>574</v>
      </c>
      <c r="B61" s="164" t="s">
        <v>485</v>
      </c>
      <c r="C61" s="164" t="s">
        <v>515</v>
      </c>
      <c r="D61" s="165">
        <v>35676183.720000006</v>
      </c>
      <c r="E61" s="164" t="s">
        <v>145</v>
      </c>
      <c r="F61" s="169" t="str">
        <f>VLOOKUP(E61,'Справочник отрасли'!$A:$D,4,0)</f>
        <v>Банк</v>
      </c>
      <c r="G61" s="167">
        <f t="shared" si="8"/>
        <v>5.2807057579803702E-4</v>
      </c>
      <c r="H61" s="166" t="s">
        <v>79</v>
      </c>
      <c r="I61" s="168" t="e">
        <f>VLOOKUP(C61,'Справочник отрасли'!$J$6:$K$34,2,0)</f>
        <v>#N/A</v>
      </c>
      <c r="J61" s="168">
        <v>4</v>
      </c>
      <c r="L61" s="139" t="s">
        <v>435</v>
      </c>
      <c r="M61" s="172">
        <f t="shared" si="9"/>
        <v>78006400</v>
      </c>
      <c r="N61" s="173">
        <f t="shared" si="10"/>
        <v>1.1546325943163965E-3</v>
      </c>
    </row>
    <row r="62" spans="1:14" x14ac:dyDescent="0.2">
      <c r="A62" s="163" t="s">
        <v>577</v>
      </c>
      <c r="B62" s="164" t="s">
        <v>485</v>
      </c>
      <c r="C62" s="164" t="s">
        <v>518</v>
      </c>
      <c r="D62" s="165">
        <v>166848756.75000015</v>
      </c>
      <c r="E62" s="164" t="s">
        <v>157</v>
      </c>
      <c r="F62" s="169" t="str">
        <f>VLOOKUP(E62,'Справочник отрасли'!$A:$D,4,0)</f>
        <v>Инвестиционная деятельность</v>
      </c>
      <c r="G62" s="167">
        <f t="shared" si="8"/>
        <v>2.4696565008091391E-3</v>
      </c>
      <c r="H62" s="166" t="s">
        <v>81</v>
      </c>
      <c r="I62" s="168" t="e">
        <f>VLOOKUP(C62,'Справочник отрасли'!$J$6:$K$34,2,0)</f>
        <v>#N/A</v>
      </c>
      <c r="J62" s="168">
        <f>VLOOKUP(A62,'Эшелоны результат'!$A$3:$H$283,8,FALSE)</f>
        <v>2</v>
      </c>
      <c r="L62" s="139" t="s">
        <v>487</v>
      </c>
      <c r="M62" s="172">
        <f t="shared" si="9"/>
        <v>4947413265.1700001</v>
      </c>
      <c r="N62" s="173">
        <f t="shared" si="10"/>
        <v>7.3230460750894691E-2</v>
      </c>
    </row>
    <row r="63" spans="1:14" x14ac:dyDescent="0.2">
      <c r="A63" s="163" t="s">
        <v>579</v>
      </c>
      <c r="B63" s="164" t="s">
        <v>485</v>
      </c>
      <c r="C63" s="164" t="s">
        <v>520</v>
      </c>
      <c r="D63" s="165">
        <v>54191005.440000013</v>
      </c>
      <c r="E63" s="164" t="s">
        <v>157</v>
      </c>
      <c r="F63" s="169" t="str">
        <f>VLOOKUP(E63,'Справочник отрасли'!$A:$D,4,0)</f>
        <v>Инвестиционная деятельность</v>
      </c>
      <c r="G63" s="167">
        <f t="shared" si="8"/>
        <v>8.0212266172777062E-4</v>
      </c>
      <c r="H63" s="166" t="s">
        <v>81</v>
      </c>
      <c r="I63" s="168" t="e">
        <f>VLOOKUP(C63,'Справочник отрасли'!$J$6:$K$34,2,0)</f>
        <v>#N/A</v>
      </c>
      <c r="J63" s="168">
        <v>4</v>
      </c>
      <c r="L63" s="139" t="s">
        <v>159</v>
      </c>
      <c r="M63" s="172">
        <f t="shared" si="9"/>
        <v>513488330.73000002</v>
      </c>
      <c r="N63" s="173">
        <f t="shared" si="10"/>
        <v>7.6005348722922193E-3</v>
      </c>
    </row>
    <row r="64" spans="1:14" x14ac:dyDescent="0.2">
      <c r="A64" s="163" t="s">
        <v>654</v>
      </c>
      <c r="B64" s="164" t="s">
        <v>485</v>
      </c>
      <c r="C64" s="164" t="s">
        <v>636</v>
      </c>
      <c r="D64" s="165">
        <v>226645880</v>
      </c>
      <c r="E64" s="164" t="s">
        <v>198</v>
      </c>
      <c r="F64" s="169" t="str">
        <f>VLOOKUP(E64,'Справочник отрасли'!$A:$D,4,0)</f>
        <v>Банк</v>
      </c>
      <c r="G64" s="167">
        <f t="shared" si="8"/>
        <v>3.3547596147947174E-3</v>
      </c>
      <c r="H64" s="166" t="s">
        <v>83</v>
      </c>
      <c r="I64" s="168" t="e">
        <f>VLOOKUP(C64,'Справочник отрасли'!$J$6:$K$34,2,0)</f>
        <v>#N/A</v>
      </c>
      <c r="J64" s="168">
        <v>4</v>
      </c>
      <c r="L64" s="139" t="s">
        <v>341</v>
      </c>
      <c r="M64" s="172">
        <f t="shared" si="9"/>
        <v>615660569.82000005</v>
      </c>
      <c r="N64" s="173">
        <f t="shared" si="10"/>
        <v>9.1128645976429837E-3</v>
      </c>
    </row>
    <row r="65" spans="1:14" x14ac:dyDescent="0.2">
      <c r="A65" s="163" t="s">
        <v>585</v>
      </c>
      <c r="B65" s="164" t="s">
        <v>485</v>
      </c>
      <c r="C65" s="164" t="s">
        <v>526</v>
      </c>
      <c r="D65" s="165">
        <v>6053821.6500000004</v>
      </c>
      <c r="E65" s="164" t="s">
        <v>160</v>
      </c>
      <c r="F65" s="169" t="str">
        <f>VLOOKUP(E65,'Справочник отрасли'!$A:$D,4,0)</f>
        <v>Инвестиционная деятельность</v>
      </c>
      <c r="G65" s="167">
        <f t="shared" si="8"/>
        <v>8.9607260394894108E-5</v>
      </c>
      <c r="H65" s="166" t="s">
        <v>79</v>
      </c>
      <c r="I65" s="168" t="e">
        <f>VLOOKUP(C65,'Справочник отрасли'!$J$6:$K$34,2,0)</f>
        <v>#N/A</v>
      </c>
      <c r="J65" s="168">
        <v>4</v>
      </c>
      <c r="L65" s="139" t="s">
        <v>148</v>
      </c>
      <c r="M65" s="172">
        <f t="shared" si="9"/>
        <v>1433118283.8600001</v>
      </c>
      <c r="N65" s="173">
        <f t="shared" si="10"/>
        <v>2.1212683601031887E-2</v>
      </c>
    </row>
    <row r="66" spans="1:14" x14ac:dyDescent="0.2">
      <c r="A66" s="163" t="s">
        <v>655</v>
      </c>
      <c r="B66" s="164" t="s">
        <v>485</v>
      </c>
      <c r="C66" s="164" t="s">
        <v>637</v>
      </c>
      <c r="D66" s="165">
        <v>8514163.9399999995</v>
      </c>
      <c r="E66" s="164" t="s">
        <v>199</v>
      </c>
      <c r="F66" s="169" t="str">
        <f>VLOOKUP(E66,'Справочник отрасли'!$A:$D,4,0)</f>
        <v>Банк</v>
      </c>
      <c r="G66" s="167">
        <f t="shared" si="8"/>
        <v>1.2602467487894981E-4</v>
      </c>
      <c r="H66" s="166" t="s">
        <v>77</v>
      </c>
      <c r="I66" s="168" t="e">
        <f>VLOOKUP(C66,'Справочник отрасли'!$J$6:$K$34,2,0)</f>
        <v>#N/A</v>
      </c>
      <c r="J66" s="168">
        <v>4</v>
      </c>
      <c r="L66" s="139" t="s">
        <v>162</v>
      </c>
      <c r="M66" s="172">
        <f t="shared" si="9"/>
        <v>1060791763.64</v>
      </c>
      <c r="N66" s="173">
        <f t="shared" si="10"/>
        <v>1.5701593024176463E-2</v>
      </c>
    </row>
    <row r="67" spans="1:14" x14ac:dyDescent="0.2">
      <c r="A67" s="163" t="s">
        <v>656</v>
      </c>
      <c r="B67" s="164" t="s">
        <v>485</v>
      </c>
      <c r="C67" s="164" t="s">
        <v>638</v>
      </c>
      <c r="D67" s="165">
        <v>535248204.95999998</v>
      </c>
      <c r="E67" s="164" t="s">
        <v>200</v>
      </c>
      <c r="F67" s="169" t="str">
        <f>VLOOKUP(E67,'Справочник отрасли'!$A:$D,4,0)</f>
        <v>Топливная промышленность</v>
      </c>
      <c r="G67" s="167">
        <f t="shared" si="8"/>
        <v>7.922619470917245E-3</v>
      </c>
      <c r="H67" s="166" t="s">
        <v>77</v>
      </c>
      <c r="I67" s="168" t="e">
        <f>VLOOKUP(C67,'Справочник отрасли'!$J$6:$K$34,2,0)</f>
        <v>#N/A</v>
      </c>
      <c r="J67" s="168">
        <f>VLOOKUP(A67,'Эшелоны результат'!$A$3:$H$283,8,FALSE)</f>
        <v>1</v>
      </c>
      <c r="L67" s="139" t="s">
        <v>231</v>
      </c>
      <c r="M67" s="172">
        <f t="shared" si="9"/>
        <v>516714887.88</v>
      </c>
      <c r="N67" s="173">
        <f t="shared" si="10"/>
        <v>7.6482936209694378E-3</v>
      </c>
    </row>
    <row r="68" spans="1:14" x14ac:dyDescent="0.2">
      <c r="A68" s="163" t="s">
        <v>657</v>
      </c>
      <c r="B68" s="164" t="s">
        <v>485</v>
      </c>
      <c r="C68" s="164" t="s">
        <v>639</v>
      </c>
      <c r="D68" s="165">
        <v>154633462.34</v>
      </c>
      <c r="E68" s="164" t="s">
        <v>200</v>
      </c>
      <c r="F68" s="169" t="str">
        <f>VLOOKUP(E68,'Справочник отрасли'!$A:$D,4,0)</f>
        <v>Топливная промышленность</v>
      </c>
      <c r="G68" s="167">
        <f t="shared" si="8"/>
        <v>2.288848553320766E-3</v>
      </c>
      <c r="H68" s="166" t="s">
        <v>77</v>
      </c>
      <c r="I68" s="168" t="e">
        <f>VLOOKUP(C68,'Справочник отрасли'!$J$6:$K$34,2,0)</f>
        <v>#N/A</v>
      </c>
      <c r="J68" s="168">
        <v>4</v>
      </c>
      <c r="L68" s="139" t="s">
        <v>461</v>
      </c>
      <c r="M68" s="172">
        <f t="shared" si="9"/>
        <v>506480010</v>
      </c>
      <c r="N68" s="173">
        <f t="shared" si="10"/>
        <v>7.4967993384606191E-3</v>
      </c>
    </row>
    <row r="69" spans="1:14" x14ac:dyDescent="0.2">
      <c r="A69" s="163" t="s">
        <v>590</v>
      </c>
      <c r="B69" s="164" t="s">
        <v>485</v>
      </c>
      <c r="C69" s="164" t="s">
        <v>531</v>
      </c>
      <c r="D69" s="165">
        <v>178585144.94999999</v>
      </c>
      <c r="E69" s="164" t="s">
        <v>156</v>
      </c>
      <c r="F69" s="169" t="str">
        <f>VLOOKUP(E69,'Справочник отрасли'!$A:$D,4,0)</f>
        <v>Банк</v>
      </c>
      <c r="G69" s="167">
        <f t="shared" si="8"/>
        <v>2.6433757899350335E-3</v>
      </c>
      <c r="H69" s="166" t="s">
        <v>71</v>
      </c>
      <c r="I69" s="168" t="e">
        <f>VLOOKUP(C69,'Справочник отрасли'!$J$6:$K$34,2,0)</f>
        <v>#N/A</v>
      </c>
      <c r="J69" s="168">
        <v>4</v>
      </c>
      <c r="L69" s="139" t="s">
        <v>462</v>
      </c>
      <c r="M69" s="172">
        <f t="shared" si="9"/>
        <v>5107100507.1000004</v>
      </c>
      <c r="N69" s="173">
        <f t="shared" si="10"/>
        <v>7.5594114174573596E-2</v>
      </c>
    </row>
    <row r="70" spans="1:14" x14ac:dyDescent="0.2">
      <c r="A70" s="163" t="s">
        <v>592</v>
      </c>
      <c r="B70" s="164" t="s">
        <v>485</v>
      </c>
      <c r="C70" s="164" t="s">
        <v>533</v>
      </c>
      <c r="D70" s="165">
        <v>25957661.699999999</v>
      </c>
      <c r="E70" s="164" t="s">
        <v>161</v>
      </c>
      <c r="F70" s="169" t="str">
        <f>VLOOKUP(E70,'Справочник отрасли'!$A:$D,4,0)</f>
        <v>Финансовый лизинг</v>
      </c>
      <c r="G70" s="167">
        <f t="shared" si="8"/>
        <v>3.8421927266299124E-4</v>
      </c>
      <c r="H70" s="166" t="s">
        <v>79</v>
      </c>
      <c r="I70" s="168" t="e">
        <f>VLOOKUP(C70,'Справочник отрасли'!$J$6:$K$34,2,0)</f>
        <v>#N/A</v>
      </c>
      <c r="J70" s="168">
        <f>VLOOKUP(A70,'Эшелоны результат'!$A$3:$H$283,8,FALSE)</f>
        <v>1</v>
      </c>
      <c r="L70" s="139" t="s">
        <v>480</v>
      </c>
      <c r="M70" s="172">
        <f t="shared" si="9"/>
        <v>713846000</v>
      </c>
      <c r="N70" s="173">
        <f t="shared" si="10"/>
        <v>1.0566182504542991E-2</v>
      </c>
    </row>
    <row r="71" spans="1:14" x14ac:dyDescent="0.2">
      <c r="A71" s="163" t="s">
        <v>658</v>
      </c>
      <c r="B71" s="164" t="s">
        <v>485</v>
      </c>
      <c r="C71" s="164" t="s">
        <v>640</v>
      </c>
      <c r="D71" s="165">
        <v>512910467.16000003</v>
      </c>
      <c r="E71" s="164" t="s">
        <v>157</v>
      </c>
      <c r="F71" s="169" t="str">
        <f>VLOOKUP(E71,'Справочник отрасли'!$A:$D,4,0)</f>
        <v>Инвестиционная деятельность</v>
      </c>
      <c r="G71" s="167">
        <f t="shared" si="8"/>
        <v>7.5919814700971412E-3</v>
      </c>
      <c r="H71" s="166" t="s">
        <v>81</v>
      </c>
      <c r="I71" s="168" t="e">
        <f>VLOOKUP(C71,'Справочник отрасли'!$J$6:$K$34,2,0)</f>
        <v>#N/A</v>
      </c>
      <c r="J71" s="168">
        <f>VLOOKUP(A71,'Эшелоны результат'!$A$3:$H$283,8,FALSE)</f>
        <v>2</v>
      </c>
      <c r="L71" s="139" t="s">
        <v>163</v>
      </c>
      <c r="M71" s="172">
        <f t="shared" si="9"/>
        <v>2977775548.9499998</v>
      </c>
      <c r="N71" s="173">
        <f t="shared" si="10"/>
        <v>4.4076341266563644E-2</v>
      </c>
    </row>
    <row r="72" spans="1:14" x14ac:dyDescent="0.2">
      <c r="A72" s="163" t="s">
        <v>659</v>
      </c>
      <c r="B72" s="164" t="s">
        <v>485</v>
      </c>
      <c r="C72" s="164" t="s">
        <v>641</v>
      </c>
      <c r="D72" s="165">
        <v>55794375</v>
      </c>
      <c r="E72" s="164" t="s">
        <v>156</v>
      </c>
      <c r="F72" s="169" t="str">
        <f>VLOOKUP(E72,'Справочник отрасли'!$A:$D,4,0)</f>
        <v>Банк</v>
      </c>
      <c r="G72" s="167">
        <f t="shared" si="8"/>
        <v>8.2585536513044944E-4</v>
      </c>
      <c r="H72" s="166" t="s">
        <v>71</v>
      </c>
      <c r="I72" s="168" t="e">
        <f>VLOOKUP(C72,'Справочник отрасли'!$J$6:$K$34,2,0)</f>
        <v>#N/A</v>
      </c>
      <c r="J72" s="168">
        <v>4</v>
      </c>
      <c r="L72" s="139"/>
      <c r="M72" s="172">
        <f t="shared" si="9"/>
        <v>0</v>
      </c>
      <c r="N72" s="173">
        <f t="shared" si="10"/>
        <v>0</v>
      </c>
    </row>
    <row r="73" spans="1:14" x14ac:dyDescent="0.2">
      <c r="A73" s="163" t="s">
        <v>660</v>
      </c>
      <c r="B73" s="164" t="s">
        <v>485</v>
      </c>
      <c r="C73" s="164" t="s">
        <v>642</v>
      </c>
      <c r="D73" s="165">
        <v>44540100</v>
      </c>
      <c r="E73" s="164" t="s">
        <v>343</v>
      </c>
      <c r="F73" s="169" t="str">
        <f>VLOOKUP(E73,'Справочник отрасли'!$A:$D,4,0)</f>
        <v>Профессиональные услуги, сервис</v>
      </c>
      <c r="G73" s="167">
        <f t="shared" si="8"/>
        <v>6.5927220348730006E-4</v>
      </c>
      <c r="H73" s="166" t="s">
        <v>79</v>
      </c>
      <c r="I73" s="168" t="e">
        <f>VLOOKUP(C73,'Справочник отрасли'!$J$6:$K$34,2,0)</f>
        <v>#N/A</v>
      </c>
      <c r="J73" s="168">
        <v>4</v>
      </c>
      <c r="L73" s="139"/>
      <c r="M73" s="172">
        <f t="shared" si="9"/>
        <v>0</v>
      </c>
      <c r="N73" s="173">
        <f t="shared" si="10"/>
        <v>0</v>
      </c>
    </row>
    <row r="74" spans="1:14" x14ac:dyDescent="0.2">
      <c r="A74" s="163" t="s">
        <v>661</v>
      </c>
      <c r="B74" s="164" t="s">
        <v>485</v>
      </c>
      <c r="C74" s="164" t="s">
        <v>643</v>
      </c>
      <c r="D74" s="165">
        <v>78006400</v>
      </c>
      <c r="E74" s="164" t="s">
        <v>435</v>
      </c>
      <c r="F74" s="169" t="str">
        <f>VLOOKUP(E74,'Справочник отрасли'!$A:$D,4,0)</f>
        <v>Банк</v>
      </c>
      <c r="G74" s="167">
        <f t="shared" si="8"/>
        <v>1.1546325943163963E-3</v>
      </c>
      <c r="H74" s="166" t="s">
        <v>83</v>
      </c>
      <c r="I74" s="168" t="e">
        <f>VLOOKUP(C74,'Справочник отрасли'!$J$6:$K$34,2,0)</f>
        <v>#N/A</v>
      </c>
      <c r="J74" s="168">
        <f>VLOOKUP(A74,'Эшелоны результат'!$A$3:$H$283,8,FALSE)</f>
        <v>2</v>
      </c>
      <c r="L74" s="139"/>
      <c r="M74" s="172">
        <f t="shared" si="9"/>
        <v>0</v>
      </c>
      <c r="N74" s="173">
        <f t="shared" si="10"/>
        <v>0</v>
      </c>
    </row>
    <row r="75" spans="1:14" x14ac:dyDescent="0.2">
      <c r="A75" s="163" t="s">
        <v>572</v>
      </c>
      <c r="B75" s="164" t="s">
        <v>485</v>
      </c>
      <c r="C75" s="164" t="s">
        <v>513</v>
      </c>
      <c r="D75" s="165">
        <v>220988594.12</v>
      </c>
      <c r="E75" s="164" t="s">
        <v>133</v>
      </c>
      <c r="F75" s="169" t="str">
        <f>VLOOKUP(E75,'Справочник отрасли'!$A:$D,4,0)</f>
        <v>Финансовый лизинг</v>
      </c>
      <c r="G75" s="167">
        <f t="shared" si="8"/>
        <v>3.2710217846626528E-3</v>
      </c>
      <c r="H75" s="166" t="s">
        <v>79</v>
      </c>
      <c r="I75" s="168" t="e">
        <f>VLOOKUP(C75,'Справочник отрасли'!$J$6:$K$34,2,0)</f>
        <v>#N/A</v>
      </c>
      <c r="J75" s="168">
        <f>VLOOKUP(A75,'Эшелоны результат'!$A$3:$H$283,8,FALSE)</f>
        <v>2</v>
      </c>
      <c r="L75" s="139"/>
      <c r="M75" s="172">
        <f t="shared" si="9"/>
        <v>0</v>
      </c>
      <c r="N75" s="173">
        <f t="shared" si="10"/>
        <v>0</v>
      </c>
    </row>
    <row r="76" spans="1:14" x14ac:dyDescent="0.2">
      <c r="A76" s="163" t="s">
        <v>573</v>
      </c>
      <c r="B76" s="164" t="s">
        <v>485</v>
      </c>
      <c r="C76" s="164" t="s">
        <v>514</v>
      </c>
      <c r="D76" s="165">
        <v>60510414.769999996</v>
      </c>
      <c r="E76" s="164" t="s">
        <v>155</v>
      </c>
      <c r="F76" s="169" t="str">
        <f>VLOOKUP(E76,'Справочник отрасли'!$A:$D,4,0)</f>
        <v>Банк</v>
      </c>
      <c r="G76" s="167">
        <f t="shared" si="8"/>
        <v>8.956610892060944E-4</v>
      </c>
      <c r="H76" s="166" t="s">
        <v>77</v>
      </c>
      <c r="I76" s="168" t="e">
        <f>VLOOKUP(C76,'Справочник отрасли'!$J$6:$K$34,2,0)</f>
        <v>#N/A</v>
      </c>
      <c r="J76" s="168">
        <v>4</v>
      </c>
      <c r="L76" s="139"/>
      <c r="M76" s="172">
        <f t="shared" si="9"/>
        <v>0</v>
      </c>
      <c r="N76" s="173">
        <f t="shared" si="10"/>
        <v>0</v>
      </c>
    </row>
    <row r="77" spans="1:14" ht="15" x14ac:dyDescent="0.25">
      <c r="A77" s="163" t="s">
        <v>574</v>
      </c>
      <c r="B77" s="164" t="s">
        <v>485</v>
      </c>
      <c r="C77" s="164" t="s">
        <v>515</v>
      </c>
      <c r="D77" s="165">
        <v>52613046.329999998</v>
      </c>
      <c r="E77" s="164" t="s">
        <v>145</v>
      </c>
      <c r="F77" s="169" t="str">
        <f>VLOOKUP(E77,'Справочник отрасли'!$A:$D,4,0)</f>
        <v>Банк</v>
      </c>
      <c r="G77" s="167">
        <f t="shared" si="8"/>
        <v>7.7876607789741168E-4</v>
      </c>
      <c r="H77" s="166" t="s">
        <v>79</v>
      </c>
      <c r="I77" s="168" t="e">
        <f>VLOOKUP(C77,'Справочник отрасли'!$J$6:$K$34,2,0)</f>
        <v>#N/A</v>
      </c>
      <c r="J77" s="168">
        <v>4</v>
      </c>
      <c r="L77"/>
      <c r="M77" s="213">
        <f>SUM(M26:M76)</f>
        <v>67559499345.48999</v>
      </c>
      <c r="N77" s="212"/>
    </row>
    <row r="78" spans="1:14" x14ac:dyDescent="0.2">
      <c r="A78" s="163" t="s">
        <v>575</v>
      </c>
      <c r="B78" s="164" t="s">
        <v>485</v>
      </c>
      <c r="C78" s="164" t="s">
        <v>516</v>
      </c>
      <c r="D78" s="165">
        <v>485102401.42000002</v>
      </c>
      <c r="E78" s="164" t="s">
        <v>133</v>
      </c>
      <c r="F78" s="169" t="str">
        <f>VLOOKUP(E78,'Справочник отрасли'!$A:$D,4,0)</f>
        <v>Финансовый лизинг</v>
      </c>
      <c r="G78" s="167">
        <f t="shared" si="8"/>
        <v>7.1803729471003478E-3</v>
      </c>
      <c r="H78" s="166" t="s">
        <v>79</v>
      </c>
      <c r="I78" s="168" t="e">
        <f>VLOOKUP(C78,'Справочник отрасли'!$J$6:$K$34,2,0)</f>
        <v>#N/A</v>
      </c>
      <c r="J78" s="168">
        <v>4</v>
      </c>
      <c r="L78" s="147"/>
      <c r="M78" s="214">
        <f>M77-B19</f>
        <v>0</v>
      </c>
      <c r="N78" s="212"/>
    </row>
    <row r="79" spans="1:14" ht="15" x14ac:dyDescent="0.25">
      <c r="A79" s="163" t="s">
        <v>576</v>
      </c>
      <c r="B79" s="164" t="s">
        <v>485</v>
      </c>
      <c r="C79" s="164" t="s">
        <v>517</v>
      </c>
      <c r="D79" s="165">
        <v>575644493.70000005</v>
      </c>
      <c r="E79" s="164" t="s">
        <v>133</v>
      </c>
      <c r="F79" s="169" t="str">
        <f>VLOOKUP(E79,'Справочник отрасли'!$A:$D,4,0)</f>
        <v>Финансовый лизинг</v>
      </c>
      <c r="G79" s="167">
        <f t="shared" si="8"/>
        <v>8.5205559436761537E-3</v>
      </c>
      <c r="H79" s="166" t="s">
        <v>79</v>
      </c>
      <c r="I79" s="168" t="e">
        <f>VLOOKUP(C79,'Справочник отрасли'!$J$6:$K$34,2,0)</f>
        <v>#N/A</v>
      </c>
      <c r="J79" s="168">
        <v>4</v>
      </c>
      <c r="L79"/>
      <c r="M79" s="212"/>
      <c r="N79" s="212"/>
    </row>
    <row r="80" spans="1:14" ht="15" x14ac:dyDescent="0.25">
      <c r="A80" s="163" t="s">
        <v>577</v>
      </c>
      <c r="B80" s="164" t="s">
        <v>485</v>
      </c>
      <c r="C80" s="164" t="s">
        <v>518</v>
      </c>
      <c r="D80" s="165">
        <v>583916257.16999996</v>
      </c>
      <c r="E80" s="164" t="s">
        <v>157</v>
      </c>
      <c r="F80" s="169" t="str">
        <f>VLOOKUP(E80,'Справочник отрасли'!$A:$D,4,0)</f>
        <v>Инвестиционная деятельность</v>
      </c>
      <c r="G80" s="167">
        <f t="shared" si="8"/>
        <v>8.6429926631624732E-3</v>
      </c>
      <c r="H80" s="166" t="s">
        <v>81</v>
      </c>
      <c r="I80" s="168" t="e">
        <f>VLOOKUP(C80,'Справочник отрасли'!$J$6:$K$34,2,0)</f>
        <v>#N/A</v>
      </c>
      <c r="J80" s="168">
        <f>VLOOKUP(A80,'Эшелоны результат'!$A$3:$H$283,8,FALSE)</f>
        <v>2</v>
      </c>
      <c r="L80"/>
      <c r="M80" s="212"/>
      <c r="N80" s="212"/>
    </row>
    <row r="81" spans="1:12" ht="15" x14ac:dyDescent="0.25">
      <c r="A81" s="163" t="s">
        <v>578</v>
      </c>
      <c r="B81" s="164" t="s">
        <v>485</v>
      </c>
      <c r="C81" s="164" t="s">
        <v>519</v>
      </c>
      <c r="D81" s="165">
        <v>600494927.18000007</v>
      </c>
      <c r="E81" s="164" t="s">
        <v>133</v>
      </c>
      <c r="F81" s="169" t="str">
        <f>VLOOKUP(E81,'Справочник отрасли'!$A:$D,4,0)</f>
        <v>Финансовый лизинг</v>
      </c>
      <c r="G81" s="167">
        <f t="shared" si="8"/>
        <v>8.8883862816855931E-3</v>
      </c>
      <c r="H81" s="166" t="s">
        <v>79</v>
      </c>
      <c r="I81" s="168" t="e">
        <f>VLOOKUP(C81,'Справочник отрасли'!$J$6:$K$34,2,0)</f>
        <v>#N/A</v>
      </c>
      <c r="J81" s="168">
        <f>VLOOKUP(A81,'Эшелоны результат'!$A$3:$H$283,8,FALSE)</f>
        <v>1</v>
      </c>
      <c r="L81"/>
    </row>
    <row r="82" spans="1:12" ht="15" x14ac:dyDescent="0.25">
      <c r="A82" s="163" t="s">
        <v>579</v>
      </c>
      <c r="B82" s="164" t="s">
        <v>485</v>
      </c>
      <c r="C82" s="164" t="s">
        <v>520</v>
      </c>
      <c r="D82" s="165">
        <v>146772209.40000001</v>
      </c>
      <c r="E82" s="164" t="s">
        <v>157</v>
      </c>
      <c r="F82" s="169" t="str">
        <f>VLOOKUP(E82,'Справочник отрасли'!$A:$D,4,0)</f>
        <v>Инвестиционная деятельность</v>
      </c>
      <c r="G82" s="167">
        <f t="shared" si="8"/>
        <v>2.1724881152453052E-3</v>
      </c>
      <c r="H82" s="166" t="s">
        <v>81</v>
      </c>
      <c r="I82" s="168" t="e">
        <f>VLOOKUP(C82,'Справочник отрасли'!$J$6:$K$34,2,0)</f>
        <v>#N/A</v>
      </c>
      <c r="J82" s="168">
        <v>4</v>
      </c>
      <c r="L82"/>
    </row>
    <row r="83" spans="1:12" ht="15" x14ac:dyDescent="0.25">
      <c r="A83" s="163" t="s">
        <v>580</v>
      </c>
      <c r="B83" s="164" t="s">
        <v>485</v>
      </c>
      <c r="C83" s="164" t="s">
        <v>521</v>
      </c>
      <c r="D83" s="165">
        <v>378347278.77000004</v>
      </c>
      <c r="E83" s="164" t="s">
        <v>133</v>
      </c>
      <c r="F83" s="169" t="str">
        <f>VLOOKUP(E83,'Справочник отрасли'!$A:$D,4,0)</f>
        <v>Финансовый лизинг</v>
      </c>
      <c r="G83" s="167">
        <f t="shared" si="8"/>
        <v>5.6002084449321334E-3</v>
      </c>
      <c r="H83" s="166" t="s">
        <v>79</v>
      </c>
      <c r="I83" s="168" t="e">
        <f>VLOOKUP(C83,'Справочник отрасли'!$J$6:$K$34,2,0)</f>
        <v>#N/A</v>
      </c>
      <c r="J83" s="168">
        <v>4</v>
      </c>
      <c r="L83"/>
    </row>
    <row r="84" spans="1:12" ht="15" x14ac:dyDescent="0.25">
      <c r="A84" s="163" t="s">
        <v>581</v>
      </c>
      <c r="B84" s="164" t="s">
        <v>485</v>
      </c>
      <c r="C84" s="164" t="s">
        <v>522</v>
      </c>
      <c r="D84" s="165">
        <v>1284401628.5599999</v>
      </c>
      <c r="E84" s="164" t="s">
        <v>487</v>
      </c>
      <c r="F84" s="169" t="str">
        <f>VLOOKUP(E84,'Справочник отрасли'!$A:$D,4,0)</f>
        <v>Инвестиционная деятельность</v>
      </c>
      <c r="G84" s="167">
        <f t="shared" si="8"/>
        <v>1.9011414249708192E-2</v>
      </c>
      <c r="H84" s="166" t="s">
        <v>75</v>
      </c>
      <c r="I84" s="168" t="e">
        <f>VLOOKUP(C84,'Справочник отрасли'!$J$6:$K$34,2,0)</f>
        <v>#N/A</v>
      </c>
      <c r="J84" s="168">
        <v>4</v>
      </c>
      <c r="L84"/>
    </row>
    <row r="85" spans="1:12" ht="15" x14ac:dyDescent="0.25">
      <c r="A85" s="163" t="s">
        <v>582</v>
      </c>
      <c r="B85" s="164" t="s">
        <v>485</v>
      </c>
      <c r="C85" s="164" t="s">
        <v>523</v>
      </c>
      <c r="D85" s="165">
        <v>1041227792.2900001</v>
      </c>
      <c r="E85" s="164" t="s">
        <v>145</v>
      </c>
      <c r="F85" s="169" t="str">
        <f>VLOOKUP(E85,'Справочник отрасли'!$A:$D,4,0)</f>
        <v>Банк</v>
      </c>
      <c r="G85" s="167">
        <f t="shared" si="8"/>
        <v>1.5412011669377598E-2</v>
      </c>
      <c r="H85" s="166" t="s">
        <v>79</v>
      </c>
      <c r="I85" s="168" t="e">
        <f>VLOOKUP(C85,'Справочник отрасли'!$J$6:$K$34,2,0)</f>
        <v>#N/A</v>
      </c>
      <c r="J85" s="168">
        <f>VLOOKUP(A85,'Эшелоны результат'!$A$3:$H$283,8,FALSE)</f>
        <v>1</v>
      </c>
      <c r="L85"/>
    </row>
    <row r="86" spans="1:12" ht="15" x14ac:dyDescent="0.25">
      <c r="A86" s="163" t="s">
        <v>583</v>
      </c>
      <c r="B86" s="164" t="s">
        <v>485</v>
      </c>
      <c r="C86" s="164" t="s">
        <v>524</v>
      </c>
      <c r="D86" s="165">
        <v>513488330.73000002</v>
      </c>
      <c r="E86" s="164" t="s">
        <v>159</v>
      </c>
      <c r="F86" s="169" t="str">
        <f>VLOOKUP(E86,'Справочник отрасли'!$A:$D,4,0)</f>
        <v>Банк</v>
      </c>
      <c r="G86" s="167">
        <f t="shared" si="8"/>
        <v>7.6005348722922184E-3</v>
      </c>
      <c r="H86" s="166" t="s">
        <v>77</v>
      </c>
      <c r="I86" s="168" t="e">
        <f>VLOOKUP(C86,'Справочник отрасли'!$J$6:$K$34,2,0)</f>
        <v>#N/A</v>
      </c>
      <c r="J86" s="168">
        <f>VLOOKUP(A86,'Эшелоны результат'!$A$3:$H$283,8,FALSE)</f>
        <v>2</v>
      </c>
      <c r="L86"/>
    </row>
    <row r="87" spans="1:12" ht="15" x14ac:dyDescent="0.25">
      <c r="A87" s="163" t="s">
        <v>584</v>
      </c>
      <c r="B87" s="164" t="s">
        <v>485</v>
      </c>
      <c r="C87" s="164" t="s">
        <v>525</v>
      </c>
      <c r="D87" s="165">
        <v>2141672252.25</v>
      </c>
      <c r="E87" s="164" t="s">
        <v>487</v>
      </c>
      <c r="F87" s="169" t="str">
        <f>VLOOKUP(E87,'Справочник отрасли'!$A:$D,4,0)</f>
        <v>Инвестиционная деятельность</v>
      </c>
      <c r="G87" s="167">
        <f t="shared" si="8"/>
        <v>3.1700534684216387E-2</v>
      </c>
      <c r="H87" s="166" t="s">
        <v>75</v>
      </c>
      <c r="I87" s="168" t="e">
        <f>VLOOKUP(C87,'Справочник отрасли'!$J$6:$K$34,2,0)</f>
        <v>#N/A</v>
      </c>
      <c r="J87" s="168">
        <f>VLOOKUP(A87,'Эшелоны результат'!$A$3:$H$283,8,FALSE)</f>
        <v>2</v>
      </c>
      <c r="L87"/>
    </row>
    <row r="88" spans="1:12" ht="15" x14ac:dyDescent="0.25">
      <c r="A88" s="163" t="s">
        <v>585</v>
      </c>
      <c r="B88" s="164" t="s">
        <v>485</v>
      </c>
      <c r="C88" s="164" t="s">
        <v>526</v>
      </c>
      <c r="D88" s="165">
        <v>2040744205.54</v>
      </c>
      <c r="E88" s="164" t="s">
        <v>160</v>
      </c>
      <c r="F88" s="169" t="str">
        <f>VLOOKUP(E88,'Справочник отрасли'!$A:$D,4,0)</f>
        <v>Инвестиционная деятельность</v>
      </c>
      <c r="G88" s="167">
        <f t="shared" si="8"/>
        <v>3.0206621205167827E-2</v>
      </c>
      <c r="H88" s="166" t="s">
        <v>79</v>
      </c>
      <c r="I88" s="168" t="e">
        <f>VLOOKUP(C88,'Справочник отрасли'!$J$6:$K$34,2,0)</f>
        <v>#N/A</v>
      </c>
      <c r="J88" s="168">
        <f>VLOOKUP(A88,'Эшелоны результат'!$A$3:$H$283,8,FALSE)</f>
        <v>1</v>
      </c>
      <c r="L88"/>
    </row>
    <row r="89" spans="1:12" ht="15" x14ac:dyDescent="0.25">
      <c r="A89" s="163" t="s">
        <v>586</v>
      </c>
      <c r="B89" s="164" t="s">
        <v>485</v>
      </c>
      <c r="C89" s="164" t="s">
        <v>527</v>
      </c>
      <c r="D89" s="165">
        <v>615660569.82000005</v>
      </c>
      <c r="E89" s="164" t="s">
        <v>341</v>
      </c>
      <c r="F89" s="169" t="str">
        <f>VLOOKUP(E89,'Справочник отрасли'!$A:$D,4,0)</f>
        <v>Лесная и лесоперерабатывающая промышленность</v>
      </c>
      <c r="G89" s="167">
        <f t="shared" si="8"/>
        <v>9.112864597642982E-3</v>
      </c>
      <c r="H89" s="166" t="s">
        <v>83</v>
      </c>
      <c r="I89" s="168" t="e">
        <f>VLOOKUP(C89,'Справочник отрасли'!$J$6:$K$34,2,0)</f>
        <v>#N/A</v>
      </c>
      <c r="J89" s="168">
        <v>4</v>
      </c>
      <c r="L89"/>
    </row>
    <row r="90" spans="1:12" ht="15" x14ac:dyDescent="0.25">
      <c r="A90" s="163" t="s">
        <v>587</v>
      </c>
      <c r="B90" s="164" t="s">
        <v>485</v>
      </c>
      <c r="C90" s="164" t="s">
        <v>528</v>
      </c>
      <c r="D90" s="165">
        <v>1433118283.8600001</v>
      </c>
      <c r="E90" s="164" t="s">
        <v>148</v>
      </c>
      <c r="F90" s="169" t="str">
        <f>VLOOKUP(E90,'Справочник отрасли'!$A:$D,4,0)</f>
        <v>Транспорт</v>
      </c>
      <c r="G90" s="167">
        <f t="shared" si="8"/>
        <v>2.1212683601031887E-2</v>
      </c>
      <c r="H90" s="166" t="s">
        <v>75</v>
      </c>
      <c r="I90" s="168" t="e">
        <f>VLOOKUP(C90,'Справочник отрасли'!$J$6:$K$34,2,0)</f>
        <v>#N/A</v>
      </c>
      <c r="J90" s="168">
        <f>VLOOKUP(A90,'Эшелоны результат'!$A$3:$H$283,8,FALSE)</f>
        <v>1</v>
      </c>
      <c r="L90"/>
    </row>
    <row r="91" spans="1:12" ht="15" x14ac:dyDescent="0.25">
      <c r="A91" s="163" t="s">
        <v>588</v>
      </c>
      <c r="B91" s="164" t="s">
        <v>485</v>
      </c>
      <c r="C91" s="164" t="s">
        <v>529</v>
      </c>
      <c r="D91" s="165">
        <v>1521339384.3599999</v>
      </c>
      <c r="E91" s="164" t="s">
        <v>201</v>
      </c>
      <c r="F91" s="169" t="str">
        <f>VLOOKUP(E91,'Справочник отрасли'!$A:$D,4,0)</f>
        <v>Инвестиционная деятельность</v>
      </c>
      <c r="G91" s="167">
        <f t="shared" ref="G91:G108" si="11">D91/$B$19</f>
        <v>2.2518511816970094E-2</v>
      </c>
      <c r="H91" s="166" t="s">
        <v>75</v>
      </c>
      <c r="I91" s="168" t="e">
        <f>VLOOKUP(C91,'Справочник отрасли'!$J$6:$K$34,2,0)</f>
        <v>#N/A</v>
      </c>
      <c r="J91" s="168">
        <f>VLOOKUP(A91,'Эшелоны результат'!$A$3:$H$283,8,FALSE)</f>
        <v>1</v>
      </c>
      <c r="L91"/>
    </row>
    <row r="92" spans="1:12" ht="15" x14ac:dyDescent="0.25">
      <c r="A92" s="163" t="s">
        <v>589</v>
      </c>
      <c r="B92" s="164" t="s">
        <v>485</v>
      </c>
      <c r="C92" s="164" t="s">
        <v>530</v>
      </c>
      <c r="D92" s="165">
        <v>302524545.44999999</v>
      </c>
      <c r="E92" s="164" t="s">
        <v>146</v>
      </c>
      <c r="F92" s="169" t="str">
        <f>VLOOKUP(E92,'Справочник отрасли'!$A:$D,4,0)</f>
        <v>Банк</v>
      </c>
      <c r="G92" s="167">
        <f t="shared" si="11"/>
        <v>4.4778979770547294E-3</v>
      </c>
      <c r="H92" s="166" t="s">
        <v>79</v>
      </c>
      <c r="I92" s="168" t="e">
        <f>VLOOKUP(C92,'Справочник отрасли'!$J$6:$K$34,2,0)</f>
        <v>#N/A</v>
      </c>
      <c r="J92" s="168">
        <f>VLOOKUP(A92,'Эшелоны результат'!$A$3:$H$283,8,FALSE)</f>
        <v>1</v>
      </c>
      <c r="L92"/>
    </row>
    <row r="93" spans="1:12" ht="15" x14ac:dyDescent="0.25">
      <c r="A93" s="163" t="s">
        <v>590</v>
      </c>
      <c r="B93" s="164" t="s">
        <v>485</v>
      </c>
      <c r="C93" s="164" t="s">
        <v>531</v>
      </c>
      <c r="D93" s="165">
        <v>1303367000</v>
      </c>
      <c r="E93" s="164" t="s">
        <v>156</v>
      </c>
      <c r="F93" s="169" t="str">
        <f>VLOOKUP(E93,'Справочник отрасли'!$A:$D,4,0)</f>
        <v>Банк</v>
      </c>
      <c r="G93" s="167">
        <f t="shared" si="11"/>
        <v>1.9292135267829032E-2</v>
      </c>
      <c r="H93" s="166" t="s">
        <v>71</v>
      </c>
      <c r="I93" s="168" t="e">
        <f>VLOOKUP(C93,'Справочник отрасли'!$J$6:$K$34,2,0)</f>
        <v>#N/A</v>
      </c>
      <c r="J93" s="168">
        <f>VLOOKUP(A93,'Эшелоны результат'!$A$3:$H$283,8,FALSE)</f>
        <v>3</v>
      </c>
      <c r="L93"/>
    </row>
    <row r="94" spans="1:12" ht="15" x14ac:dyDescent="0.25">
      <c r="A94" s="163" t="s">
        <v>591</v>
      </c>
      <c r="B94" s="164" t="s">
        <v>485</v>
      </c>
      <c r="C94" s="164" t="s">
        <v>532</v>
      </c>
      <c r="D94" s="165">
        <v>645816955.52999997</v>
      </c>
      <c r="E94" s="164" t="s">
        <v>139</v>
      </c>
      <c r="F94" s="169" t="str">
        <f>VLOOKUP(E94,'Справочник отрасли'!$A:$D,4,0)</f>
        <v>Цветная и черная металлургия</v>
      </c>
      <c r="G94" s="167">
        <f t="shared" si="11"/>
        <v>9.5592324067912456E-3</v>
      </c>
      <c r="H94" s="166" t="s">
        <v>83</v>
      </c>
      <c r="I94" s="168" t="e">
        <f>VLOOKUP(C94,'Справочник отрасли'!$J$6:$K$34,2,0)</f>
        <v>#N/A</v>
      </c>
      <c r="J94" s="168">
        <f>VLOOKUP(A94,'Эшелоны результат'!$A$3:$H$283,8,FALSE)</f>
        <v>2</v>
      </c>
      <c r="L94"/>
    </row>
    <row r="95" spans="1:12" ht="15" x14ac:dyDescent="0.25">
      <c r="A95" s="163" t="s">
        <v>592</v>
      </c>
      <c r="B95" s="164" t="s">
        <v>485</v>
      </c>
      <c r="C95" s="164" t="s">
        <v>533</v>
      </c>
      <c r="D95" s="165">
        <v>122706951.64</v>
      </c>
      <c r="E95" s="164" t="s">
        <v>161</v>
      </c>
      <c r="F95" s="169" t="str">
        <f>VLOOKUP(E95,'Справочник отрасли'!$A:$D,4,0)</f>
        <v>Финансовый лизинг</v>
      </c>
      <c r="G95" s="167">
        <f t="shared" si="11"/>
        <v>1.8162797656698655E-3</v>
      </c>
      <c r="H95" s="166" t="s">
        <v>79</v>
      </c>
      <c r="I95" s="168" t="e">
        <f>VLOOKUP(C95,'Справочник отрасли'!$J$6:$K$34,2,0)</f>
        <v>#N/A</v>
      </c>
      <c r="J95" s="168">
        <f>VLOOKUP(A95,'Эшелоны результат'!$A$3:$H$283,8,FALSE)</f>
        <v>1</v>
      </c>
      <c r="L95"/>
    </row>
    <row r="96" spans="1:12" ht="15" x14ac:dyDescent="0.25">
      <c r="A96" s="163" t="s">
        <v>593</v>
      </c>
      <c r="B96" s="164" t="s">
        <v>485</v>
      </c>
      <c r="C96" s="164" t="s">
        <v>534</v>
      </c>
      <c r="D96" s="165">
        <v>1060791763.64</v>
      </c>
      <c r="E96" s="164" t="s">
        <v>162</v>
      </c>
      <c r="F96" s="169" t="str">
        <f>VLOOKUP(E96,'Справочник отрасли'!$A:$D,4,0)</f>
        <v>Электроэнергетика и теплоэнергетика</v>
      </c>
      <c r="G96" s="167">
        <f t="shared" si="11"/>
        <v>1.5701593024176463E-2</v>
      </c>
      <c r="H96" s="166" t="s">
        <v>77</v>
      </c>
      <c r="I96" s="168" t="e">
        <f>VLOOKUP(C96,'Справочник отрасли'!$J$6:$K$34,2,0)</f>
        <v>#N/A</v>
      </c>
      <c r="J96" s="168">
        <f>VLOOKUP(A96,'Эшелоны результат'!$A$3:$H$283,8,FALSE)</f>
        <v>1</v>
      </c>
      <c r="L96"/>
    </row>
    <row r="97" spans="1:12" ht="15" x14ac:dyDescent="0.25">
      <c r="A97" s="163" t="s">
        <v>594</v>
      </c>
      <c r="B97" s="164" t="s">
        <v>485</v>
      </c>
      <c r="C97" s="164" t="s">
        <v>535</v>
      </c>
      <c r="D97" s="165">
        <v>309939352.04000002</v>
      </c>
      <c r="E97" s="164" t="s">
        <v>231</v>
      </c>
      <c r="F97" s="169" t="str">
        <f>VLOOKUP(E97,'Справочник отрасли'!$A:$D,4,0)</f>
        <v>Цветная и черная металлургия</v>
      </c>
      <c r="G97" s="167">
        <f t="shared" si="11"/>
        <v>4.5876502200676884E-3</v>
      </c>
      <c r="H97" s="166" t="s">
        <v>79</v>
      </c>
      <c r="I97" s="168" t="e">
        <f>VLOOKUP(C97,'Справочник отрасли'!$J$6:$K$34,2,0)</f>
        <v>#N/A</v>
      </c>
      <c r="J97" s="168">
        <f>VLOOKUP(A97,'Эшелоны результат'!$A$3:$H$283,8,FALSE)</f>
        <v>1</v>
      </c>
      <c r="L97"/>
    </row>
    <row r="98" spans="1:12" ht="15" x14ac:dyDescent="0.25">
      <c r="A98" s="163" t="s">
        <v>595</v>
      </c>
      <c r="B98" s="164" t="s">
        <v>485</v>
      </c>
      <c r="C98" s="164" t="s">
        <v>536</v>
      </c>
      <c r="D98" s="165">
        <v>206775535.84</v>
      </c>
      <c r="E98" s="164" t="s">
        <v>231</v>
      </c>
      <c r="F98" s="169" t="str">
        <f>VLOOKUP(E98,'Справочник отрасли'!$A:$D,4,0)</f>
        <v>Цветная и черная металлургия</v>
      </c>
      <c r="G98" s="167">
        <f t="shared" si="11"/>
        <v>3.0606434009017493E-3</v>
      </c>
      <c r="H98" s="166" t="s">
        <v>79</v>
      </c>
      <c r="I98" s="168" t="e">
        <f>VLOOKUP(C98,'Справочник отрасли'!$J$6:$K$34,2,0)</f>
        <v>#N/A</v>
      </c>
      <c r="J98" s="168">
        <f>VLOOKUP(A98,'Эшелоны результат'!$A$3:$H$283,8,FALSE)</f>
        <v>1</v>
      </c>
      <c r="L98"/>
    </row>
    <row r="99" spans="1:12" ht="15" x14ac:dyDescent="0.25">
      <c r="A99" s="163" t="s">
        <v>596</v>
      </c>
      <c r="B99" s="164" t="s">
        <v>485</v>
      </c>
      <c r="C99" s="164" t="s">
        <v>537</v>
      </c>
      <c r="D99" s="165">
        <v>506480010</v>
      </c>
      <c r="E99" s="164" t="s">
        <v>461</v>
      </c>
      <c r="F99" s="169" t="str">
        <f>VLOOKUP(E99,'Справочник отрасли'!$A:$D,4,0)</f>
        <v>Строительство жилых зданий</v>
      </c>
      <c r="G99" s="167">
        <f t="shared" si="11"/>
        <v>7.4967993384606182E-3</v>
      </c>
      <c r="H99" s="52" t="s">
        <v>83</v>
      </c>
      <c r="I99" s="168" t="e">
        <f>VLOOKUP(C99,'Справочник отрасли'!$J$6:$K$34,2,0)</f>
        <v>#N/A</v>
      </c>
      <c r="J99" s="168">
        <f>VLOOKUP(A99,'Эшелоны результат'!$A$3:$H$283,8,FALSE)</f>
        <v>2</v>
      </c>
      <c r="L99"/>
    </row>
    <row r="100" spans="1:12" ht="15" x14ac:dyDescent="0.25">
      <c r="A100" s="163" t="s">
        <v>597</v>
      </c>
      <c r="B100" s="164" t="s">
        <v>485</v>
      </c>
      <c r="C100" s="164" t="s">
        <v>538</v>
      </c>
      <c r="D100" s="165">
        <v>4105600000</v>
      </c>
      <c r="E100" s="164" t="s">
        <v>462</v>
      </c>
      <c r="F100" s="169" t="str">
        <f>VLOOKUP(E100,'Справочник отрасли'!$A:$D,4,0)</f>
        <v>Банк</v>
      </c>
      <c r="G100" s="167">
        <f t="shared" si="11"/>
        <v>6.0770136542968228E-2</v>
      </c>
      <c r="H100" s="166" t="s">
        <v>89</v>
      </c>
      <c r="I100" s="168" t="e">
        <f>VLOOKUP(C100,'Справочник отрасли'!$J$6:$K$34,2,0)</f>
        <v>#N/A</v>
      </c>
      <c r="J100" s="168">
        <f>VLOOKUP(A100,'Эшелоны результат'!$A$3:$H$283,8,FALSE)</f>
        <v>3</v>
      </c>
      <c r="L100"/>
    </row>
    <row r="101" spans="1:12" ht="15" x14ac:dyDescent="0.25">
      <c r="A101" s="163" t="s">
        <v>598</v>
      </c>
      <c r="B101" s="164" t="s">
        <v>485</v>
      </c>
      <c r="C101" s="164" t="s">
        <v>539</v>
      </c>
      <c r="D101" s="165">
        <v>1001500507.1</v>
      </c>
      <c r="E101" s="164" t="s">
        <v>462</v>
      </c>
      <c r="F101" s="169" t="str">
        <f>VLOOKUP(E101,'Справочник отрасли'!$A:$D,4,0)</f>
        <v>Банк</v>
      </c>
      <c r="G101" s="167">
        <f t="shared" si="11"/>
        <v>1.482397763160535E-2</v>
      </c>
      <c r="H101" s="166" t="s">
        <v>89</v>
      </c>
      <c r="I101" s="168" t="e">
        <f>VLOOKUP(C101,'Справочник отрасли'!$J$6:$K$34,2,0)</f>
        <v>#N/A</v>
      </c>
      <c r="J101" s="168">
        <f>VLOOKUP(A101,'Эшелоны результат'!$A$3:$H$283,8,FALSE)</f>
        <v>1</v>
      </c>
      <c r="L101"/>
    </row>
    <row r="102" spans="1:12" ht="15" x14ac:dyDescent="0.25">
      <c r="A102" s="163" t="s">
        <v>599</v>
      </c>
      <c r="B102" s="164" t="s">
        <v>485</v>
      </c>
      <c r="C102" s="164" t="s">
        <v>540</v>
      </c>
      <c r="D102" s="165">
        <v>713846000</v>
      </c>
      <c r="E102" s="164" t="s">
        <v>480</v>
      </c>
      <c r="F102" s="169" t="str">
        <f>VLOOKUP(E102,'Справочник отрасли'!$A:$D,4,0)</f>
        <v>Цветная и черная металлургия</v>
      </c>
      <c r="G102" s="167">
        <f t="shared" si="11"/>
        <v>1.0566182504542989E-2</v>
      </c>
      <c r="H102" s="166" t="s">
        <v>85</v>
      </c>
      <c r="I102" s="168" t="e">
        <f>VLOOKUP(C102,'Справочник отрасли'!$J$6:$K$34,2,0)</f>
        <v>#N/A</v>
      </c>
      <c r="J102" s="168">
        <f>VLOOKUP(A102,'Эшелоны результат'!$A$3:$H$283,8,FALSE)</f>
        <v>3</v>
      </c>
      <c r="L102"/>
    </row>
    <row r="103" spans="1:12" ht="15" x14ac:dyDescent="0.25">
      <c r="A103" s="163" t="s">
        <v>662</v>
      </c>
      <c r="B103" s="164" t="s">
        <v>434</v>
      </c>
      <c r="C103" s="164" t="s">
        <v>644</v>
      </c>
      <c r="D103" s="165">
        <v>114659473.92</v>
      </c>
      <c r="E103" s="164" t="s">
        <v>163</v>
      </c>
      <c r="F103" s="169" t="str">
        <f>VLOOKUP(E103,'Справочник отрасли'!$A:$D,4,0)</f>
        <v>ОФЗ</v>
      </c>
      <c r="G103" s="167">
        <f t="shared" si="11"/>
        <v>1.6971628717028704E-3</v>
      </c>
      <c r="H103" s="108" t="s">
        <v>77</v>
      </c>
      <c r="I103" s="168" t="e">
        <f>VLOOKUP(C103,'Справочник отрасли'!$J$6:$K$34,2,0)</f>
        <v>#N/A</v>
      </c>
      <c r="J103" s="168">
        <f>VLOOKUP(A103,'Эшелоны результат'!$A$3:$H$283,8,FALSE)</f>
        <v>1</v>
      </c>
      <c r="L103"/>
    </row>
    <row r="104" spans="1:12" ht="15" x14ac:dyDescent="0.25">
      <c r="A104" s="163" t="s">
        <v>663</v>
      </c>
      <c r="B104" s="164" t="s">
        <v>434</v>
      </c>
      <c r="C104" s="164" t="s">
        <v>645</v>
      </c>
      <c r="D104" s="165">
        <v>246522500</v>
      </c>
      <c r="E104" s="164" t="s">
        <v>163</v>
      </c>
      <c r="F104" s="169" t="str">
        <f>VLOOKUP(E104,'Справочник отрасли'!$A:$D,4,0)</f>
        <v>ОФЗ</v>
      </c>
      <c r="G104" s="167">
        <f t="shared" si="11"/>
        <v>3.6489687222120725E-3</v>
      </c>
      <c r="H104" s="108" t="s">
        <v>77</v>
      </c>
      <c r="I104" s="168" t="e">
        <f>VLOOKUP(C104,'Справочник отрасли'!$J$6:$K$34,2,0)</f>
        <v>#N/A</v>
      </c>
      <c r="J104" s="168">
        <f>VLOOKUP(A104,'Эшелоны результат'!$A$3:$H$283,8,FALSE)</f>
        <v>1</v>
      </c>
      <c r="L104"/>
    </row>
    <row r="105" spans="1:12" ht="15" x14ac:dyDescent="0.25">
      <c r="A105" s="163" t="s">
        <v>600</v>
      </c>
      <c r="B105" s="164" t="s">
        <v>434</v>
      </c>
      <c r="C105" s="164" t="s">
        <v>541</v>
      </c>
      <c r="D105" s="165">
        <v>780875642.56000018</v>
      </c>
      <c r="E105" s="164" t="s">
        <v>163</v>
      </c>
      <c r="F105" s="169" t="str">
        <f>VLOOKUP(E105,'Справочник отрасли'!$A:$D,4,0)</f>
        <v>ОФЗ</v>
      </c>
      <c r="G105" s="167">
        <f t="shared" si="11"/>
        <v>1.1558339687609427E-2</v>
      </c>
      <c r="H105" s="108" t="s">
        <v>77</v>
      </c>
      <c r="I105" s="168" t="e">
        <f>VLOOKUP(C105,'Справочник отрасли'!$J$6:$K$34,2,0)</f>
        <v>#N/A</v>
      </c>
      <c r="J105" s="168">
        <f>VLOOKUP(A105,'Эшелоны результат'!$A$3:$H$283,8,FALSE)</f>
        <v>1</v>
      </c>
      <c r="L105"/>
    </row>
    <row r="106" spans="1:12" ht="15" x14ac:dyDescent="0.25">
      <c r="A106" s="163" t="s">
        <v>664</v>
      </c>
      <c r="B106" s="164" t="s">
        <v>630</v>
      </c>
      <c r="C106" s="164" t="s">
        <v>230</v>
      </c>
      <c r="D106" s="165">
        <v>11913000</v>
      </c>
      <c r="E106" s="164" t="s">
        <v>200</v>
      </c>
      <c r="F106" s="169" t="str">
        <f>VLOOKUP(E106,'Справочник отрасли'!$A:$D,4,0)</f>
        <v>Топливная промышленность</v>
      </c>
      <c r="G106" s="167">
        <f t="shared" si="11"/>
        <v>1.7633345592273493E-4</v>
      </c>
      <c r="H106" s="108"/>
      <c r="I106" s="168">
        <f>VLOOKUP(C106,'Справочник отрасли'!$J$6:$K$34,2,0)</f>
        <v>3</v>
      </c>
      <c r="J106" s="168" t="str">
        <f>VLOOKUP(A106,'Эшелоны результат'!$A$3:$H$283,8,FALSE)</f>
        <v>Ошибка, не численные значения</v>
      </c>
      <c r="L106"/>
    </row>
    <row r="107" spans="1:12" ht="15" x14ac:dyDescent="0.25">
      <c r="A107" s="163" t="s">
        <v>601</v>
      </c>
      <c r="B107" s="164" t="s">
        <v>486</v>
      </c>
      <c r="C107" s="164" t="s">
        <v>542</v>
      </c>
      <c r="D107" s="165">
        <v>877123166.51999986</v>
      </c>
      <c r="E107" s="164" t="s">
        <v>163</v>
      </c>
      <c r="F107" s="169" t="str">
        <f>VLOOKUP(E107,'Справочник отрасли'!$A:$D,4,0)</f>
        <v>ОФЗ</v>
      </c>
      <c r="G107" s="167">
        <f t="shared" si="11"/>
        <v>1.2982973157253764E-2</v>
      </c>
      <c r="H107" s="108" t="s">
        <v>77</v>
      </c>
      <c r="I107" s="168" t="e">
        <f>VLOOKUP(C107,'Справочник отрасли'!$J$6:$K$34,2,0)</f>
        <v>#N/A</v>
      </c>
      <c r="J107" s="168">
        <f>VLOOKUP(A107,'Эшелоны результат'!$A$3:$H$283,8,FALSE)</f>
        <v>1</v>
      </c>
      <c r="L107"/>
    </row>
    <row r="108" spans="1:12" ht="15" x14ac:dyDescent="0.25">
      <c r="A108" s="163" t="s">
        <v>601</v>
      </c>
      <c r="B108" s="164" t="s">
        <v>486</v>
      </c>
      <c r="C108" s="164" t="s">
        <v>542</v>
      </c>
      <c r="D108" s="165">
        <v>958594765.95000005</v>
      </c>
      <c r="E108" s="164" t="s">
        <v>163</v>
      </c>
      <c r="F108" s="169" t="str">
        <f>VLOOKUP(E108,'Справочник отрасли'!$A:$D,4,0)</f>
        <v>ОФЗ</v>
      </c>
      <c r="G108" s="167">
        <f t="shared" si="11"/>
        <v>1.4188896827785506E-2</v>
      </c>
      <c r="H108" s="108" t="s">
        <v>77</v>
      </c>
      <c r="I108" s="168" t="e">
        <f>VLOOKUP(C108,'Справочник отрасли'!$J$6:$K$34,2,0)</f>
        <v>#N/A</v>
      </c>
      <c r="J108" s="168">
        <f>VLOOKUP(A108,'Эшелоны результат'!$A$3:$H$283,8,FALSE)</f>
        <v>1</v>
      </c>
      <c r="L108"/>
    </row>
    <row r="109" spans="1:12" ht="15" x14ac:dyDescent="0.25">
      <c r="A109" s="163"/>
      <c r="B109" s="164"/>
      <c r="C109" s="164"/>
      <c r="D109" s="165"/>
      <c r="E109" s="164"/>
      <c r="F109" s="169"/>
      <c r="G109" s="167"/>
      <c r="H109" s="108"/>
      <c r="I109" s="168"/>
      <c r="J109" s="168"/>
      <c r="L109"/>
    </row>
    <row r="110" spans="1:12" ht="15" x14ac:dyDescent="0.25">
      <c r="A110" s="163"/>
      <c r="B110" s="164"/>
      <c r="C110" s="164"/>
      <c r="D110" s="165"/>
      <c r="E110" s="164"/>
      <c r="F110" s="169"/>
      <c r="G110" s="167"/>
      <c r="H110" s="108"/>
      <c r="I110" s="168"/>
      <c r="J110" s="168"/>
      <c r="L110"/>
    </row>
    <row r="111" spans="1:12" ht="15" x14ac:dyDescent="0.25">
      <c r="A111" s="163"/>
      <c r="B111" s="164"/>
      <c r="C111" s="164"/>
      <c r="D111" s="165"/>
      <c r="E111" s="164"/>
      <c r="F111" s="169"/>
      <c r="G111" s="167"/>
      <c r="H111" s="108"/>
      <c r="I111" s="168"/>
      <c r="J111" s="168"/>
      <c r="L111"/>
    </row>
    <row r="112" spans="1:12" ht="15" x14ac:dyDescent="0.25">
      <c r="A112" s="163"/>
      <c r="B112" s="164"/>
      <c r="C112" s="164"/>
      <c r="D112" s="165"/>
      <c r="E112" s="164"/>
      <c r="F112" s="169"/>
      <c r="G112" s="167"/>
      <c r="H112" s="108"/>
      <c r="I112" s="168"/>
      <c r="J112" s="168"/>
      <c r="L112"/>
    </row>
    <row r="113" spans="1:12" ht="15" x14ac:dyDescent="0.25">
      <c r="A113" s="163"/>
      <c r="B113" s="164"/>
      <c r="C113" s="164"/>
      <c r="D113" s="165"/>
      <c r="E113" s="164"/>
      <c r="F113" s="169"/>
      <c r="G113" s="167"/>
      <c r="H113" s="108"/>
      <c r="I113" s="168"/>
      <c r="J113" s="168"/>
      <c r="L113"/>
    </row>
    <row r="114" spans="1:12" ht="15" x14ac:dyDescent="0.25">
      <c r="A114" s="163"/>
      <c r="B114" s="164"/>
      <c r="C114" s="164"/>
      <c r="D114" s="165"/>
      <c r="E114" s="164"/>
      <c r="F114" s="169"/>
      <c r="G114" s="167"/>
      <c r="H114" s="108"/>
      <c r="I114" s="168"/>
      <c r="J114" s="168"/>
      <c r="L114"/>
    </row>
    <row r="115" spans="1:12" ht="15" x14ac:dyDescent="0.25">
      <c r="A115" s="163"/>
      <c r="B115" s="164"/>
      <c r="C115" s="164"/>
      <c r="D115" s="165"/>
      <c r="E115" s="164"/>
      <c r="F115" s="169"/>
      <c r="G115" s="167"/>
      <c r="H115" s="108"/>
      <c r="I115" s="168"/>
      <c r="J115" s="168"/>
      <c r="L115"/>
    </row>
    <row r="116" spans="1:12" ht="15" x14ac:dyDescent="0.25">
      <c r="A116" s="163"/>
      <c r="B116" s="164"/>
      <c r="C116" s="164"/>
      <c r="D116" s="165"/>
      <c r="E116" s="164"/>
      <c r="F116" s="169"/>
      <c r="G116" s="167"/>
      <c r="H116" s="108"/>
      <c r="I116" s="168"/>
      <c r="J116" s="168"/>
      <c r="L116"/>
    </row>
    <row r="117" spans="1:12" ht="15" x14ac:dyDescent="0.25">
      <c r="A117" s="163"/>
      <c r="B117" s="164"/>
      <c r="C117" s="164"/>
      <c r="D117" s="165"/>
      <c r="E117" s="164"/>
      <c r="F117" s="169"/>
      <c r="G117" s="167"/>
      <c r="H117" s="108"/>
      <c r="I117" s="168"/>
      <c r="J117" s="168"/>
      <c r="L117"/>
    </row>
    <row r="118" spans="1:12" ht="15" x14ac:dyDescent="0.25">
      <c r="A118" s="163"/>
      <c r="B118" s="164"/>
      <c r="C118" s="164"/>
      <c r="D118" s="165"/>
      <c r="E118" s="164"/>
      <c r="F118" s="169"/>
      <c r="G118" s="167"/>
      <c r="H118" s="108"/>
      <c r="I118" s="168"/>
      <c r="J118" s="168"/>
      <c r="L118"/>
    </row>
    <row r="119" spans="1:12" ht="15" x14ac:dyDescent="0.25">
      <c r="A119" s="163"/>
      <c r="B119" s="164"/>
      <c r="C119" s="164"/>
      <c r="D119" s="165"/>
      <c r="E119" s="164"/>
      <c r="F119" s="169"/>
      <c r="G119" s="167"/>
      <c r="H119" s="108"/>
      <c r="I119" s="168"/>
      <c r="J119" s="168"/>
      <c r="L119"/>
    </row>
    <row r="120" spans="1:12" ht="15" x14ac:dyDescent="0.25">
      <c r="A120" s="163"/>
      <c r="B120" s="164"/>
      <c r="C120" s="164"/>
      <c r="D120" s="165"/>
      <c r="E120" s="164"/>
      <c r="F120" s="169"/>
      <c r="G120" s="167"/>
      <c r="H120" s="108"/>
      <c r="I120" s="168"/>
      <c r="J120" s="168"/>
      <c r="L120"/>
    </row>
    <row r="121" spans="1:12" ht="15" x14ac:dyDescent="0.25">
      <c r="A121" s="163"/>
      <c r="B121" s="164"/>
      <c r="C121" s="164"/>
      <c r="D121" s="165"/>
      <c r="E121" s="164"/>
      <c r="F121" s="169"/>
      <c r="G121" s="167"/>
      <c r="H121" s="108"/>
      <c r="I121" s="168"/>
      <c r="J121" s="168"/>
      <c r="L121"/>
    </row>
    <row r="122" spans="1:12" ht="15" x14ac:dyDescent="0.25">
      <c r="A122" s="163"/>
      <c r="B122" s="164"/>
      <c r="C122" s="164"/>
      <c r="D122" s="165"/>
      <c r="E122" s="164"/>
      <c r="F122" s="169"/>
      <c r="G122" s="167"/>
      <c r="H122" s="108"/>
      <c r="I122" s="168"/>
      <c r="J122" s="168"/>
      <c r="L122"/>
    </row>
    <row r="123" spans="1:12" ht="15" x14ac:dyDescent="0.25">
      <c r="A123" s="163"/>
      <c r="B123" s="164"/>
      <c r="C123" s="164"/>
      <c r="D123" s="165"/>
      <c r="E123" s="164"/>
      <c r="F123" s="169"/>
      <c r="G123" s="167"/>
      <c r="H123" s="108"/>
      <c r="I123" s="168"/>
      <c r="J123" s="168"/>
      <c r="L123"/>
    </row>
    <row r="124" spans="1:12" ht="15" x14ac:dyDescent="0.25">
      <c r="A124" s="163"/>
      <c r="B124" s="164"/>
      <c r="C124" s="164"/>
      <c r="D124" s="165"/>
      <c r="E124" s="164"/>
      <c r="F124" s="169"/>
      <c r="G124" s="167"/>
      <c r="H124" s="108"/>
      <c r="I124" s="168"/>
      <c r="J124" s="168"/>
      <c r="L124"/>
    </row>
    <row r="125" spans="1:12" ht="15" x14ac:dyDescent="0.25">
      <c r="A125" s="163"/>
      <c r="B125" s="164"/>
      <c r="C125" s="164"/>
      <c r="D125" s="165"/>
      <c r="E125" s="164"/>
      <c r="F125" s="169"/>
      <c r="G125" s="167"/>
      <c r="H125" s="166"/>
      <c r="I125" s="168"/>
      <c r="J125" s="168"/>
      <c r="L125"/>
    </row>
    <row r="126" spans="1:12" ht="15" x14ac:dyDescent="0.25">
      <c r="A126" s="163"/>
      <c r="B126" s="164"/>
      <c r="C126" s="164"/>
      <c r="D126" s="165"/>
      <c r="E126" s="164"/>
      <c r="F126" s="169"/>
      <c r="G126" s="167"/>
      <c r="H126" s="166"/>
      <c r="I126" s="168"/>
      <c r="J126" s="168"/>
      <c r="L126"/>
    </row>
    <row r="127" spans="1:12" ht="15" x14ac:dyDescent="0.25">
      <c r="A127" s="163"/>
      <c r="B127" s="164"/>
      <c r="C127" s="164"/>
      <c r="D127" s="165"/>
      <c r="E127" s="164"/>
      <c r="F127" s="169"/>
      <c r="G127" s="167"/>
      <c r="H127" s="166"/>
      <c r="I127" s="168"/>
      <c r="J127" s="168"/>
      <c r="L127"/>
    </row>
    <row r="128" spans="1:12" ht="15" x14ac:dyDescent="0.25">
      <c r="A128" s="163"/>
      <c r="B128" s="164"/>
      <c r="C128" s="164"/>
      <c r="D128" s="165"/>
      <c r="E128" s="164"/>
      <c r="F128" s="169"/>
      <c r="G128" s="167"/>
      <c r="H128" s="166"/>
      <c r="I128" s="168"/>
      <c r="J128" s="168"/>
      <c r="L128"/>
    </row>
    <row r="129" spans="1:12" ht="15" x14ac:dyDescent="0.25">
      <c r="A129" s="163"/>
      <c r="B129" s="164"/>
      <c r="C129" s="164"/>
      <c r="D129" s="165"/>
      <c r="E129" s="164"/>
      <c r="F129" s="169"/>
      <c r="G129" s="167"/>
      <c r="H129" s="166"/>
      <c r="I129" s="168"/>
      <c r="J129" s="168"/>
      <c r="L129"/>
    </row>
    <row r="130" spans="1:12" ht="15" x14ac:dyDescent="0.25">
      <c r="A130" s="163"/>
      <c r="B130" s="164"/>
      <c r="C130" s="164"/>
      <c r="D130" s="165"/>
      <c r="E130" s="164"/>
      <c r="F130" s="169"/>
      <c r="G130" s="167"/>
      <c r="H130" s="166"/>
      <c r="I130" s="168"/>
      <c r="J130" s="168"/>
      <c r="L130"/>
    </row>
    <row r="135" spans="1:12" ht="15" x14ac:dyDescent="0.25">
      <c r="D135" s="142"/>
      <c r="K135"/>
    </row>
    <row r="136" spans="1:12" ht="15" x14ac:dyDescent="0.25">
      <c r="K136"/>
    </row>
    <row r="137" spans="1:12" ht="15" x14ac:dyDescent="0.25">
      <c r="F137" s="142"/>
      <c r="K137"/>
    </row>
    <row r="138" spans="1:12" ht="15" x14ac:dyDescent="0.25">
      <c r="F138" s="142"/>
      <c r="K138"/>
    </row>
    <row r="139" spans="1:12" ht="15" x14ac:dyDescent="0.25">
      <c r="F139" s="142"/>
      <c r="K139"/>
    </row>
    <row r="140" spans="1:12" ht="15" x14ac:dyDescent="0.25"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</sheetData>
  <autoFilter ref="A25:V125"/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5"/>
  <sheetViews>
    <sheetView topLeftCell="A46" workbookViewId="0">
      <selection activeCell="D69" sqref="D69"/>
    </sheetView>
  </sheetViews>
  <sheetFormatPr defaultRowHeight="15" x14ac:dyDescent="0.25"/>
  <cols>
    <col min="1" max="1" width="28.7109375" style="205" customWidth="1"/>
    <col min="2" max="2" width="34.85546875" style="205" customWidth="1"/>
    <col min="3" max="3" width="19.140625" style="205" customWidth="1"/>
    <col min="4" max="4" width="29.5703125" style="205" customWidth="1"/>
    <col min="5" max="6" width="9.140625" style="204"/>
    <col min="7" max="7" width="16.28515625" customWidth="1"/>
    <col min="10" max="10" width="22.42578125" customWidth="1"/>
  </cols>
  <sheetData>
    <row r="1" spans="1:11" x14ac:dyDescent="0.25">
      <c r="A1" s="205" t="s">
        <v>205</v>
      </c>
      <c r="B1" s="205" t="s">
        <v>277</v>
      </c>
      <c r="C1" s="205" t="s">
        <v>215</v>
      </c>
      <c r="D1" s="205" t="s">
        <v>276</v>
      </c>
      <c r="G1" s="247" t="s">
        <v>447</v>
      </c>
      <c r="H1" s="247"/>
      <c r="I1" s="247"/>
      <c r="J1" s="247"/>
      <c r="K1" s="247"/>
    </row>
    <row r="2" spans="1:11" ht="15" customHeight="1" x14ac:dyDescent="0.25">
      <c r="A2" s="12" t="s">
        <v>153</v>
      </c>
      <c r="B2" s="12" t="s">
        <v>204</v>
      </c>
      <c r="C2" s="12"/>
      <c r="D2" s="12" t="s">
        <v>204</v>
      </c>
      <c r="G2" s="247"/>
      <c r="H2" s="247"/>
      <c r="I2" s="247"/>
      <c r="J2" s="247"/>
      <c r="K2" s="247"/>
    </row>
    <row r="3" spans="1:11" x14ac:dyDescent="0.25">
      <c r="A3" s="12" t="s">
        <v>105</v>
      </c>
      <c r="B3" s="12" t="s">
        <v>209</v>
      </c>
      <c r="C3" s="12"/>
      <c r="D3" s="12" t="s">
        <v>223</v>
      </c>
      <c r="G3" s="247"/>
      <c r="H3" s="247"/>
      <c r="I3" s="247"/>
      <c r="J3" s="247"/>
      <c r="K3" s="247"/>
    </row>
    <row r="4" spans="1:11" x14ac:dyDescent="0.25">
      <c r="A4" s="12" t="s">
        <v>150</v>
      </c>
      <c r="B4" s="12" t="s">
        <v>209</v>
      </c>
      <c r="C4" s="12"/>
      <c r="D4" s="12" t="s">
        <v>223</v>
      </c>
      <c r="G4" s="246" t="s">
        <v>449</v>
      </c>
      <c r="H4" s="246"/>
      <c r="J4" s="246" t="s">
        <v>450</v>
      </c>
      <c r="K4" s="246"/>
    </row>
    <row r="5" spans="1:11" x14ac:dyDescent="0.25">
      <c r="A5" s="12" t="s">
        <v>104</v>
      </c>
      <c r="B5" s="12" t="s">
        <v>209</v>
      </c>
      <c r="C5" s="12"/>
      <c r="D5" s="12" t="s">
        <v>223</v>
      </c>
      <c r="G5" t="s">
        <v>290</v>
      </c>
      <c r="H5" t="s">
        <v>305</v>
      </c>
      <c r="J5" t="str">
        <f>G5</f>
        <v>Наименование инструмента</v>
      </c>
      <c r="K5" t="s">
        <v>305</v>
      </c>
    </row>
    <row r="6" spans="1:11" ht="15" customHeight="1" x14ac:dyDescent="0.25">
      <c r="A6" s="12" t="s">
        <v>135</v>
      </c>
      <c r="B6" s="12" t="s">
        <v>219</v>
      </c>
      <c r="C6" s="12" t="s">
        <v>213</v>
      </c>
      <c r="D6" s="12" t="s">
        <v>267</v>
      </c>
      <c r="G6" s="5" t="s">
        <v>291</v>
      </c>
      <c r="H6" s="5">
        <v>1</v>
      </c>
      <c r="J6" s="5" t="s">
        <v>222</v>
      </c>
      <c r="K6" s="5">
        <v>1</v>
      </c>
    </row>
    <row r="7" spans="1:11" ht="15" customHeight="1" x14ac:dyDescent="0.25">
      <c r="A7" s="12" t="s">
        <v>145</v>
      </c>
      <c r="B7" s="12" t="s">
        <v>204</v>
      </c>
      <c r="C7" s="12"/>
      <c r="D7" s="12" t="s">
        <v>204</v>
      </c>
      <c r="G7" s="5" t="s">
        <v>292</v>
      </c>
      <c r="H7" s="5">
        <v>1</v>
      </c>
      <c r="J7" s="5" t="s">
        <v>232</v>
      </c>
      <c r="K7" s="5">
        <v>3</v>
      </c>
    </row>
    <row r="8" spans="1:11" ht="15" customHeight="1" x14ac:dyDescent="0.25">
      <c r="A8" s="12" t="s">
        <v>133</v>
      </c>
      <c r="B8" s="12" t="s">
        <v>208</v>
      </c>
      <c r="C8" s="12"/>
      <c r="D8" s="12" t="s">
        <v>247</v>
      </c>
      <c r="G8" s="5" t="s">
        <v>293</v>
      </c>
      <c r="H8" s="5">
        <v>1</v>
      </c>
      <c r="J8" s="5" t="s">
        <v>233</v>
      </c>
      <c r="K8" s="5">
        <v>1</v>
      </c>
    </row>
    <row r="9" spans="1:11" ht="15" customHeight="1" x14ac:dyDescent="0.25">
      <c r="A9" s="12" t="s">
        <v>134</v>
      </c>
      <c r="B9" s="12" t="s">
        <v>219</v>
      </c>
      <c r="C9" s="12" t="s">
        <v>210</v>
      </c>
      <c r="D9" s="12" t="s">
        <v>260</v>
      </c>
      <c r="G9" s="5" t="s">
        <v>294</v>
      </c>
      <c r="H9" s="5">
        <v>1</v>
      </c>
      <c r="J9" s="5" t="s">
        <v>224</v>
      </c>
      <c r="K9" s="5">
        <v>2</v>
      </c>
    </row>
    <row r="10" spans="1:11" ht="15" customHeight="1" x14ac:dyDescent="0.25">
      <c r="A10" s="12" t="s">
        <v>136</v>
      </c>
      <c r="B10" s="12" t="s">
        <v>211</v>
      </c>
      <c r="C10" s="12"/>
      <c r="D10" s="12" t="s">
        <v>211</v>
      </c>
      <c r="G10" s="5" t="s">
        <v>295</v>
      </c>
      <c r="H10" s="5">
        <v>1</v>
      </c>
      <c r="J10" s="5" t="s">
        <v>225</v>
      </c>
      <c r="K10" s="5">
        <v>1</v>
      </c>
    </row>
    <row r="11" spans="1:11" ht="15" customHeight="1" x14ac:dyDescent="0.25">
      <c r="A11" s="12" t="s">
        <v>137</v>
      </c>
      <c r="B11" s="12" t="s">
        <v>204</v>
      </c>
      <c r="C11" s="12"/>
      <c r="D11" s="12" t="s">
        <v>204</v>
      </c>
      <c r="G11" s="5" t="s">
        <v>296</v>
      </c>
      <c r="H11" s="5">
        <v>1</v>
      </c>
      <c r="J11" s="5" t="s">
        <v>234</v>
      </c>
      <c r="K11" s="5">
        <v>2</v>
      </c>
    </row>
    <row r="12" spans="1:11" ht="15" customHeight="1" x14ac:dyDescent="0.25">
      <c r="A12" s="12" t="s">
        <v>138</v>
      </c>
      <c r="B12" s="12" t="s">
        <v>204</v>
      </c>
      <c r="C12" s="12"/>
      <c r="D12" s="12" t="s">
        <v>204</v>
      </c>
      <c r="G12" s="5" t="s">
        <v>297</v>
      </c>
      <c r="H12" s="5">
        <v>1</v>
      </c>
      <c r="J12" s="5" t="s">
        <v>235</v>
      </c>
      <c r="K12" s="5">
        <v>1</v>
      </c>
    </row>
    <row r="13" spans="1:11" ht="15" customHeight="1" x14ac:dyDescent="0.25">
      <c r="A13" s="12" t="s">
        <v>139</v>
      </c>
      <c r="B13" s="12" t="s">
        <v>219</v>
      </c>
      <c r="C13" s="12" t="s">
        <v>210</v>
      </c>
      <c r="D13" s="12" t="s">
        <v>260</v>
      </c>
      <c r="G13" s="5" t="s">
        <v>298</v>
      </c>
      <c r="H13" s="5">
        <v>1</v>
      </c>
      <c r="J13" s="5" t="s">
        <v>236</v>
      </c>
      <c r="K13" s="5">
        <v>2</v>
      </c>
    </row>
    <row r="14" spans="1:11" ht="15" customHeight="1" x14ac:dyDescent="0.25">
      <c r="A14" s="12" t="s">
        <v>101</v>
      </c>
      <c r="B14" s="12" t="s">
        <v>226</v>
      </c>
      <c r="C14" s="12"/>
      <c r="D14" s="12" t="s">
        <v>262</v>
      </c>
      <c r="G14" s="5" t="s">
        <v>299</v>
      </c>
      <c r="H14" s="5">
        <v>1</v>
      </c>
      <c r="J14" s="5" t="s">
        <v>237</v>
      </c>
      <c r="K14" s="5">
        <v>2</v>
      </c>
    </row>
    <row r="15" spans="1:11" ht="15" customHeight="1" x14ac:dyDescent="0.25">
      <c r="A15" s="12" t="s">
        <v>140</v>
      </c>
      <c r="B15" s="12" t="s">
        <v>211</v>
      </c>
      <c r="C15" s="12"/>
      <c r="D15" s="12" t="s">
        <v>211</v>
      </c>
      <c r="G15" s="5" t="s">
        <v>300</v>
      </c>
      <c r="H15" s="5">
        <v>1</v>
      </c>
      <c r="I15" s="2"/>
      <c r="J15" s="5" t="s">
        <v>238</v>
      </c>
      <c r="K15" s="5">
        <v>2</v>
      </c>
    </row>
    <row r="16" spans="1:11" ht="15" customHeight="1" x14ac:dyDescent="0.25">
      <c r="A16" s="12" t="s">
        <v>141</v>
      </c>
      <c r="B16" s="12" t="s">
        <v>219</v>
      </c>
      <c r="C16" s="12" t="s">
        <v>210</v>
      </c>
      <c r="D16" s="12" t="s">
        <v>260</v>
      </c>
      <c r="G16" s="5" t="s">
        <v>301</v>
      </c>
      <c r="H16" s="5">
        <v>1</v>
      </c>
      <c r="J16" s="5" t="s">
        <v>229</v>
      </c>
      <c r="K16" s="5">
        <v>2</v>
      </c>
    </row>
    <row r="17" spans="1:11" ht="15" customHeight="1" x14ac:dyDescent="0.25">
      <c r="A17" s="12" t="s">
        <v>142</v>
      </c>
      <c r="B17" s="12" t="s">
        <v>219</v>
      </c>
      <c r="C17" s="12" t="s">
        <v>214</v>
      </c>
      <c r="D17" s="12" t="s">
        <v>267</v>
      </c>
      <c r="G17" s="5" t="s">
        <v>302</v>
      </c>
      <c r="H17" s="5">
        <v>1</v>
      </c>
      <c r="J17" s="5" t="s">
        <v>230</v>
      </c>
      <c r="K17" s="5">
        <v>3</v>
      </c>
    </row>
    <row r="18" spans="1:11" ht="15" customHeight="1" x14ac:dyDescent="0.25">
      <c r="A18" s="12" t="s">
        <v>143</v>
      </c>
      <c r="B18" s="12" t="s">
        <v>226</v>
      </c>
      <c r="C18" s="12"/>
      <c r="D18" s="12" t="s">
        <v>262</v>
      </c>
      <c r="G18" s="5" t="s">
        <v>303</v>
      </c>
      <c r="H18" s="5">
        <v>1</v>
      </c>
      <c r="J18" s="5" t="s">
        <v>239</v>
      </c>
      <c r="K18" s="5">
        <v>2</v>
      </c>
    </row>
    <row r="19" spans="1:11" ht="15" customHeight="1" x14ac:dyDescent="0.25">
      <c r="A19" s="12" t="s">
        <v>144</v>
      </c>
      <c r="B19" s="12" t="s">
        <v>220</v>
      </c>
      <c r="C19" s="12"/>
      <c r="D19" s="12" t="s">
        <v>246</v>
      </c>
      <c r="G19" s="5" t="s">
        <v>304</v>
      </c>
      <c r="H19" s="5">
        <v>1</v>
      </c>
      <c r="J19" s="5" t="s">
        <v>240</v>
      </c>
      <c r="K19" s="5">
        <v>1</v>
      </c>
    </row>
    <row r="20" spans="1:11" ht="15" customHeight="1" x14ac:dyDescent="0.25">
      <c r="A20" s="12" t="s">
        <v>146</v>
      </c>
      <c r="B20" s="12" t="s">
        <v>204</v>
      </c>
      <c r="C20" s="12"/>
      <c r="D20" s="12" t="s">
        <v>204</v>
      </c>
      <c r="G20" s="5" t="s">
        <v>306</v>
      </c>
      <c r="H20" s="5">
        <v>2</v>
      </c>
      <c r="J20" s="5" t="s">
        <v>338</v>
      </c>
      <c r="K20" s="5">
        <v>2</v>
      </c>
    </row>
    <row r="21" spans="1:11" ht="15" customHeight="1" x14ac:dyDescent="0.25">
      <c r="A21" s="12" t="s">
        <v>147</v>
      </c>
      <c r="B21" s="12" t="s">
        <v>204</v>
      </c>
      <c r="C21" s="12"/>
      <c r="D21" s="12" t="s">
        <v>204</v>
      </c>
      <c r="G21" s="5" t="s">
        <v>307</v>
      </c>
      <c r="H21" s="5">
        <v>2</v>
      </c>
      <c r="J21" s="5" t="s">
        <v>342</v>
      </c>
      <c r="K21" s="5">
        <v>1</v>
      </c>
    </row>
    <row r="22" spans="1:11" ht="15" customHeight="1" x14ac:dyDescent="0.25">
      <c r="A22" s="12" t="s">
        <v>148</v>
      </c>
      <c r="B22" s="12" t="s">
        <v>211</v>
      </c>
      <c r="C22" s="12"/>
      <c r="D22" s="12" t="s">
        <v>211</v>
      </c>
      <c r="G22" s="5" t="s">
        <v>308</v>
      </c>
      <c r="H22" s="5">
        <v>2</v>
      </c>
      <c r="J22" s="5" t="s">
        <v>399</v>
      </c>
      <c r="K22" s="5">
        <v>1</v>
      </c>
    </row>
    <row r="23" spans="1:11" ht="15" customHeight="1" x14ac:dyDescent="0.25">
      <c r="A23" s="12" t="s">
        <v>100</v>
      </c>
      <c r="B23" s="12" t="s">
        <v>219</v>
      </c>
      <c r="C23" s="12" t="s">
        <v>214</v>
      </c>
      <c r="D23" s="12" t="s">
        <v>267</v>
      </c>
      <c r="G23" s="5" t="s">
        <v>309</v>
      </c>
      <c r="H23" s="5">
        <v>2</v>
      </c>
      <c r="J23" s="5" t="s">
        <v>400</v>
      </c>
      <c r="K23" s="5">
        <v>1</v>
      </c>
    </row>
    <row r="24" spans="1:11" ht="15" customHeight="1" x14ac:dyDescent="0.25">
      <c r="A24" s="12" t="s">
        <v>149</v>
      </c>
      <c r="B24" s="12" t="s">
        <v>204</v>
      </c>
      <c r="C24" s="12"/>
      <c r="D24" s="12" t="s">
        <v>204</v>
      </c>
      <c r="G24" s="5" t="s">
        <v>310</v>
      </c>
      <c r="H24" s="5">
        <v>2</v>
      </c>
      <c r="J24" s="5" t="s">
        <v>401</v>
      </c>
      <c r="K24" s="5">
        <v>1</v>
      </c>
    </row>
    <row r="25" spans="1:11" x14ac:dyDescent="0.25">
      <c r="A25" s="12" t="s">
        <v>151</v>
      </c>
      <c r="B25" s="12" t="s">
        <v>209</v>
      </c>
      <c r="C25" s="12"/>
      <c r="D25" s="12" t="s">
        <v>223</v>
      </c>
      <c r="G25" s="5" t="s">
        <v>212</v>
      </c>
      <c r="H25" s="5">
        <v>2</v>
      </c>
      <c r="J25" s="5" t="s">
        <v>463</v>
      </c>
      <c r="K25" s="5">
        <v>2</v>
      </c>
    </row>
    <row r="26" spans="1:11" ht="15" customHeight="1" x14ac:dyDescent="0.25">
      <c r="A26" s="12" t="s">
        <v>152</v>
      </c>
      <c r="B26" s="12" t="s">
        <v>219</v>
      </c>
      <c r="C26" s="12" t="s">
        <v>213</v>
      </c>
      <c r="D26" s="12" t="s">
        <v>267</v>
      </c>
      <c r="G26" s="5" t="s">
        <v>311</v>
      </c>
      <c r="H26" s="5">
        <v>2</v>
      </c>
      <c r="J26" s="5" t="s">
        <v>464</v>
      </c>
      <c r="K26" s="5">
        <v>1</v>
      </c>
    </row>
    <row r="27" spans="1:11" ht="15" customHeight="1" x14ac:dyDescent="0.25">
      <c r="A27" s="12" t="s">
        <v>154</v>
      </c>
      <c r="B27" s="12" t="s">
        <v>204</v>
      </c>
      <c r="C27" s="12"/>
      <c r="D27" s="12" t="s">
        <v>204</v>
      </c>
      <c r="G27" s="5" t="s">
        <v>312</v>
      </c>
      <c r="H27" s="5">
        <v>2</v>
      </c>
    </row>
    <row r="28" spans="1:11" ht="15" customHeight="1" x14ac:dyDescent="0.25">
      <c r="A28" s="12" t="s">
        <v>196</v>
      </c>
      <c r="B28" s="12" t="s">
        <v>208</v>
      </c>
      <c r="C28" s="12"/>
      <c r="D28" s="12" t="s">
        <v>247</v>
      </c>
      <c r="G28" s="5" t="s">
        <v>313</v>
      </c>
      <c r="H28" s="5">
        <v>2</v>
      </c>
    </row>
    <row r="29" spans="1:11" ht="15" customHeight="1" x14ac:dyDescent="0.25">
      <c r="A29" s="12" t="s">
        <v>155</v>
      </c>
      <c r="B29" s="12" t="s">
        <v>204</v>
      </c>
      <c r="C29" s="12"/>
      <c r="D29" s="12" t="s">
        <v>204</v>
      </c>
      <c r="G29" s="5" t="s">
        <v>314</v>
      </c>
      <c r="H29" s="5">
        <v>2</v>
      </c>
    </row>
    <row r="30" spans="1:11" ht="15" customHeight="1" x14ac:dyDescent="0.25">
      <c r="A30" s="12" t="s">
        <v>197</v>
      </c>
      <c r="B30" s="12" t="s">
        <v>217</v>
      </c>
      <c r="C30" s="12"/>
      <c r="D30" s="12" t="s">
        <v>273</v>
      </c>
      <c r="G30" s="5" t="s">
        <v>315</v>
      </c>
      <c r="H30" s="5">
        <v>2</v>
      </c>
    </row>
    <row r="31" spans="1:11" ht="15" customHeight="1" x14ac:dyDescent="0.25">
      <c r="A31" s="12" t="s">
        <v>8</v>
      </c>
      <c r="B31" s="12" t="s">
        <v>208</v>
      </c>
      <c r="C31" s="12"/>
      <c r="D31" s="12" t="s">
        <v>247</v>
      </c>
      <c r="G31" s="5" t="s">
        <v>316</v>
      </c>
      <c r="H31" s="5">
        <v>2</v>
      </c>
    </row>
    <row r="32" spans="1:11" ht="15" customHeight="1" x14ac:dyDescent="0.25">
      <c r="A32" s="12" t="s">
        <v>156</v>
      </c>
      <c r="B32" s="12" t="s">
        <v>204</v>
      </c>
      <c r="C32" s="12"/>
      <c r="D32" s="12" t="s">
        <v>204</v>
      </c>
      <c r="G32" s="5" t="s">
        <v>317</v>
      </c>
      <c r="H32" s="5">
        <v>2</v>
      </c>
    </row>
    <row r="33" spans="1:8" ht="15" customHeight="1" x14ac:dyDescent="0.25">
      <c r="A33" s="12" t="s">
        <v>157</v>
      </c>
      <c r="B33" s="12" t="s">
        <v>217</v>
      </c>
      <c r="C33" s="12"/>
      <c r="D33" s="12" t="s">
        <v>273</v>
      </c>
      <c r="G33" s="5" t="s">
        <v>318</v>
      </c>
      <c r="H33" s="5">
        <v>2</v>
      </c>
    </row>
    <row r="34" spans="1:8" ht="15" customHeight="1" x14ac:dyDescent="0.25">
      <c r="A34" s="12" t="s">
        <v>198</v>
      </c>
      <c r="B34" s="12" t="s">
        <v>204</v>
      </c>
      <c r="C34" s="12"/>
      <c r="D34" s="12" t="s">
        <v>204</v>
      </c>
      <c r="G34" s="5" t="s">
        <v>319</v>
      </c>
      <c r="H34" s="5">
        <v>2</v>
      </c>
    </row>
    <row r="35" spans="1:8" ht="15" customHeight="1" x14ac:dyDescent="0.25">
      <c r="A35" s="12" t="s">
        <v>160</v>
      </c>
      <c r="B35" s="12" t="s">
        <v>217</v>
      </c>
      <c r="C35" s="12"/>
      <c r="D35" s="12" t="s">
        <v>273</v>
      </c>
      <c r="G35" s="5" t="s">
        <v>320</v>
      </c>
      <c r="H35" s="5">
        <v>3</v>
      </c>
    </row>
    <row r="36" spans="1:8" ht="15" customHeight="1" x14ac:dyDescent="0.25">
      <c r="A36" s="12" t="s">
        <v>199</v>
      </c>
      <c r="B36" s="12" t="s">
        <v>204</v>
      </c>
      <c r="C36" s="12"/>
      <c r="D36" s="12" t="s">
        <v>204</v>
      </c>
      <c r="G36" s="5" t="s">
        <v>321</v>
      </c>
      <c r="H36" s="5">
        <v>2</v>
      </c>
    </row>
    <row r="37" spans="1:8" x14ac:dyDescent="0.25">
      <c r="A37" s="12" t="s">
        <v>200</v>
      </c>
      <c r="B37" s="12" t="s">
        <v>209</v>
      </c>
      <c r="C37" s="12"/>
      <c r="D37" s="12" t="s">
        <v>223</v>
      </c>
      <c r="G37" s="5" t="s">
        <v>322</v>
      </c>
      <c r="H37" s="5">
        <v>3</v>
      </c>
    </row>
    <row r="38" spans="1:8" ht="15" customHeight="1" x14ac:dyDescent="0.25">
      <c r="A38" s="12" t="s">
        <v>201</v>
      </c>
      <c r="B38" s="12" t="s">
        <v>217</v>
      </c>
      <c r="C38" s="12"/>
      <c r="D38" s="12" t="s">
        <v>273</v>
      </c>
      <c r="G38" s="5" t="s">
        <v>323</v>
      </c>
      <c r="H38" s="5">
        <v>3</v>
      </c>
    </row>
    <row r="39" spans="1:8" ht="15" customHeight="1" x14ac:dyDescent="0.25">
      <c r="A39" s="12" t="s">
        <v>161</v>
      </c>
      <c r="B39" s="12" t="s">
        <v>208</v>
      </c>
      <c r="C39" s="12"/>
      <c r="D39" s="12" t="s">
        <v>247</v>
      </c>
      <c r="G39" s="5" t="s">
        <v>324</v>
      </c>
      <c r="H39" s="5">
        <v>3</v>
      </c>
    </row>
    <row r="40" spans="1:8" ht="15" customHeight="1" x14ac:dyDescent="0.25">
      <c r="A40" s="12" t="s">
        <v>6</v>
      </c>
      <c r="B40" s="12" t="s">
        <v>208</v>
      </c>
      <c r="C40" s="12"/>
      <c r="D40" s="12" t="s">
        <v>247</v>
      </c>
      <c r="G40" s="5" t="s">
        <v>325</v>
      </c>
      <c r="H40" s="5">
        <v>3</v>
      </c>
    </row>
    <row r="41" spans="1:8" ht="15" customHeight="1" x14ac:dyDescent="0.25">
      <c r="A41" s="12" t="s">
        <v>7</v>
      </c>
      <c r="B41" s="12" t="s">
        <v>207</v>
      </c>
      <c r="C41" s="12"/>
      <c r="D41" s="12" t="s">
        <v>252</v>
      </c>
      <c r="G41" s="5" t="s">
        <v>326</v>
      </c>
      <c r="H41" s="5">
        <v>3</v>
      </c>
    </row>
    <row r="42" spans="1:8" ht="15" customHeight="1" x14ac:dyDescent="0.25">
      <c r="A42" s="12" t="s">
        <v>158</v>
      </c>
      <c r="B42" s="12" t="s">
        <v>204</v>
      </c>
      <c r="C42" s="12"/>
      <c r="D42" s="12" t="s">
        <v>204</v>
      </c>
      <c r="G42" s="5" t="s">
        <v>327</v>
      </c>
      <c r="H42" s="5">
        <v>3</v>
      </c>
    </row>
    <row r="43" spans="1:8" ht="15" customHeight="1" x14ac:dyDescent="0.25">
      <c r="A43" s="12" t="s">
        <v>159</v>
      </c>
      <c r="B43" s="12" t="s">
        <v>204</v>
      </c>
      <c r="C43" s="12"/>
      <c r="D43" s="12" t="s">
        <v>204</v>
      </c>
      <c r="G43" s="5" t="s">
        <v>328</v>
      </c>
      <c r="H43" s="5">
        <v>3</v>
      </c>
    </row>
    <row r="44" spans="1:8" ht="15" customHeight="1" x14ac:dyDescent="0.25">
      <c r="A44" s="12" t="s">
        <v>162</v>
      </c>
      <c r="B44" s="12" t="s">
        <v>216</v>
      </c>
      <c r="C44" s="12"/>
      <c r="D44" s="12" t="s">
        <v>266</v>
      </c>
      <c r="G44" s="5" t="s">
        <v>329</v>
      </c>
      <c r="H44" s="5">
        <v>3</v>
      </c>
    </row>
    <row r="45" spans="1:8" ht="15" customHeight="1" x14ac:dyDescent="0.25">
      <c r="A45" s="12" t="s">
        <v>163</v>
      </c>
      <c r="B45" s="12" t="s">
        <v>218</v>
      </c>
      <c r="C45" s="12"/>
      <c r="D45" s="12" t="s">
        <v>218</v>
      </c>
      <c r="G45" s="5" t="s">
        <v>330</v>
      </c>
      <c r="H45" s="5">
        <v>3</v>
      </c>
    </row>
    <row r="46" spans="1:8" x14ac:dyDescent="0.25">
      <c r="A46" s="12" t="s">
        <v>126</v>
      </c>
      <c r="B46" s="12" t="s">
        <v>209</v>
      </c>
      <c r="C46" s="12"/>
      <c r="D46" s="12" t="s">
        <v>223</v>
      </c>
    </row>
    <row r="47" spans="1:8" ht="15" customHeight="1" x14ac:dyDescent="0.25">
      <c r="A47" s="12" t="s">
        <v>212</v>
      </c>
      <c r="B47" s="12" t="s">
        <v>219</v>
      </c>
      <c r="C47" s="12" t="s">
        <v>213</v>
      </c>
      <c r="D47" s="12" t="s">
        <v>267</v>
      </c>
    </row>
    <row r="48" spans="1:8" ht="15" customHeight="1" x14ac:dyDescent="0.25">
      <c r="A48" s="12" t="s">
        <v>340</v>
      </c>
      <c r="B48" s="12" t="s">
        <v>219</v>
      </c>
      <c r="C48" s="12" t="s">
        <v>213</v>
      </c>
      <c r="D48" s="12" t="s">
        <v>267</v>
      </c>
    </row>
    <row r="49" spans="1:4" ht="15" customHeight="1" x14ac:dyDescent="0.25">
      <c r="A49" s="12" t="s">
        <v>244</v>
      </c>
      <c r="B49" s="12" t="s">
        <v>209</v>
      </c>
      <c r="C49" s="12" t="s">
        <v>279</v>
      </c>
      <c r="D49" s="12" t="s">
        <v>223</v>
      </c>
    </row>
    <row r="50" spans="1:4" ht="15" customHeight="1" x14ac:dyDescent="0.25">
      <c r="A50" s="12" t="s">
        <v>245</v>
      </c>
      <c r="B50" s="12" t="s">
        <v>209</v>
      </c>
      <c r="C50" s="12" t="s">
        <v>278</v>
      </c>
      <c r="D50" s="12" t="s">
        <v>223</v>
      </c>
    </row>
    <row r="51" spans="1:4" ht="30" x14ac:dyDescent="0.25">
      <c r="A51" s="12" t="s">
        <v>231</v>
      </c>
      <c r="B51" s="12" t="s">
        <v>219</v>
      </c>
      <c r="C51" s="12" t="s">
        <v>280</v>
      </c>
      <c r="D51" s="12" t="s">
        <v>260</v>
      </c>
    </row>
    <row r="52" spans="1:4" ht="30" x14ac:dyDescent="0.25">
      <c r="A52" s="12" t="s">
        <v>241</v>
      </c>
      <c r="B52" s="12"/>
      <c r="C52" s="12" t="s">
        <v>228</v>
      </c>
      <c r="D52" s="12" t="s">
        <v>266</v>
      </c>
    </row>
    <row r="53" spans="1:4" ht="30" x14ac:dyDescent="0.25">
      <c r="A53" s="12" t="s">
        <v>242</v>
      </c>
      <c r="B53" s="12"/>
      <c r="C53" s="12" t="s">
        <v>228</v>
      </c>
      <c r="D53" s="12" t="s">
        <v>266</v>
      </c>
    </row>
    <row r="54" spans="1:4" ht="30" x14ac:dyDescent="0.25">
      <c r="A54" s="12" t="s">
        <v>122</v>
      </c>
      <c r="B54" s="12"/>
      <c r="C54" s="12" t="s">
        <v>281</v>
      </c>
      <c r="D54" s="12" t="s">
        <v>223</v>
      </c>
    </row>
    <row r="55" spans="1:4" x14ac:dyDescent="0.25">
      <c r="A55" s="12" t="s">
        <v>124</v>
      </c>
      <c r="B55" s="12"/>
      <c r="C55" s="12"/>
      <c r="D55" s="12" t="s">
        <v>211</v>
      </c>
    </row>
    <row r="56" spans="1:4" x14ac:dyDescent="0.25">
      <c r="A56" s="12" t="s">
        <v>243</v>
      </c>
      <c r="B56" s="12"/>
      <c r="C56" s="12"/>
      <c r="D56" s="12" t="s">
        <v>262</v>
      </c>
    </row>
    <row r="57" spans="1:4" x14ac:dyDescent="0.25">
      <c r="A57" s="12" t="s">
        <v>337</v>
      </c>
      <c r="B57" s="12"/>
      <c r="C57" s="12"/>
      <c r="D57" s="12" t="s">
        <v>339</v>
      </c>
    </row>
    <row r="58" spans="1:4" ht="30" x14ac:dyDescent="0.25">
      <c r="A58" s="12" t="s">
        <v>343</v>
      </c>
      <c r="B58" s="12"/>
      <c r="C58" s="12"/>
      <c r="D58" s="12" t="s">
        <v>261</v>
      </c>
    </row>
    <row r="59" spans="1:4" ht="45" x14ac:dyDescent="0.25">
      <c r="A59" s="12" t="s">
        <v>341</v>
      </c>
      <c r="B59" s="12"/>
      <c r="C59" s="12"/>
      <c r="D59" s="12" t="s">
        <v>257</v>
      </c>
    </row>
    <row r="60" spans="1:4" x14ac:dyDescent="0.25">
      <c r="A60" s="12" t="s">
        <v>402</v>
      </c>
      <c r="B60" s="12"/>
      <c r="C60" s="12"/>
      <c r="D60" s="12" t="s">
        <v>227</v>
      </c>
    </row>
    <row r="61" spans="1:4" x14ac:dyDescent="0.25">
      <c r="A61" s="12" t="s">
        <v>125</v>
      </c>
      <c r="B61" s="12"/>
      <c r="C61" s="12"/>
      <c r="D61" s="12" t="s">
        <v>256</v>
      </c>
    </row>
    <row r="62" spans="1:4" x14ac:dyDescent="0.25">
      <c r="A62" s="12" t="s">
        <v>435</v>
      </c>
      <c r="B62" s="12"/>
      <c r="C62" s="12"/>
      <c r="D62" s="12" t="s">
        <v>204</v>
      </c>
    </row>
    <row r="63" spans="1:4" ht="30" x14ac:dyDescent="0.25">
      <c r="A63" s="12" t="s">
        <v>451</v>
      </c>
      <c r="B63" s="12" t="s">
        <v>216</v>
      </c>
      <c r="C63" s="12"/>
      <c r="D63" s="12" t="s">
        <v>266</v>
      </c>
    </row>
    <row r="64" spans="1:4" ht="45" x14ac:dyDescent="0.25">
      <c r="A64" s="12" t="s">
        <v>465</v>
      </c>
      <c r="B64" s="12"/>
      <c r="C64" s="12" t="s">
        <v>467</v>
      </c>
      <c r="D64" s="12" t="s">
        <v>260</v>
      </c>
    </row>
    <row r="65" spans="1:4" ht="30" x14ac:dyDescent="0.25">
      <c r="A65" s="12" t="s">
        <v>466</v>
      </c>
      <c r="B65" s="12"/>
      <c r="C65" s="12" t="s">
        <v>468</v>
      </c>
      <c r="D65" s="12" t="s">
        <v>260</v>
      </c>
    </row>
    <row r="66" spans="1:4" x14ac:dyDescent="0.25">
      <c r="A66" s="12" t="s">
        <v>461</v>
      </c>
      <c r="B66" s="12"/>
      <c r="C66" s="12"/>
      <c r="D66" s="12" t="s">
        <v>252</v>
      </c>
    </row>
    <row r="67" spans="1:4" x14ac:dyDescent="0.25">
      <c r="A67" s="12" t="s">
        <v>462</v>
      </c>
      <c r="B67" s="12"/>
      <c r="C67" s="12"/>
      <c r="D67" s="12" t="s">
        <v>204</v>
      </c>
    </row>
    <row r="68" spans="1:4" x14ac:dyDescent="0.25">
      <c r="A68" s="12" t="s">
        <v>479</v>
      </c>
      <c r="B68" s="12"/>
      <c r="C68" s="12"/>
      <c r="D68" s="12" t="s">
        <v>262</v>
      </c>
    </row>
    <row r="69" spans="1:4" ht="30" x14ac:dyDescent="0.25">
      <c r="A69" s="12" t="s">
        <v>480</v>
      </c>
      <c r="B69" s="12"/>
      <c r="C69" s="12"/>
      <c r="D69" s="12" t="s">
        <v>260</v>
      </c>
    </row>
    <row r="72" spans="1:4" x14ac:dyDescent="0.25">
      <c r="A72" s="206" t="s">
        <v>448</v>
      </c>
    </row>
    <row r="73" spans="1:4" ht="45" x14ac:dyDescent="0.25">
      <c r="A73" s="205" t="s">
        <v>246</v>
      </c>
    </row>
    <row r="74" spans="1:4" x14ac:dyDescent="0.25">
      <c r="A74" s="205" t="s">
        <v>247</v>
      </c>
    </row>
    <row r="75" spans="1:4" x14ac:dyDescent="0.25">
      <c r="A75" s="205" t="s">
        <v>248</v>
      </c>
    </row>
    <row r="76" spans="1:4" x14ac:dyDescent="0.25">
      <c r="A76" s="205" t="s">
        <v>249</v>
      </c>
    </row>
    <row r="77" spans="1:4" x14ac:dyDescent="0.25">
      <c r="A77" s="205" t="s">
        <v>250</v>
      </c>
    </row>
    <row r="78" spans="1:4" x14ac:dyDescent="0.25">
      <c r="A78" s="205" t="s">
        <v>251</v>
      </c>
    </row>
    <row r="79" spans="1:4" x14ac:dyDescent="0.25">
      <c r="A79" s="205" t="s">
        <v>252</v>
      </c>
    </row>
    <row r="80" spans="1:4" ht="30" x14ac:dyDescent="0.25">
      <c r="A80" s="205" t="s">
        <v>253</v>
      </c>
    </row>
    <row r="81" spans="1:1" x14ac:dyDescent="0.25">
      <c r="A81" s="205" t="s">
        <v>254</v>
      </c>
    </row>
    <row r="82" spans="1:1" ht="30" x14ac:dyDescent="0.25">
      <c r="A82" s="205" t="s">
        <v>255</v>
      </c>
    </row>
    <row r="83" spans="1:1" x14ac:dyDescent="0.25">
      <c r="A83" s="205" t="s">
        <v>256</v>
      </c>
    </row>
    <row r="84" spans="1:1" x14ac:dyDescent="0.25">
      <c r="A84" s="205" t="s">
        <v>223</v>
      </c>
    </row>
    <row r="85" spans="1:1" ht="45" x14ac:dyDescent="0.25">
      <c r="A85" s="205" t="s">
        <v>257</v>
      </c>
    </row>
    <row r="86" spans="1:1" ht="45" x14ac:dyDescent="0.25">
      <c r="A86" s="205" t="s">
        <v>258</v>
      </c>
    </row>
    <row r="87" spans="1:1" x14ac:dyDescent="0.25">
      <c r="A87" s="205" t="s">
        <v>211</v>
      </c>
    </row>
    <row r="88" spans="1:1" ht="30" x14ac:dyDescent="0.25">
      <c r="A88" s="205" t="s">
        <v>259</v>
      </c>
    </row>
    <row r="89" spans="1:1" ht="30" x14ac:dyDescent="0.25">
      <c r="A89" s="205" t="s">
        <v>260</v>
      </c>
    </row>
    <row r="90" spans="1:1" ht="30" x14ac:dyDescent="0.25">
      <c r="A90" s="205" t="s">
        <v>261</v>
      </c>
    </row>
    <row r="91" spans="1:1" x14ac:dyDescent="0.25">
      <c r="A91" s="205" t="s">
        <v>262</v>
      </c>
    </row>
    <row r="92" spans="1:1" x14ac:dyDescent="0.25">
      <c r="A92" s="205" t="s">
        <v>263</v>
      </c>
    </row>
    <row r="93" spans="1:1" x14ac:dyDescent="0.25">
      <c r="A93" s="205" t="s">
        <v>264</v>
      </c>
    </row>
    <row r="94" spans="1:1" ht="30" x14ac:dyDescent="0.25">
      <c r="A94" s="205" t="s">
        <v>265</v>
      </c>
    </row>
    <row r="95" spans="1:1" ht="30" x14ac:dyDescent="0.25">
      <c r="A95" s="205" t="s">
        <v>266</v>
      </c>
    </row>
    <row r="96" spans="1:1" ht="30" x14ac:dyDescent="0.25">
      <c r="A96" s="205" t="s">
        <v>267</v>
      </c>
    </row>
    <row r="97" spans="1:1" ht="30" x14ac:dyDescent="0.25">
      <c r="A97" s="205" t="s">
        <v>268</v>
      </c>
    </row>
    <row r="98" spans="1:1" ht="30" x14ac:dyDescent="0.25">
      <c r="A98" s="205" t="s">
        <v>269</v>
      </c>
    </row>
    <row r="99" spans="1:1" x14ac:dyDescent="0.25">
      <c r="A99" s="205" t="s">
        <v>270</v>
      </c>
    </row>
    <row r="100" spans="1:1" x14ac:dyDescent="0.25">
      <c r="A100" s="205" t="s">
        <v>271</v>
      </c>
    </row>
    <row r="101" spans="1:1" x14ac:dyDescent="0.25">
      <c r="A101" s="205" t="s">
        <v>227</v>
      </c>
    </row>
    <row r="102" spans="1:1" ht="30" x14ac:dyDescent="0.25">
      <c r="A102" s="205" t="s">
        <v>272</v>
      </c>
    </row>
    <row r="103" spans="1:1" ht="30" x14ac:dyDescent="0.25">
      <c r="A103" s="205" t="s">
        <v>273</v>
      </c>
    </row>
    <row r="104" spans="1:1" ht="30" x14ac:dyDescent="0.25">
      <c r="A104" s="205" t="s">
        <v>274</v>
      </c>
    </row>
    <row r="105" spans="1:1" ht="45" x14ac:dyDescent="0.25">
      <c r="A105" s="205" t="s">
        <v>275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N16" sqref="N16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6"/>
    <col min="8" max="8" width="23.5703125" style="176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673</v>
      </c>
      <c r="B2" t="s">
        <v>344</v>
      </c>
      <c r="C2" t="s">
        <v>345</v>
      </c>
      <c r="D2" t="s">
        <v>346</v>
      </c>
      <c r="E2" t="s">
        <v>347</v>
      </c>
      <c r="F2" t="s">
        <v>348</v>
      </c>
      <c r="G2" s="176" t="s">
        <v>396</v>
      </c>
      <c r="H2" s="176" t="s">
        <v>305</v>
      </c>
    </row>
    <row r="3" spans="1:8" x14ac:dyDescent="0.25">
      <c r="A3" s="175" t="str">
        <f>'Инвест политика'!A26</f>
        <v>SNGS</v>
      </c>
      <c r="B3" t="s">
        <v>403</v>
      </c>
      <c r="C3" s="179" t="s">
        <v>666</v>
      </c>
      <c r="D3" t="s">
        <v>404</v>
      </c>
      <c r="E3" t="s">
        <v>405</v>
      </c>
      <c r="F3" t="s">
        <v>406</v>
      </c>
      <c r="G3" s="176">
        <f>VLOOKUP(A3,'Инвест политика'!$A$26:$H$130,8,FALSE)</f>
        <v>0</v>
      </c>
      <c r="H3" s="176" t="str">
        <f>Эшелонирование(F3,G3,C3)</f>
        <v>Ошибка, не численные значения</v>
      </c>
    </row>
    <row r="4" spans="1:8" x14ac:dyDescent="0.25">
      <c r="A4" s="175" t="str">
        <f>'Инвест политика'!A27</f>
        <v>YNDX</v>
      </c>
      <c r="B4" t="s">
        <v>403</v>
      </c>
      <c r="C4" s="179" t="s">
        <v>666</v>
      </c>
      <c r="D4" t="s">
        <v>404</v>
      </c>
      <c r="E4" t="s">
        <v>405</v>
      </c>
      <c r="F4" t="s">
        <v>406</v>
      </c>
      <c r="G4" s="177">
        <f>VLOOKUP(A4,'Инвест политика'!$A$26:$H$130,8,FALSE)</f>
        <v>0</v>
      </c>
      <c r="H4" s="177" t="str">
        <f t="shared" ref="H4:H67" si="0">Эшелонирование(F4,G4,C4)</f>
        <v>Ошибка, не численные значения</v>
      </c>
    </row>
    <row r="5" spans="1:8" x14ac:dyDescent="0.25">
      <c r="A5" s="175" t="str">
        <f>'Инвест политика'!A28</f>
        <v>GMKN</v>
      </c>
      <c r="B5" t="s">
        <v>403</v>
      </c>
      <c r="C5" t="s">
        <v>666</v>
      </c>
      <c r="D5" t="s">
        <v>404</v>
      </c>
      <c r="E5" t="s">
        <v>405</v>
      </c>
      <c r="F5" t="s">
        <v>406</v>
      </c>
      <c r="G5" s="177">
        <f>VLOOKUP(A5,'Инвест политика'!$A$26:$H$130,8,FALSE)</f>
        <v>0</v>
      </c>
      <c r="H5" s="177" t="str">
        <f t="shared" si="0"/>
        <v>Ошибка, не численные значения</v>
      </c>
    </row>
    <row r="6" spans="1:8" x14ac:dyDescent="0.25">
      <c r="A6" s="175" t="str">
        <f>'Инвест политика'!A29</f>
        <v>RU000A101616</v>
      </c>
      <c r="B6" t="s">
        <v>349</v>
      </c>
      <c r="C6">
        <v>19.344999999999999</v>
      </c>
      <c r="D6">
        <v>150000000</v>
      </c>
      <c r="E6" t="s">
        <v>350</v>
      </c>
      <c r="F6">
        <v>8</v>
      </c>
      <c r="G6" s="177" t="str">
        <f>VLOOKUP(A6,'Инвест политика'!$A$26:$H$130,8,FALSE)</f>
        <v>BB+</v>
      </c>
      <c r="H6" s="177">
        <f t="shared" si="0"/>
        <v>1</v>
      </c>
    </row>
    <row r="7" spans="1:8" x14ac:dyDescent="0.25">
      <c r="A7" s="175" t="str">
        <f>'Инвест политика'!A30</f>
        <v>XS2159874002</v>
      </c>
      <c r="B7" t="s">
        <v>436</v>
      </c>
      <c r="C7">
        <v>7.3719999999999999</v>
      </c>
      <c r="D7">
        <v>1500000000</v>
      </c>
      <c r="E7" t="s">
        <v>352</v>
      </c>
      <c r="F7">
        <v>10</v>
      </c>
      <c r="G7" s="177" t="str">
        <f>VLOOKUP(A7,'Инвест политика'!$A$26:$H$130,8,FALSE)</f>
        <v>BBB</v>
      </c>
      <c r="H7" s="177">
        <f t="shared" si="0"/>
        <v>1</v>
      </c>
    </row>
    <row r="8" spans="1:8" x14ac:dyDescent="0.25">
      <c r="A8" s="175" t="str">
        <f>'Инвест политика'!A31</f>
        <v>XS2134628069</v>
      </c>
      <c r="B8" t="s">
        <v>351</v>
      </c>
      <c r="C8">
        <v>3.5840000000000001</v>
      </c>
      <c r="D8">
        <v>500000000</v>
      </c>
      <c r="E8" t="s">
        <v>352</v>
      </c>
      <c r="F8">
        <v>10</v>
      </c>
      <c r="G8" s="177" t="str">
        <f>VLOOKUP(A8,'Инвест политика'!$A$26:$H$130,8,FALSE)</f>
        <v>BBB-</v>
      </c>
      <c r="H8" s="177">
        <f t="shared" si="0"/>
        <v>1</v>
      </c>
    </row>
    <row r="9" spans="1:8" x14ac:dyDescent="0.25">
      <c r="A9" s="175" t="str">
        <f>'Инвест политика'!A32</f>
        <v>XS2291819980</v>
      </c>
      <c r="B9" t="s">
        <v>407</v>
      </c>
      <c r="C9">
        <v>6.641</v>
      </c>
      <c r="D9">
        <v>2000000000</v>
      </c>
      <c r="E9" t="s">
        <v>352</v>
      </c>
      <c r="F9">
        <v>10</v>
      </c>
      <c r="G9" s="177" t="str">
        <f>VLOOKUP(A9,'Инвест политика'!$A$26:$H$130,8,FALSE)</f>
        <v>BBB</v>
      </c>
      <c r="H9" s="177">
        <f t="shared" si="0"/>
        <v>1</v>
      </c>
    </row>
    <row r="10" spans="1:8" x14ac:dyDescent="0.25">
      <c r="A10" s="175" t="str">
        <f>'Инвест политика'!A33</f>
        <v>XS0810596832</v>
      </c>
      <c r="B10" t="s">
        <v>437</v>
      </c>
      <c r="C10">
        <v>1.1559999999999999</v>
      </c>
      <c r="D10">
        <v>2250000000</v>
      </c>
      <c r="E10" t="s">
        <v>352</v>
      </c>
      <c r="F10">
        <v>10</v>
      </c>
      <c r="G10" s="177" t="str">
        <f>VLOOKUP(A10,'Инвест политика'!$A$26:$H$130,8,FALSE)</f>
        <v>BBB-</v>
      </c>
      <c r="H10" s="177">
        <f>Эшелонирование(F10,G10,C10)</f>
        <v>1</v>
      </c>
    </row>
    <row r="11" spans="1:8" x14ac:dyDescent="0.25">
      <c r="A11" s="175" t="str">
        <f>'Инвест политика'!A34</f>
        <v>XS2252958751</v>
      </c>
      <c r="B11" t="s">
        <v>453</v>
      </c>
      <c r="C11">
        <v>5.3840000000000003</v>
      </c>
      <c r="D11">
        <v>1250000000</v>
      </c>
      <c r="E11" t="s">
        <v>352</v>
      </c>
      <c r="F11">
        <v>9</v>
      </c>
      <c r="G11" s="177" t="str">
        <f>VLOOKUP(A11,'Инвест политика'!$A$26:$H$130,8,FALSE)</f>
        <v>BB+</v>
      </c>
      <c r="H11" s="177">
        <f t="shared" si="0"/>
        <v>1</v>
      </c>
    </row>
    <row r="12" spans="1:8" x14ac:dyDescent="0.25">
      <c r="A12" s="175" t="str">
        <f>'Инвест политика'!A35</f>
        <v>XS1433454243</v>
      </c>
      <c r="B12" t="s">
        <v>438</v>
      </c>
      <c r="C12">
        <v>1.673</v>
      </c>
      <c r="D12">
        <v>498427000</v>
      </c>
      <c r="E12" t="s">
        <v>352</v>
      </c>
      <c r="F12">
        <v>10</v>
      </c>
      <c r="G12" s="177" t="str">
        <f>VLOOKUP(A12,'Инвест политика'!$A$26:$H$130,8,FALSE)</f>
        <v>BBB-</v>
      </c>
      <c r="H12" s="177">
        <f t="shared" si="0"/>
        <v>1</v>
      </c>
    </row>
    <row r="13" spans="1:8" x14ac:dyDescent="0.25">
      <c r="A13" s="175" t="str">
        <f>'Инвест политика'!A36</f>
        <v>CH0385518086</v>
      </c>
      <c r="B13" t="s">
        <v>353</v>
      </c>
      <c r="C13">
        <v>1.117</v>
      </c>
      <c r="D13">
        <v>165000000</v>
      </c>
      <c r="E13" t="s">
        <v>354</v>
      </c>
      <c r="F13">
        <v>9</v>
      </c>
      <c r="G13" s="177" t="str">
        <f>VLOOKUP(A13,'Инвест политика'!$A$26:$H$130,8,FALSE)</f>
        <v>BB</v>
      </c>
      <c r="H13" s="177">
        <f t="shared" si="0"/>
        <v>2</v>
      </c>
    </row>
    <row r="14" spans="1:8" x14ac:dyDescent="0.25">
      <c r="A14" s="175" t="str">
        <f>'Инвест политика'!A37</f>
        <v>XS1759468967</v>
      </c>
      <c r="B14" t="s">
        <v>356</v>
      </c>
      <c r="C14">
        <v>1.3380000000000001</v>
      </c>
      <c r="D14">
        <v>500000000</v>
      </c>
      <c r="E14" t="s">
        <v>352</v>
      </c>
      <c r="F14">
        <v>8</v>
      </c>
      <c r="G14" s="177" t="str">
        <f>VLOOKUP(A14,'Инвест политика'!$A$26:$H$130,8,FALSE)</f>
        <v>BB-</v>
      </c>
      <c r="H14" s="177">
        <f t="shared" si="0"/>
        <v>2</v>
      </c>
    </row>
    <row r="15" spans="1:8" x14ac:dyDescent="0.25">
      <c r="A15" s="175" t="str">
        <f>'Инвест политика'!A38</f>
        <v>XS1400710726</v>
      </c>
      <c r="B15" t="s">
        <v>357</v>
      </c>
      <c r="C15">
        <v>1.2849999999999999</v>
      </c>
      <c r="D15">
        <v>700000000</v>
      </c>
      <c r="E15" t="s">
        <v>352</v>
      </c>
      <c r="F15">
        <v>10</v>
      </c>
      <c r="G15" s="177" t="str">
        <f>VLOOKUP(A15,'Инвест политика'!$A$26:$H$130,8,FALSE)</f>
        <v>BB</v>
      </c>
      <c r="H15" s="177">
        <f t="shared" si="0"/>
        <v>2</v>
      </c>
    </row>
    <row r="16" spans="1:8" x14ac:dyDescent="0.25">
      <c r="A16" s="175" t="str">
        <f>'Инвест политика'!A39</f>
        <v>XS1772800204</v>
      </c>
      <c r="B16" t="s">
        <v>358</v>
      </c>
      <c r="C16">
        <v>1.137</v>
      </c>
      <c r="D16">
        <v>204719000</v>
      </c>
      <c r="E16" t="s">
        <v>352</v>
      </c>
      <c r="F16">
        <v>10</v>
      </c>
      <c r="G16" s="177" t="str">
        <f>VLOOKUP(A16,'Инвест политика'!$A$26:$H$130,8,FALSE)</f>
        <v>BB</v>
      </c>
      <c r="H16" s="177">
        <f t="shared" si="0"/>
        <v>2</v>
      </c>
    </row>
    <row r="17" spans="1:8" x14ac:dyDescent="0.25">
      <c r="A17" s="175" t="str">
        <f>'Инвест политика'!A40</f>
        <v>XS2010044548</v>
      </c>
      <c r="B17" t="s">
        <v>359</v>
      </c>
      <c r="C17">
        <v>2.569</v>
      </c>
      <c r="D17">
        <v>300000000</v>
      </c>
      <c r="E17" t="s">
        <v>352</v>
      </c>
      <c r="F17">
        <v>8</v>
      </c>
      <c r="G17" s="177" t="str">
        <f>VLOOKUP(A17,'Инвест политика'!$A$26:$H$130,8,FALSE)</f>
        <v>BB-</v>
      </c>
      <c r="H17" s="177">
        <f t="shared" si="0"/>
        <v>2</v>
      </c>
    </row>
    <row r="18" spans="1:8" x14ac:dyDescent="0.25">
      <c r="A18" s="175" t="str">
        <f>'Инвест политика'!A41</f>
        <v>XS2010044381</v>
      </c>
      <c r="B18" t="s">
        <v>360</v>
      </c>
      <c r="C18">
        <v>4.0259999999999998</v>
      </c>
      <c r="D18">
        <v>550000000</v>
      </c>
      <c r="E18" t="s">
        <v>352</v>
      </c>
      <c r="F18">
        <v>10</v>
      </c>
      <c r="G18" s="177" t="str">
        <f>VLOOKUP(A18,'Инвест политика'!$A$26:$H$130,8,FALSE)</f>
        <v>BB</v>
      </c>
      <c r="H18" s="177">
        <f t="shared" si="0"/>
        <v>2</v>
      </c>
    </row>
    <row r="19" spans="1:8" x14ac:dyDescent="0.25">
      <c r="A19" s="175" t="str">
        <f>'Инвест политика'!A42</f>
        <v>RU000A101616</v>
      </c>
      <c r="B19" t="s">
        <v>349</v>
      </c>
      <c r="C19">
        <v>19.344999999999999</v>
      </c>
      <c r="D19">
        <v>150000000</v>
      </c>
      <c r="E19" t="s">
        <v>350</v>
      </c>
      <c r="F19">
        <v>8</v>
      </c>
      <c r="G19" s="177" t="str">
        <f>VLOOKUP(A19,'Инвест политика'!$A$26:$H$130,8,FALSE)</f>
        <v>BB+</v>
      </c>
      <c r="H19" s="177">
        <f t="shared" si="0"/>
        <v>1</v>
      </c>
    </row>
    <row r="20" spans="1:8" x14ac:dyDescent="0.25">
      <c r="A20" s="175" t="str">
        <f>'Инвест политика'!A43</f>
        <v>XS2063279959</v>
      </c>
      <c r="B20" t="s">
        <v>361</v>
      </c>
      <c r="C20">
        <v>3.2090000000000001</v>
      </c>
      <c r="D20">
        <v>850000000</v>
      </c>
      <c r="E20" t="s">
        <v>352</v>
      </c>
      <c r="F20">
        <v>10</v>
      </c>
      <c r="G20" s="177" t="str">
        <f>VLOOKUP(A20,'Инвест политика'!$A$26:$H$130,8,FALSE)</f>
        <v>BB</v>
      </c>
      <c r="H20" s="177">
        <f t="shared" si="0"/>
        <v>2</v>
      </c>
    </row>
    <row r="21" spans="1:8" x14ac:dyDescent="0.25">
      <c r="A21" s="175" t="str">
        <f>'Инвест политика'!A44</f>
        <v>XS2124187571</v>
      </c>
      <c r="B21" t="s">
        <v>363</v>
      </c>
      <c r="C21">
        <v>7.4390000000000001</v>
      </c>
      <c r="D21">
        <v>2000000000</v>
      </c>
      <c r="E21" t="s">
        <v>352</v>
      </c>
      <c r="F21">
        <v>10</v>
      </c>
      <c r="G21" s="177" t="str">
        <f>VLOOKUP(A21,'Инвест политика'!$A$26:$H$130,8,FALSE)</f>
        <v>BBB</v>
      </c>
      <c r="H21" s="177">
        <f t="shared" si="0"/>
        <v>1</v>
      </c>
    </row>
    <row r="22" spans="1:8" x14ac:dyDescent="0.25">
      <c r="A22" s="175" t="str">
        <f>'Инвест политика'!A45</f>
        <v>XS0841671000</v>
      </c>
      <c r="B22" t="s">
        <v>364</v>
      </c>
      <c r="C22">
        <v>1.0429999999999999</v>
      </c>
      <c r="D22">
        <v>634051000</v>
      </c>
      <c r="E22" t="s">
        <v>352</v>
      </c>
      <c r="F22">
        <v>10</v>
      </c>
      <c r="G22" s="177" t="str">
        <f>VLOOKUP(A22,'Инвест политика'!$A$26:$H$130,8,FALSE)</f>
        <v>BBB</v>
      </c>
      <c r="H22" s="177">
        <f t="shared" si="0"/>
        <v>1</v>
      </c>
    </row>
    <row r="23" spans="1:8" x14ac:dyDescent="0.25">
      <c r="A23" s="175" t="str">
        <f>'Инвест политика'!A46</f>
        <v>XS0800817073</v>
      </c>
      <c r="B23" t="s">
        <v>365</v>
      </c>
      <c r="C23">
        <v>0.78600000000000003</v>
      </c>
      <c r="D23">
        <v>1000000000</v>
      </c>
      <c r="E23" t="s">
        <v>352</v>
      </c>
      <c r="F23">
        <v>10</v>
      </c>
      <c r="G23" s="177" t="str">
        <f>VLOOKUP(A23,'Инвест политика'!$A$26:$H$130,8,FALSE)</f>
        <v>BBB-</v>
      </c>
      <c r="H23" s="177">
        <f t="shared" si="0"/>
        <v>1</v>
      </c>
    </row>
    <row r="24" spans="1:8" x14ac:dyDescent="0.25">
      <c r="A24" s="175" t="str">
        <f>'Инвест политика'!A47</f>
        <v>XS0830192711</v>
      </c>
      <c r="B24" t="s">
        <v>366</v>
      </c>
      <c r="C24">
        <v>0.97499999999999998</v>
      </c>
      <c r="D24">
        <v>1500000000</v>
      </c>
      <c r="E24" t="s">
        <v>352</v>
      </c>
      <c r="F24">
        <v>10</v>
      </c>
      <c r="G24" s="177" t="str">
        <f>VLOOKUP(A24,'Инвест политика'!$A$26:$H$130,8,FALSE)</f>
        <v>BBB</v>
      </c>
      <c r="H24" s="177">
        <f t="shared" si="0"/>
        <v>1</v>
      </c>
    </row>
    <row r="25" spans="1:8" x14ac:dyDescent="0.25">
      <c r="A25" s="175" t="str">
        <f>'Инвест политика'!A48</f>
        <v>XS2183144810</v>
      </c>
      <c r="B25" t="s">
        <v>367</v>
      </c>
      <c r="C25">
        <v>1.706</v>
      </c>
      <c r="D25">
        <v>350000000</v>
      </c>
      <c r="E25" t="s">
        <v>350</v>
      </c>
      <c r="F25">
        <v>10</v>
      </c>
      <c r="G25" s="177" t="str">
        <f>VLOOKUP(A25,'Инвест политика'!$A$26:$H$130,8,FALSE)</f>
        <v>BB</v>
      </c>
      <c r="H25" s="177">
        <f t="shared" si="0"/>
        <v>2</v>
      </c>
    </row>
    <row r="26" spans="1:8" x14ac:dyDescent="0.25">
      <c r="A26" s="175" t="str">
        <f>'Инвест политика'!A49</f>
        <v>XS0861981180</v>
      </c>
      <c r="B26" t="s">
        <v>368</v>
      </c>
      <c r="C26">
        <v>0.46900000000000003</v>
      </c>
      <c r="D26">
        <v>2000000000</v>
      </c>
      <c r="E26" t="s">
        <v>352</v>
      </c>
      <c r="F26">
        <v>10</v>
      </c>
      <c r="G26" s="177" t="str">
        <f>VLOOKUP(A26,'Инвест политика'!$A$26:$H$130,8,FALSE)</f>
        <v>BBB-</v>
      </c>
      <c r="H26" s="177">
        <f t="shared" si="0"/>
        <v>1</v>
      </c>
    </row>
    <row r="27" spans="1:8" x14ac:dyDescent="0.25">
      <c r="A27" s="175" t="str">
        <f>'Инвест политика'!A50</f>
        <v>XS1622146758</v>
      </c>
      <c r="B27" t="s">
        <v>454</v>
      </c>
      <c r="C27">
        <v>0.309</v>
      </c>
      <c r="D27">
        <v>500000000</v>
      </c>
      <c r="E27" t="s">
        <v>352</v>
      </c>
      <c r="F27">
        <v>10</v>
      </c>
      <c r="G27" s="177" t="str">
        <f>VLOOKUP(A27,'Инвест политика'!$A$26:$H$130,8,FALSE)</f>
        <v>BBB-</v>
      </c>
      <c r="H27" s="177">
        <f t="shared" si="0"/>
        <v>1</v>
      </c>
    </row>
    <row r="28" spans="1:8" x14ac:dyDescent="0.25">
      <c r="A28" s="175" t="str">
        <f>'Инвест политика'!A51</f>
        <v>XS0743596040</v>
      </c>
      <c r="B28" t="s">
        <v>369</v>
      </c>
      <c r="C28">
        <v>0.38900000000000001</v>
      </c>
      <c r="D28">
        <v>1500000000</v>
      </c>
      <c r="E28" t="s">
        <v>352</v>
      </c>
      <c r="F28">
        <v>10</v>
      </c>
      <c r="G28" s="177" t="str">
        <f>VLOOKUP(A28,'Инвест политика'!$A$26:$H$130,8,FALSE)</f>
        <v>BBB-</v>
      </c>
      <c r="H28" s="177">
        <f t="shared" si="0"/>
        <v>1</v>
      </c>
    </row>
    <row r="29" spans="1:8" x14ac:dyDescent="0.25">
      <c r="A29" s="175" t="str">
        <f>'Инвест политика'!A52</f>
        <v>XS1634369067</v>
      </c>
      <c r="B29" t="s">
        <v>370</v>
      </c>
      <c r="C29">
        <v>1.399</v>
      </c>
      <c r="D29">
        <v>800000000</v>
      </c>
      <c r="E29" t="s">
        <v>352</v>
      </c>
      <c r="F29">
        <v>10</v>
      </c>
      <c r="G29" s="177" t="str">
        <f>VLOOKUP(A29,'Инвест политика'!$A$26:$H$130,8,FALSE)</f>
        <v>B</v>
      </c>
      <c r="H29" s="177">
        <f t="shared" si="0"/>
        <v>2</v>
      </c>
    </row>
    <row r="30" spans="1:8" x14ac:dyDescent="0.25">
      <c r="A30" s="175" t="str">
        <f>'Инвест политика'!A53</f>
        <v>XS2243631095</v>
      </c>
      <c r="B30" t="s">
        <v>455</v>
      </c>
      <c r="C30">
        <v>3.778</v>
      </c>
      <c r="D30">
        <v>1400000000</v>
      </c>
      <c r="E30" t="s">
        <v>352</v>
      </c>
      <c r="F30">
        <v>10</v>
      </c>
      <c r="G30" s="177" t="str">
        <f>VLOOKUP(A30,'Инвест политика'!$A$26:$H$130,8,FALSE)</f>
        <v>BB+</v>
      </c>
      <c r="H30" s="177">
        <f t="shared" si="0"/>
        <v>1</v>
      </c>
    </row>
    <row r="31" spans="1:8" x14ac:dyDescent="0.25">
      <c r="A31" s="175" t="str">
        <f>'Инвест политика'!A54</f>
        <v>XS1951067039</v>
      </c>
      <c r="B31" t="s">
        <v>355</v>
      </c>
      <c r="C31">
        <v>2.2920000000000003</v>
      </c>
      <c r="D31">
        <v>327228000</v>
      </c>
      <c r="E31" t="s">
        <v>350</v>
      </c>
      <c r="F31">
        <v>10</v>
      </c>
      <c r="G31" s="177" t="str">
        <f>VLOOKUP(A31,'Инвест политика'!$A$26:$H$130,8,FALSE)</f>
        <v>BB</v>
      </c>
      <c r="H31" s="177">
        <f t="shared" si="0"/>
        <v>2</v>
      </c>
    </row>
    <row r="32" spans="1:8" x14ac:dyDescent="0.25">
      <c r="A32" s="175" t="str">
        <f>'Инвест политика'!A55</f>
        <v>XS2099763075</v>
      </c>
      <c r="B32" t="s">
        <v>362</v>
      </c>
      <c r="C32">
        <v>3.1419999999999999</v>
      </c>
      <c r="D32">
        <v>541000000</v>
      </c>
      <c r="E32" t="s">
        <v>352</v>
      </c>
      <c r="F32">
        <v>10</v>
      </c>
      <c r="G32" s="177" t="str">
        <f>VLOOKUP(A32,'Инвест политика'!$A$26:$H$130,8,FALSE)</f>
        <v>BB</v>
      </c>
      <c r="H32" s="177">
        <f t="shared" si="0"/>
        <v>2</v>
      </c>
    </row>
    <row r="33" spans="1:8" x14ac:dyDescent="0.25">
      <c r="A33" s="175" t="str">
        <f>'Инвест политика'!A56</f>
        <v>XS1533915721</v>
      </c>
      <c r="B33" t="s">
        <v>476</v>
      </c>
      <c r="C33">
        <v>1.4339999999999999</v>
      </c>
      <c r="D33">
        <v>750000000</v>
      </c>
      <c r="E33" t="s">
        <v>352</v>
      </c>
      <c r="F33">
        <v>10</v>
      </c>
      <c r="G33" s="177" t="str">
        <f>VLOOKUP(A33,'Инвест политика'!$A$26:$H$130,8,FALSE)</f>
        <v>BB+</v>
      </c>
      <c r="H33" s="177">
        <f t="shared" si="0"/>
        <v>1</v>
      </c>
    </row>
    <row r="34" spans="1:8" x14ac:dyDescent="0.25">
      <c r="A34" s="175" t="str">
        <f>'Инвест политика'!A57</f>
        <v>XS2120091991</v>
      </c>
      <c r="B34" t="s">
        <v>475</v>
      </c>
      <c r="C34">
        <v>3.9420000000000002</v>
      </c>
      <c r="D34">
        <v>500000000</v>
      </c>
      <c r="E34" t="s">
        <v>352</v>
      </c>
      <c r="F34">
        <v>10</v>
      </c>
      <c r="G34" s="177" t="str">
        <f>VLOOKUP(A34,'Инвест политика'!$A$26:$H$130,8,FALSE)</f>
        <v>B</v>
      </c>
      <c r="H34" s="177">
        <f t="shared" si="0"/>
        <v>2</v>
      </c>
    </row>
    <row r="35" spans="1:8" x14ac:dyDescent="0.25">
      <c r="A35" s="175" t="str">
        <f>'Инвест политика'!A58</f>
        <v>XS2239639433</v>
      </c>
      <c r="B35" t="s">
        <v>481</v>
      </c>
      <c r="C35">
        <v>0</v>
      </c>
      <c r="D35">
        <v>400000000</v>
      </c>
      <c r="E35" t="s">
        <v>352</v>
      </c>
      <c r="F35">
        <v>7</v>
      </c>
      <c r="G35" s="177" t="str">
        <f>VLOOKUP(A35,'Инвест политика'!$A$26:$H$130,8,FALSE)</f>
        <v>BB+</v>
      </c>
      <c r="H35" s="177">
        <f t="shared" si="0"/>
        <v>2</v>
      </c>
    </row>
    <row r="36" spans="1:8" x14ac:dyDescent="0.25">
      <c r="A36" s="175" t="str">
        <f>'Инвест политика'!A59</f>
        <v>RU000A0JV508</v>
      </c>
      <c r="B36" t="s">
        <v>372</v>
      </c>
      <c r="C36">
        <v>8.673</v>
      </c>
      <c r="D36">
        <v>104415654.42</v>
      </c>
      <c r="E36" t="s">
        <v>371</v>
      </c>
      <c r="F36" t="s">
        <v>408</v>
      </c>
      <c r="G36" s="177" t="str">
        <f>VLOOKUP(A36,'Инвест политика'!$A$26:$H$130,8,FALSE)</f>
        <v>BBB-</v>
      </c>
      <c r="H36" s="177" t="str">
        <f t="shared" si="0"/>
        <v>Ошибка, не численные значения</v>
      </c>
    </row>
    <row r="37" spans="1:8" x14ac:dyDescent="0.25">
      <c r="A37" s="175" t="str">
        <f>'Инвест политика'!A60</f>
        <v>RU000A0JTX09</v>
      </c>
      <c r="B37" t="s">
        <v>409</v>
      </c>
      <c r="C37">
        <v>0</v>
      </c>
      <c r="D37">
        <v>5000000000</v>
      </c>
      <c r="E37" t="s">
        <v>371</v>
      </c>
      <c r="F37" t="s">
        <v>408</v>
      </c>
      <c r="G37" s="177" t="str">
        <f>VLOOKUP(A37,'Инвест политика'!$A$26:$H$130,8,FALSE)</f>
        <v>D</v>
      </c>
      <c r="H37" s="177" t="str">
        <f t="shared" si="0"/>
        <v>Ошибка, не численные значения</v>
      </c>
    </row>
    <row r="38" spans="1:8" x14ac:dyDescent="0.25">
      <c r="A38" s="175" t="str">
        <f>'Инвест политика'!A61</f>
        <v>RU000A0JWV63</v>
      </c>
      <c r="B38" t="s">
        <v>373</v>
      </c>
      <c r="C38">
        <v>3.6720000000000002</v>
      </c>
      <c r="D38">
        <v>5000000000</v>
      </c>
      <c r="E38" t="s">
        <v>371</v>
      </c>
      <c r="F38">
        <v>7</v>
      </c>
      <c r="G38" s="177" t="str">
        <f>VLOOKUP(A38,'Инвест политика'!$A$26:$H$130,8,FALSE)</f>
        <v>BB+</v>
      </c>
      <c r="H38" s="177">
        <f t="shared" si="0"/>
        <v>2</v>
      </c>
    </row>
    <row r="39" spans="1:8" x14ac:dyDescent="0.25">
      <c r="A39" s="175" t="str">
        <f>'Инвест политика'!A62</f>
        <v>RU000A0JVUK8</v>
      </c>
      <c r="B39" t="s">
        <v>374</v>
      </c>
      <c r="C39">
        <v>0.53500000000000003</v>
      </c>
      <c r="D39">
        <v>5000000000</v>
      </c>
      <c r="E39" t="s">
        <v>371</v>
      </c>
      <c r="F39">
        <v>9</v>
      </c>
      <c r="G39" s="177" t="str">
        <f>VLOOKUP(A39,'Инвест политика'!$A$26:$H$130,8,FALSE)</f>
        <v>BB</v>
      </c>
      <c r="H39" s="177">
        <f t="shared" si="0"/>
        <v>2</v>
      </c>
    </row>
    <row r="40" spans="1:8" x14ac:dyDescent="0.25">
      <c r="A40" s="175" t="str">
        <f>'Инвест политика'!A63</f>
        <v>RU000A0JWYQ5</v>
      </c>
      <c r="B40" t="s">
        <v>375</v>
      </c>
      <c r="C40">
        <v>4.3369999999999997</v>
      </c>
      <c r="D40">
        <v>6500000000</v>
      </c>
      <c r="E40" t="s">
        <v>371</v>
      </c>
      <c r="F40">
        <v>9</v>
      </c>
      <c r="G40" s="177" t="str">
        <f>VLOOKUP(A40,'Инвест политика'!$A$26:$H$130,8,FALSE)</f>
        <v>BB</v>
      </c>
      <c r="H40" s="177">
        <f t="shared" si="0"/>
        <v>2</v>
      </c>
    </row>
    <row r="41" spans="1:8" x14ac:dyDescent="0.25">
      <c r="A41" s="175" t="str">
        <f>'Инвест политика'!A64</f>
        <v>RU000A100V79</v>
      </c>
      <c r="B41" t="s">
        <v>376</v>
      </c>
      <c r="C41">
        <v>5.78</v>
      </c>
      <c r="D41">
        <v>10000000000</v>
      </c>
      <c r="E41" t="s">
        <v>371</v>
      </c>
      <c r="F41">
        <v>8</v>
      </c>
      <c r="G41" s="177" t="str">
        <f>VLOOKUP(A41,'Инвест политика'!$A$26:$H$130,8,FALSE)</f>
        <v>BB-</v>
      </c>
      <c r="H41" s="177">
        <f>Эшелонирование(F41,G41,C41)</f>
        <v>2</v>
      </c>
    </row>
    <row r="42" spans="1:8" x14ac:dyDescent="0.25">
      <c r="A42" s="175" t="str">
        <f>'Инвест политика'!A65</f>
        <v>RU000A0JXVE5</v>
      </c>
      <c r="B42" t="s">
        <v>377</v>
      </c>
      <c r="C42">
        <v>0.77900000000000003</v>
      </c>
      <c r="D42">
        <v>20000000000</v>
      </c>
      <c r="E42" t="s">
        <v>371</v>
      </c>
      <c r="F42">
        <v>9</v>
      </c>
      <c r="G42" s="177" t="str">
        <f>VLOOKUP(A42,'Инвест политика'!$A$26:$H$130,8,FALSE)</f>
        <v>BB+</v>
      </c>
      <c r="H42" s="177">
        <f t="shared" si="0"/>
        <v>1</v>
      </c>
    </row>
    <row r="43" spans="1:8" x14ac:dyDescent="0.25">
      <c r="A43" s="175" t="str">
        <f>'Инвест политика'!A66</f>
        <v>RU000A0JX2F6</v>
      </c>
      <c r="B43" t="s">
        <v>378</v>
      </c>
      <c r="C43">
        <v>1.222</v>
      </c>
      <c r="D43">
        <v>5000000000</v>
      </c>
      <c r="E43" t="s">
        <v>371</v>
      </c>
      <c r="F43">
        <v>7</v>
      </c>
      <c r="G43" s="177" t="str">
        <f>VLOOKUP(A43,'Инвест политика'!$A$26:$H$130,8,FALSE)</f>
        <v>BBB-</v>
      </c>
      <c r="H43" s="177">
        <f t="shared" si="0"/>
        <v>2</v>
      </c>
    </row>
    <row r="44" spans="1:8" x14ac:dyDescent="0.25">
      <c r="A44" s="175" t="str">
        <f>'Инвест политика'!A67</f>
        <v>RU000A0JTM36</v>
      </c>
      <c r="B44" t="s">
        <v>410</v>
      </c>
      <c r="C44">
        <v>1.3380000000000001</v>
      </c>
      <c r="D44">
        <v>10000000000</v>
      </c>
      <c r="E44" t="s">
        <v>371</v>
      </c>
      <c r="F44">
        <v>9</v>
      </c>
      <c r="G44" s="177" t="str">
        <f>VLOOKUP(A44,'Инвест политика'!$A$26:$H$130,8,FALSE)</f>
        <v>BBB-</v>
      </c>
      <c r="H44" s="177">
        <f t="shared" si="0"/>
        <v>1</v>
      </c>
    </row>
    <row r="45" spans="1:8" x14ac:dyDescent="0.25">
      <c r="A45" s="175" t="str">
        <f>'Инвест политика'!A68</f>
        <v>RU000A0JTM51</v>
      </c>
      <c r="B45" t="s">
        <v>410</v>
      </c>
      <c r="C45">
        <v>1.335</v>
      </c>
      <c r="D45">
        <v>5000000000</v>
      </c>
      <c r="E45" t="s">
        <v>371</v>
      </c>
      <c r="F45">
        <v>9</v>
      </c>
      <c r="G45" s="177" t="str">
        <f>VLOOKUP(A45,'Инвест политика'!$A$26:$H$130,8,FALSE)</f>
        <v>BBB-</v>
      </c>
      <c r="H45" s="177">
        <f t="shared" si="0"/>
        <v>1</v>
      </c>
    </row>
    <row r="46" spans="1:8" x14ac:dyDescent="0.25">
      <c r="A46" s="175" t="str">
        <f>'Инвест политика'!A69</f>
        <v>RU000A101MZ4</v>
      </c>
      <c r="B46" t="s">
        <v>379</v>
      </c>
      <c r="C46">
        <v>1.58</v>
      </c>
      <c r="D46">
        <v>7000000000</v>
      </c>
      <c r="E46" t="s">
        <v>371</v>
      </c>
      <c r="F46">
        <v>6</v>
      </c>
      <c r="G46" s="177" t="str">
        <f>VLOOKUP(A46,'Инвест политика'!$A$26:$H$130,8,FALSE)</f>
        <v>A-</v>
      </c>
      <c r="H46" s="177">
        <f t="shared" si="0"/>
        <v>3</v>
      </c>
    </row>
    <row r="47" spans="1:8" x14ac:dyDescent="0.25">
      <c r="A47" s="175" t="str">
        <f>'Инвест политика'!A70</f>
        <v>RU000A0ZZZN8</v>
      </c>
      <c r="B47" t="s">
        <v>380</v>
      </c>
      <c r="C47">
        <v>0.25700000000000001</v>
      </c>
      <c r="D47">
        <v>1200000000</v>
      </c>
      <c r="E47" t="s">
        <v>371</v>
      </c>
      <c r="F47">
        <v>8</v>
      </c>
      <c r="G47" s="177" t="str">
        <f>VLOOKUP(A47,'Инвест политика'!$A$26:$H$130,8,FALSE)</f>
        <v>BB+</v>
      </c>
      <c r="H47" s="177">
        <f t="shared" si="0"/>
        <v>1</v>
      </c>
    </row>
    <row r="48" spans="1:8" x14ac:dyDescent="0.25">
      <c r="A48" s="175" t="str">
        <f>'Инвест политика'!A71</f>
        <v>RU000A1023K1</v>
      </c>
      <c r="B48" t="s">
        <v>381</v>
      </c>
      <c r="C48">
        <v>6.8079999999999998</v>
      </c>
      <c r="D48">
        <v>10000000000</v>
      </c>
      <c r="E48" t="s">
        <v>371</v>
      </c>
      <c r="F48">
        <v>9</v>
      </c>
      <c r="G48" s="177" t="str">
        <f>VLOOKUP(A48,'Инвест политика'!$A$26:$H$130,8,FALSE)</f>
        <v>BB</v>
      </c>
      <c r="H48" s="177">
        <f t="shared" si="0"/>
        <v>2</v>
      </c>
    </row>
    <row r="49" spans="1:8" x14ac:dyDescent="0.25">
      <c r="A49" s="175" t="str">
        <f>'Инвест политика'!A72</f>
        <v>RU000A1023H7</v>
      </c>
      <c r="B49" t="s">
        <v>382</v>
      </c>
      <c r="C49">
        <v>1.905</v>
      </c>
      <c r="D49">
        <v>7000000000</v>
      </c>
      <c r="E49" t="s">
        <v>371</v>
      </c>
      <c r="F49" t="s">
        <v>408</v>
      </c>
      <c r="G49" s="177" t="str">
        <f>VLOOKUP(A49,'Инвест политика'!$A$26:$H$130,8,FALSE)</f>
        <v>A-</v>
      </c>
      <c r="H49" s="177" t="str">
        <f t="shared" si="0"/>
        <v>Ошибка, не численные значения</v>
      </c>
    </row>
    <row r="50" spans="1:8" x14ac:dyDescent="0.25">
      <c r="A50" s="175" t="str">
        <f>'Инвест политика'!A73</f>
        <v>RU000A102GY7</v>
      </c>
      <c r="B50" t="s">
        <v>383</v>
      </c>
      <c r="C50">
        <v>2.0990000000000002</v>
      </c>
      <c r="D50">
        <v>4000000000</v>
      </c>
      <c r="E50" t="s">
        <v>371</v>
      </c>
      <c r="F50">
        <v>7</v>
      </c>
      <c r="G50" s="177" t="str">
        <f>VLOOKUP(A50,'Инвест политика'!$A$26:$H$130,8,FALSE)</f>
        <v>BB+</v>
      </c>
      <c r="H50" s="177">
        <f t="shared" si="0"/>
        <v>2</v>
      </c>
    </row>
    <row r="51" spans="1:8" x14ac:dyDescent="0.25">
      <c r="A51" s="175" t="str">
        <f>'Инвест политика'!A74</f>
        <v>RU000A102RF3</v>
      </c>
      <c r="B51" t="s">
        <v>439</v>
      </c>
      <c r="C51">
        <v>2.2250000000000001</v>
      </c>
      <c r="D51">
        <v>5000000000</v>
      </c>
      <c r="E51" t="s">
        <v>371</v>
      </c>
      <c r="F51">
        <v>8</v>
      </c>
      <c r="G51" s="177" t="str">
        <f>VLOOKUP(A51,'Инвест политика'!$A$26:$H$130,8,FALSE)</f>
        <v>BB-</v>
      </c>
      <c r="H51" s="177">
        <f t="shared" si="0"/>
        <v>2</v>
      </c>
    </row>
    <row r="52" spans="1:8" x14ac:dyDescent="0.25">
      <c r="A52" s="175" t="str">
        <f>'Инвест политика'!A75</f>
        <v>RU000A0JW1P8</v>
      </c>
      <c r="B52" t="s">
        <v>667</v>
      </c>
      <c r="C52">
        <v>1.206</v>
      </c>
      <c r="D52">
        <v>4000000000</v>
      </c>
      <c r="E52" t="s">
        <v>371</v>
      </c>
      <c r="F52">
        <v>7</v>
      </c>
      <c r="G52" s="177" t="str">
        <f>VLOOKUP(A52,'Инвест политика'!$A$26:$H$130,8,FALSE)</f>
        <v>BB+</v>
      </c>
      <c r="H52" s="177">
        <f t="shared" si="0"/>
        <v>2</v>
      </c>
    </row>
    <row r="53" spans="1:8" x14ac:dyDescent="0.25">
      <c r="A53" s="175" t="str">
        <f>'Инвест политика'!A76</f>
        <v>RU000A0JV508</v>
      </c>
      <c r="B53" t="s">
        <v>372</v>
      </c>
      <c r="C53">
        <v>8.673</v>
      </c>
      <c r="D53">
        <v>104415654.42</v>
      </c>
      <c r="E53" t="s">
        <v>371</v>
      </c>
      <c r="F53" t="s">
        <v>408</v>
      </c>
      <c r="G53" s="177" t="str">
        <f>VLOOKUP(A53,'Инвест политика'!$A$26:$H$130,8,FALSE)</f>
        <v>BBB-</v>
      </c>
      <c r="H53" s="177" t="str">
        <f t="shared" si="0"/>
        <v>Ошибка, не численные значения</v>
      </c>
    </row>
    <row r="54" spans="1:8" x14ac:dyDescent="0.25">
      <c r="A54" s="175" t="str">
        <f>'Инвест политика'!A77</f>
        <v>RU000A0JWV63</v>
      </c>
      <c r="B54" t="s">
        <v>373</v>
      </c>
      <c r="C54">
        <v>3.6720000000000002</v>
      </c>
      <c r="D54">
        <v>5000000000</v>
      </c>
      <c r="E54" t="s">
        <v>371</v>
      </c>
      <c r="F54">
        <v>7</v>
      </c>
      <c r="G54" s="177" t="str">
        <f>VLOOKUP(A54,'Инвест политика'!$A$26:$H$130,8,FALSE)</f>
        <v>BB+</v>
      </c>
      <c r="H54" s="177">
        <f t="shared" si="0"/>
        <v>2</v>
      </c>
    </row>
    <row r="55" spans="1:8" x14ac:dyDescent="0.25">
      <c r="A55" s="175" t="str">
        <f>'Инвест политика'!A78</f>
        <v>RU000A0ZYNY4</v>
      </c>
      <c r="B55" t="s">
        <v>668</v>
      </c>
      <c r="C55">
        <v>7.4430000000000005</v>
      </c>
      <c r="D55">
        <v>10000000000</v>
      </c>
      <c r="E55" t="s">
        <v>371</v>
      </c>
      <c r="F55">
        <v>8</v>
      </c>
      <c r="G55" s="177" t="str">
        <f>VLOOKUP(A55,'Инвест политика'!$A$26:$H$130,8,FALSE)</f>
        <v>BB+</v>
      </c>
      <c r="H55" s="177">
        <f t="shared" si="0"/>
        <v>1</v>
      </c>
    </row>
    <row r="56" spans="1:8" x14ac:dyDescent="0.25">
      <c r="A56" s="175" t="str">
        <f>'Инвест политика'!A79</f>
        <v>RU000A0ZYR91</v>
      </c>
      <c r="B56" t="s">
        <v>669</v>
      </c>
      <c r="C56">
        <v>7.4720000000000004</v>
      </c>
      <c r="D56">
        <v>10000000000</v>
      </c>
      <c r="E56" t="s">
        <v>371</v>
      </c>
      <c r="F56">
        <v>9</v>
      </c>
      <c r="G56" s="177" t="str">
        <f>VLOOKUP(A56,'Инвест политика'!$A$26:$H$130,8,FALSE)</f>
        <v>BB+</v>
      </c>
      <c r="H56" s="177">
        <f t="shared" si="0"/>
        <v>1</v>
      </c>
    </row>
    <row r="57" spans="1:8" x14ac:dyDescent="0.25">
      <c r="A57" s="175" t="str">
        <f>'Инвест политика'!A80</f>
        <v>RU000A0JVUK8</v>
      </c>
      <c r="B57" t="s">
        <v>374</v>
      </c>
      <c r="C57">
        <v>0.53500000000000003</v>
      </c>
      <c r="D57">
        <v>5000000000</v>
      </c>
      <c r="E57" t="s">
        <v>371</v>
      </c>
      <c r="F57">
        <v>9</v>
      </c>
      <c r="G57" s="177" t="str">
        <f>VLOOKUP(A57,'Инвест политика'!$A$26:$H$130,8,FALSE)</f>
        <v>BB</v>
      </c>
      <c r="H57" s="177">
        <f t="shared" si="0"/>
        <v>2</v>
      </c>
    </row>
    <row r="58" spans="1:8" x14ac:dyDescent="0.25">
      <c r="A58" s="175" t="str">
        <f>'Инвест политика'!A81</f>
        <v>RU000A0ZZ1J8</v>
      </c>
      <c r="B58" t="s">
        <v>670</v>
      </c>
      <c r="C58">
        <v>7.7110000000000003</v>
      </c>
      <c r="D58">
        <v>10000000000</v>
      </c>
      <c r="E58" t="s">
        <v>371</v>
      </c>
      <c r="F58">
        <v>9</v>
      </c>
      <c r="G58" s="177" t="str">
        <f>VLOOKUP(A58,'Инвест политика'!$A$26:$H$130,8,FALSE)</f>
        <v>BB+</v>
      </c>
      <c r="H58" s="177">
        <f t="shared" si="0"/>
        <v>1</v>
      </c>
    </row>
    <row r="59" spans="1:8" x14ac:dyDescent="0.25">
      <c r="A59" s="175" t="str">
        <f>'Инвест политика'!A82</f>
        <v>RU000A0JWYQ5</v>
      </c>
      <c r="B59" t="s">
        <v>375</v>
      </c>
      <c r="C59">
        <v>4.3369999999999997</v>
      </c>
      <c r="D59">
        <v>6500000000</v>
      </c>
      <c r="E59" t="s">
        <v>371</v>
      </c>
      <c r="F59">
        <v>9</v>
      </c>
      <c r="G59" s="177" t="str">
        <f>VLOOKUP(A59,'Инвест политика'!$A$26:$H$130,8,FALSE)</f>
        <v>BB</v>
      </c>
      <c r="H59" s="177">
        <f t="shared" si="0"/>
        <v>2</v>
      </c>
    </row>
    <row r="60" spans="1:8" x14ac:dyDescent="0.25">
      <c r="A60" s="175" t="str">
        <f>'Инвест политика'!A83</f>
        <v>RU000A0JVA10</v>
      </c>
      <c r="B60" t="s">
        <v>671</v>
      </c>
      <c r="C60">
        <v>1.8540000000000001</v>
      </c>
      <c r="D60">
        <v>5000000000</v>
      </c>
      <c r="E60" t="s">
        <v>371</v>
      </c>
      <c r="F60">
        <v>8</v>
      </c>
      <c r="G60" s="177" t="str">
        <f>VLOOKUP(A60,'Инвест политика'!$A$26:$H$130,8,FALSE)</f>
        <v>BB+</v>
      </c>
      <c r="H60" s="177">
        <f t="shared" si="0"/>
        <v>1</v>
      </c>
    </row>
    <row r="61" spans="1:8" x14ac:dyDescent="0.25">
      <c r="A61" s="175" t="str">
        <f>'Инвест политика'!A84</f>
        <v>RU000A0JVVA7</v>
      </c>
      <c r="B61" t="s">
        <v>384</v>
      </c>
      <c r="C61">
        <v>0.98799999999999999</v>
      </c>
      <c r="D61">
        <v>9000000000</v>
      </c>
      <c r="E61" t="s">
        <v>371</v>
      </c>
      <c r="F61">
        <v>8</v>
      </c>
      <c r="G61" s="177" t="str">
        <f>VLOOKUP(A61,'Инвест политика'!$A$26:$H$130,8,FALSE)</f>
        <v>BBB</v>
      </c>
      <c r="H61" s="177">
        <f t="shared" si="0"/>
        <v>1</v>
      </c>
    </row>
    <row r="62" spans="1:8" x14ac:dyDescent="0.25">
      <c r="A62" s="175" t="str">
        <f>'Инвест политика'!A85</f>
        <v>RU000A0JTVJ2</v>
      </c>
      <c r="B62" t="s">
        <v>385</v>
      </c>
      <c r="C62">
        <v>0.55500000000000005</v>
      </c>
      <c r="D62">
        <v>10000000000</v>
      </c>
      <c r="E62" t="s">
        <v>371</v>
      </c>
      <c r="F62">
        <v>8</v>
      </c>
      <c r="G62" s="177" t="str">
        <f>VLOOKUP(A62,'Инвест политика'!$A$26:$H$130,8,FALSE)</f>
        <v>BB+</v>
      </c>
      <c r="H62" s="177">
        <f t="shared" si="0"/>
        <v>1</v>
      </c>
    </row>
    <row r="63" spans="1:8" x14ac:dyDescent="0.25">
      <c r="A63" s="175" t="str">
        <f>'Инвест политика'!A86</f>
        <v>RU000A100VX2</v>
      </c>
      <c r="B63" t="s">
        <v>386</v>
      </c>
      <c r="C63">
        <v>5.8790000000000004</v>
      </c>
      <c r="D63">
        <v>7000000000</v>
      </c>
      <c r="E63" t="s">
        <v>371</v>
      </c>
      <c r="F63">
        <v>7</v>
      </c>
      <c r="G63" s="177" t="str">
        <f>VLOOKUP(A63,'Инвест политика'!$A$26:$H$130,8,FALSE)</f>
        <v>BBB-</v>
      </c>
      <c r="H63" s="177">
        <f t="shared" si="0"/>
        <v>2</v>
      </c>
    </row>
    <row r="64" spans="1:8" x14ac:dyDescent="0.25">
      <c r="A64" s="175" t="str">
        <f>'Инвест политика'!A87</f>
        <v>RU000A1008V9</v>
      </c>
      <c r="B64" t="s">
        <v>387</v>
      </c>
      <c r="C64">
        <v>0</v>
      </c>
      <c r="D64">
        <v>13400000000</v>
      </c>
      <c r="E64" t="s">
        <v>371</v>
      </c>
      <c r="F64">
        <v>8</v>
      </c>
      <c r="G64" s="177" t="str">
        <f>VLOOKUP(A64,'Инвест политика'!$A$26:$H$130,8,FALSE)</f>
        <v>BBB</v>
      </c>
      <c r="H64" s="177">
        <f t="shared" si="0"/>
        <v>2</v>
      </c>
    </row>
    <row r="65" spans="1:8" x14ac:dyDescent="0.25">
      <c r="A65" s="175" t="str">
        <f>'Инвест политика'!A88</f>
        <v>RU000A0JXVE5</v>
      </c>
      <c r="B65" t="s">
        <v>377</v>
      </c>
      <c r="C65">
        <v>0.77900000000000003</v>
      </c>
      <c r="D65">
        <v>20000000000</v>
      </c>
      <c r="E65" t="s">
        <v>371</v>
      </c>
      <c r="F65">
        <v>9</v>
      </c>
      <c r="G65" s="177" t="str">
        <f>VLOOKUP(A65,'Инвест политика'!$A$26:$H$130,8,FALSE)</f>
        <v>BB+</v>
      </c>
      <c r="H65" s="177">
        <f t="shared" si="0"/>
        <v>1</v>
      </c>
    </row>
    <row r="66" spans="1:8" x14ac:dyDescent="0.25">
      <c r="A66" s="175" t="str">
        <f>'Инвест политика'!A89</f>
        <v>RU000A101D13</v>
      </c>
      <c r="B66" t="s">
        <v>388</v>
      </c>
      <c r="C66">
        <v>1.3109999999999999</v>
      </c>
      <c r="D66">
        <v>10000000000</v>
      </c>
      <c r="E66" t="s">
        <v>371</v>
      </c>
      <c r="F66">
        <v>8</v>
      </c>
      <c r="G66" s="177" t="str">
        <f>VLOOKUP(A66,'Инвест политика'!$A$26:$H$130,8,FALSE)</f>
        <v>BB-</v>
      </c>
      <c r="H66" s="177">
        <f t="shared" si="0"/>
        <v>2</v>
      </c>
    </row>
    <row r="67" spans="1:8" x14ac:dyDescent="0.25">
      <c r="A67" s="175" t="str">
        <f>'Инвест политика'!A90</f>
        <v>RU000A0JX1S1</v>
      </c>
      <c r="B67" t="s">
        <v>389</v>
      </c>
      <c r="C67">
        <v>1.1919999999999999</v>
      </c>
      <c r="D67">
        <v>15000000000</v>
      </c>
      <c r="E67" t="s">
        <v>371</v>
      </c>
      <c r="F67">
        <v>9</v>
      </c>
      <c r="G67" s="177" t="str">
        <f>VLOOKUP(A67,'Инвест политика'!$A$26:$H$130,8,FALSE)</f>
        <v>BBB</v>
      </c>
      <c r="H67" s="177">
        <f t="shared" si="0"/>
        <v>1</v>
      </c>
    </row>
    <row r="68" spans="1:8" x14ac:dyDescent="0.25">
      <c r="A68" s="175" t="str">
        <f>'Инвест политика'!A91</f>
        <v>RU000A101KK0</v>
      </c>
      <c r="B68" t="s">
        <v>390</v>
      </c>
      <c r="C68">
        <v>2.3029999999999999</v>
      </c>
      <c r="D68">
        <v>6500000000</v>
      </c>
      <c r="E68" t="s">
        <v>371</v>
      </c>
      <c r="F68">
        <v>8</v>
      </c>
      <c r="G68" s="177" t="str">
        <f>VLOOKUP(A68,'Инвест политика'!$A$26:$H$130,8,FALSE)</f>
        <v>BBB</v>
      </c>
      <c r="H68" s="177">
        <f t="shared" ref="H68:H131" si="1">Эшелонирование(F68,G68,C68)</f>
        <v>1</v>
      </c>
    </row>
    <row r="69" spans="1:8" x14ac:dyDescent="0.25">
      <c r="A69" s="175" t="str">
        <f>'Инвест политика'!A92</f>
        <v>XS1946883342</v>
      </c>
      <c r="B69" t="s">
        <v>391</v>
      </c>
      <c r="C69">
        <v>0.86399999999999999</v>
      </c>
      <c r="D69">
        <v>10000000000</v>
      </c>
      <c r="E69" t="s">
        <v>371</v>
      </c>
      <c r="F69">
        <v>8</v>
      </c>
      <c r="G69" s="177" t="str">
        <f>VLOOKUP(A69,'Инвест политика'!$A$26:$H$130,8,FALSE)</f>
        <v>BB+</v>
      </c>
      <c r="H69" s="177">
        <f t="shared" si="1"/>
        <v>1</v>
      </c>
    </row>
    <row r="70" spans="1:8" x14ac:dyDescent="0.25">
      <c r="A70" s="175" t="str">
        <f>'Инвест политика'!A93</f>
        <v>RU000A101MZ4</v>
      </c>
      <c r="B70" t="s">
        <v>379</v>
      </c>
      <c r="C70">
        <v>1.58</v>
      </c>
      <c r="D70">
        <v>7000000000</v>
      </c>
      <c r="E70" t="s">
        <v>371</v>
      </c>
      <c r="F70">
        <v>6</v>
      </c>
      <c r="G70" s="177" t="str">
        <f>VLOOKUP(A70,'Инвест политика'!$A$26:$H$130,8,FALSE)</f>
        <v>A-</v>
      </c>
      <c r="H70" s="177">
        <f t="shared" si="1"/>
        <v>3</v>
      </c>
    </row>
    <row r="71" spans="1:8" x14ac:dyDescent="0.25">
      <c r="A71" s="175" t="str">
        <f>'Инвест политика'!A94</f>
        <v>RU000A101S81</v>
      </c>
      <c r="B71" t="s">
        <v>392</v>
      </c>
      <c r="C71">
        <v>6.6760000000000002</v>
      </c>
      <c r="D71">
        <v>10000000000</v>
      </c>
      <c r="E71" t="s">
        <v>371</v>
      </c>
      <c r="F71">
        <v>8</v>
      </c>
      <c r="G71" s="177" t="str">
        <f>VLOOKUP(A71,'Инвест политика'!$A$26:$H$130,8,FALSE)</f>
        <v>BB-</v>
      </c>
      <c r="H71" s="177">
        <f t="shared" si="1"/>
        <v>2</v>
      </c>
    </row>
    <row r="72" spans="1:8" x14ac:dyDescent="0.25">
      <c r="A72" s="175" t="str">
        <f>'Инвест политика'!A95</f>
        <v>RU000A0ZZZN8</v>
      </c>
      <c r="B72" t="s">
        <v>380</v>
      </c>
      <c r="C72">
        <v>0.25700000000000001</v>
      </c>
      <c r="D72">
        <v>1200000000</v>
      </c>
      <c r="E72" t="s">
        <v>371</v>
      </c>
      <c r="F72">
        <v>8</v>
      </c>
      <c r="G72" s="177" t="str">
        <f>VLOOKUP(A72,'Инвест политика'!$A$26:$H$130,8,FALSE)</f>
        <v>BB+</v>
      </c>
      <c r="H72" s="177">
        <f t="shared" si="1"/>
        <v>1</v>
      </c>
    </row>
    <row r="73" spans="1:8" x14ac:dyDescent="0.25">
      <c r="A73" s="175" t="str">
        <f>'Инвест политика'!A96</f>
        <v>XS1691350455</v>
      </c>
      <c r="B73" t="s">
        <v>393</v>
      </c>
      <c r="C73">
        <v>0.74199999999999999</v>
      </c>
      <c r="D73">
        <v>20000000000</v>
      </c>
      <c r="E73" t="s">
        <v>371</v>
      </c>
      <c r="F73">
        <v>10</v>
      </c>
      <c r="G73" s="177" t="str">
        <f>VLOOKUP(A73,'Инвест политика'!$A$26:$H$130,8,FALSE)</f>
        <v>BBB-</v>
      </c>
      <c r="H73" s="177">
        <f t="shared" si="1"/>
        <v>1</v>
      </c>
    </row>
    <row r="74" spans="1:8" x14ac:dyDescent="0.25">
      <c r="A74" s="175" t="str">
        <f>'Инвест политика'!A97</f>
        <v>RU000A0JTLJ3</v>
      </c>
      <c r="B74" t="s">
        <v>394</v>
      </c>
      <c r="C74">
        <v>1.3080000000000001</v>
      </c>
      <c r="D74">
        <v>5000000000</v>
      </c>
      <c r="E74" t="s">
        <v>371</v>
      </c>
      <c r="F74">
        <v>8</v>
      </c>
      <c r="G74" s="177" t="str">
        <f>VLOOKUP(A74,'Инвест политика'!$A$26:$H$130,8,FALSE)</f>
        <v>BB+</v>
      </c>
      <c r="H74" s="177">
        <f t="shared" si="1"/>
        <v>1</v>
      </c>
    </row>
    <row r="75" spans="1:8" x14ac:dyDescent="0.25">
      <c r="A75" s="175" t="str">
        <f>'Инвест политика'!A98</f>
        <v>RU000A0JTLL9</v>
      </c>
      <c r="B75" t="s">
        <v>394</v>
      </c>
      <c r="C75">
        <v>1.3069999999999999</v>
      </c>
      <c r="D75">
        <v>5000000000</v>
      </c>
      <c r="E75" t="s">
        <v>371</v>
      </c>
      <c r="F75">
        <v>8</v>
      </c>
      <c r="G75" s="177" t="str">
        <f>VLOOKUP(A75,'Инвест политика'!$A$26:$H$130,8,FALSE)</f>
        <v>BB+</v>
      </c>
      <c r="H75" s="177">
        <f t="shared" si="1"/>
        <v>1</v>
      </c>
    </row>
    <row r="76" spans="1:8" x14ac:dyDescent="0.25">
      <c r="A76" s="175" t="str">
        <f>'Инвест политика'!A99</f>
        <v>RU000A102Y58</v>
      </c>
      <c r="B76" t="s">
        <v>469</v>
      </c>
      <c r="C76">
        <v>2.2429999999999999</v>
      </c>
      <c r="D76">
        <v>6000000000</v>
      </c>
      <c r="E76" t="s">
        <v>371</v>
      </c>
      <c r="F76">
        <v>6</v>
      </c>
      <c r="G76" s="177" t="str">
        <f>VLOOKUP(A76,'Инвест политика'!$A$26:$H$130,8,FALSE)</f>
        <v>BB-</v>
      </c>
      <c r="H76" s="177">
        <f t="shared" si="1"/>
        <v>2</v>
      </c>
    </row>
    <row r="77" spans="1:8" x14ac:dyDescent="0.25">
      <c r="A77" s="175" t="str">
        <f>'Инвест политика'!A100</f>
        <v>RU000A0JS5R1</v>
      </c>
      <c r="B77" t="s">
        <v>470</v>
      </c>
      <c r="C77">
        <v>0.499</v>
      </c>
      <c r="D77">
        <v>5000000000</v>
      </c>
      <c r="E77" t="s">
        <v>371</v>
      </c>
      <c r="F77">
        <v>6</v>
      </c>
      <c r="G77" s="177" t="str">
        <f>VLOOKUP(A77,'Инвест политика'!$A$26:$H$130,8,FALSE)</f>
        <v>B-</v>
      </c>
      <c r="H77" s="177">
        <f t="shared" si="1"/>
        <v>3</v>
      </c>
    </row>
    <row r="78" spans="1:8" x14ac:dyDescent="0.25">
      <c r="A78" s="175" t="str">
        <f>'Инвест политика'!A101</f>
        <v>RU000A0JS603</v>
      </c>
      <c r="B78" t="s">
        <v>471</v>
      </c>
      <c r="C78">
        <v>0.88600000000000001</v>
      </c>
      <c r="D78">
        <v>5000000000</v>
      </c>
      <c r="E78" t="s">
        <v>371</v>
      </c>
      <c r="F78">
        <v>8</v>
      </c>
      <c r="G78" s="177" t="str">
        <f>VLOOKUP(A78,'Инвест политика'!$A$26:$H$130,8,FALSE)</f>
        <v>B-</v>
      </c>
      <c r="H78" s="177">
        <f t="shared" si="1"/>
        <v>1</v>
      </c>
    </row>
    <row r="79" spans="1:8" x14ac:dyDescent="0.25">
      <c r="A79" s="175" t="str">
        <f>'Инвест политика'!A102</f>
        <v>RU000A0JXSF8</v>
      </c>
      <c r="B79" t="s">
        <v>482</v>
      </c>
      <c r="C79">
        <v>4.6059999999999999</v>
      </c>
      <c r="D79">
        <v>10000000000</v>
      </c>
      <c r="E79" t="s">
        <v>371</v>
      </c>
      <c r="F79">
        <v>7</v>
      </c>
      <c r="G79" s="177" t="str">
        <f>VLOOKUP(A79,'Инвест политика'!$A$26:$H$130,8,FALSE)</f>
        <v>B+</v>
      </c>
      <c r="H79" s="177">
        <f t="shared" si="1"/>
        <v>3</v>
      </c>
    </row>
    <row r="80" spans="1:8" x14ac:dyDescent="0.25">
      <c r="A80" s="175" t="str">
        <f>'Инвест политика'!A103</f>
        <v>RU000A0ZYZ26</v>
      </c>
      <c r="B80" t="s">
        <v>395</v>
      </c>
      <c r="C80">
        <v>5.9160000000000004</v>
      </c>
      <c r="D80">
        <v>276950000000</v>
      </c>
      <c r="E80" t="s">
        <v>371</v>
      </c>
      <c r="F80">
        <v>8</v>
      </c>
      <c r="G80" s="177" t="str">
        <f>VLOOKUP(A80,'Инвест политика'!$A$26:$H$130,8,FALSE)</f>
        <v>BBB-</v>
      </c>
      <c r="H80" s="177">
        <f t="shared" si="1"/>
        <v>1</v>
      </c>
    </row>
    <row r="81" spans="1:8" x14ac:dyDescent="0.25">
      <c r="A81" s="175" t="str">
        <f>'Инвест политика'!A104</f>
        <v>RU000A1014N4</v>
      </c>
      <c r="B81" t="s">
        <v>397</v>
      </c>
      <c r="C81">
        <v>5.0149999999999997</v>
      </c>
      <c r="D81">
        <v>450000000000</v>
      </c>
      <c r="E81" t="s">
        <v>371</v>
      </c>
      <c r="F81">
        <v>9</v>
      </c>
      <c r="G81" s="177" t="str">
        <f>VLOOKUP(A81,'Инвест политика'!$A$26:$H$130,8,FALSE)</f>
        <v>BBB-</v>
      </c>
      <c r="H81" s="177">
        <f t="shared" si="1"/>
        <v>1</v>
      </c>
    </row>
    <row r="82" spans="1:8" x14ac:dyDescent="0.25">
      <c r="A82" s="175" t="str">
        <f>'Инвест политика'!A105</f>
        <v>RU000A0JV4M0</v>
      </c>
      <c r="B82" t="s">
        <v>672</v>
      </c>
      <c r="C82">
        <v>4.6639999999999997</v>
      </c>
      <c r="D82">
        <v>190287001000</v>
      </c>
      <c r="E82" t="s">
        <v>371</v>
      </c>
      <c r="F82">
        <v>9</v>
      </c>
      <c r="G82" s="177" t="str">
        <f>VLOOKUP(A82,'Инвест политика'!$A$26:$H$130,8,FALSE)</f>
        <v>BBB-</v>
      </c>
      <c r="H82" s="177">
        <f t="shared" si="1"/>
        <v>1</v>
      </c>
    </row>
    <row r="83" spans="1:8" x14ac:dyDescent="0.25">
      <c r="A83" s="175" t="str">
        <f>'Инвест политика'!A106</f>
        <v>BANEP</v>
      </c>
      <c r="B83" t="s">
        <v>403</v>
      </c>
      <c r="C83" t="s">
        <v>666</v>
      </c>
      <c r="D83" t="s">
        <v>404</v>
      </c>
      <c r="E83" t="s">
        <v>405</v>
      </c>
      <c r="F83" t="s">
        <v>406</v>
      </c>
      <c r="G83" s="177">
        <f>VLOOKUP(A83,'Инвест политика'!$A$26:$H$130,8,FALSE)</f>
        <v>0</v>
      </c>
      <c r="H83" s="177" t="str">
        <f t="shared" si="1"/>
        <v>Ошибка, не численные значения</v>
      </c>
    </row>
    <row r="84" spans="1:8" x14ac:dyDescent="0.25">
      <c r="A84" s="175" t="str">
        <f>'Инвест политика'!A107</f>
        <v>RU000A102CL3</v>
      </c>
      <c r="B84" t="s">
        <v>398</v>
      </c>
      <c r="C84">
        <v>10.051</v>
      </c>
      <c r="D84">
        <v>1250000000</v>
      </c>
      <c r="E84" t="s">
        <v>350</v>
      </c>
      <c r="F84">
        <v>9</v>
      </c>
      <c r="G84" s="177" t="str">
        <f>VLOOKUP(A84,'Инвест политика'!$A$26:$H$130,8,FALSE)</f>
        <v>BBB-</v>
      </c>
      <c r="H84" s="177">
        <f t="shared" si="1"/>
        <v>1</v>
      </c>
    </row>
    <row r="85" spans="1:8" x14ac:dyDescent="0.25">
      <c r="A85" s="175" t="str">
        <f>'Инвест политика'!A108</f>
        <v>RU000A102CL3</v>
      </c>
      <c r="B85" t="s">
        <v>398</v>
      </c>
      <c r="C85">
        <v>10.051</v>
      </c>
      <c r="D85">
        <v>1250000000</v>
      </c>
      <c r="E85" t="s">
        <v>350</v>
      </c>
      <c r="F85">
        <v>9</v>
      </c>
      <c r="G85" s="177" t="str">
        <f>VLOOKUP(A85,'Инвест политика'!$A$26:$H$130,8,FALSE)</f>
        <v>BBB-</v>
      </c>
      <c r="H85" s="177">
        <f t="shared" si="1"/>
        <v>1</v>
      </c>
    </row>
    <row r="86" spans="1:8" x14ac:dyDescent="0.25">
      <c r="A86" s="175">
        <f>'Инвест политика'!A109</f>
        <v>0</v>
      </c>
      <c r="B86" t="s">
        <v>411</v>
      </c>
      <c r="C86" t="s">
        <v>666</v>
      </c>
      <c r="D86">
        <v>0</v>
      </c>
      <c r="E86" t="s">
        <v>371</v>
      </c>
      <c r="F86" t="s">
        <v>408</v>
      </c>
      <c r="G86" s="177" t="e">
        <f>VLOOKUP(A86,'Инвест политика'!$A$26:$H$130,8,FALSE)</f>
        <v>#N/A</v>
      </c>
      <c r="H86" s="177" t="str">
        <f t="shared" si="1"/>
        <v>Ошибка, не численные значения</v>
      </c>
    </row>
    <row r="87" spans="1:8" x14ac:dyDescent="0.25">
      <c r="A87" s="175">
        <f>'Инвест политика'!A110</f>
        <v>0</v>
      </c>
      <c r="B87" t="s">
        <v>411</v>
      </c>
      <c r="C87" t="s">
        <v>666</v>
      </c>
      <c r="D87">
        <v>0</v>
      </c>
      <c r="E87" t="s">
        <v>371</v>
      </c>
      <c r="F87" t="s">
        <v>408</v>
      </c>
      <c r="G87" s="177" t="e">
        <f>VLOOKUP(A87,'Инвест политика'!$A$26:$H$130,8,FALSE)</f>
        <v>#N/A</v>
      </c>
      <c r="H87" s="177" t="str">
        <f t="shared" si="1"/>
        <v>Ошибка, не численные значения</v>
      </c>
    </row>
    <row r="88" spans="1:8" x14ac:dyDescent="0.25">
      <c r="A88" s="175">
        <f>'Инвест политика'!A111</f>
        <v>0</v>
      </c>
      <c r="B88" t="s">
        <v>411</v>
      </c>
      <c r="C88" t="s">
        <v>666</v>
      </c>
      <c r="D88">
        <v>0</v>
      </c>
      <c r="E88" t="s">
        <v>371</v>
      </c>
      <c r="F88" t="s">
        <v>408</v>
      </c>
      <c r="G88" s="177" t="e">
        <f>VLOOKUP(A88,'Инвест политика'!$A$26:$H$130,8,FALSE)</f>
        <v>#N/A</v>
      </c>
      <c r="H88" s="177" t="str">
        <f t="shared" si="1"/>
        <v>Ошибка, не численные значения</v>
      </c>
    </row>
    <row r="89" spans="1:8" x14ac:dyDescent="0.25">
      <c r="A89" s="175">
        <f>'Инвест политика'!A112</f>
        <v>0</v>
      </c>
      <c r="B89" t="s">
        <v>411</v>
      </c>
      <c r="C89" t="s">
        <v>666</v>
      </c>
      <c r="D89">
        <v>0</v>
      </c>
      <c r="E89" t="s">
        <v>371</v>
      </c>
      <c r="F89" t="s">
        <v>408</v>
      </c>
      <c r="G89" s="177" t="e">
        <f>VLOOKUP(A89,'Инвест политика'!$A$26:$H$130,8,FALSE)</f>
        <v>#N/A</v>
      </c>
      <c r="H89" s="177" t="str">
        <f t="shared" si="1"/>
        <v>Ошибка, не численные значения</v>
      </c>
    </row>
    <row r="90" spans="1:8" x14ac:dyDescent="0.25">
      <c r="A90" s="175">
        <f>'Инвест политика'!A113</f>
        <v>0</v>
      </c>
      <c r="B90" t="s">
        <v>411</v>
      </c>
      <c r="C90" t="s">
        <v>666</v>
      </c>
      <c r="D90">
        <v>0</v>
      </c>
      <c r="E90" t="s">
        <v>371</v>
      </c>
      <c r="F90" t="s">
        <v>408</v>
      </c>
      <c r="G90" s="177" t="e">
        <f>VLOOKUP(A90,'Инвест политика'!$A$26:$H$130,8,FALSE)</f>
        <v>#N/A</v>
      </c>
      <c r="H90" s="177" t="str">
        <f t="shared" si="1"/>
        <v>Ошибка, не численные значения</v>
      </c>
    </row>
    <row r="91" spans="1:8" x14ac:dyDescent="0.25">
      <c r="A91" s="175">
        <f>'Инвест политика'!A114</f>
        <v>0</v>
      </c>
      <c r="B91" t="s">
        <v>411</v>
      </c>
      <c r="C91" t="s">
        <v>666</v>
      </c>
      <c r="D91">
        <v>0</v>
      </c>
      <c r="E91" t="s">
        <v>371</v>
      </c>
      <c r="F91" t="s">
        <v>408</v>
      </c>
      <c r="G91" s="177" t="e">
        <f>VLOOKUP(A91,'Инвест политика'!$A$26:$H$130,8,FALSE)</f>
        <v>#N/A</v>
      </c>
      <c r="H91" s="177" t="str">
        <f t="shared" si="1"/>
        <v>Ошибка, не численные значения</v>
      </c>
    </row>
    <row r="92" spans="1:8" x14ac:dyDescent="0.25">
      <c r="A92" s="175">
        <f>'Инвест политика'!A115</f>
        <v>0</v>
      </c>
      <c r="B92" t="s">
        <v>411</v>
      </c>
      <c r="C92" t="s">
        <v>666</v>
      </c>
      <c r="D92">
        <v>0</v>
      </c>
      <c r="E92" t="s">
        <v>371</v>
      </c>
      <c r="F92" t="s">
        <v>408</v>
      </c>
      <c r="G92" s="177" t="e">
        <f>VLOOKUP(A92,'Инвест политика'!$A$26:$H$130,8,FALSE)</f>
        <v>#N/A</v>
      </c>
      <c r="H92" s="177" t="str">
        <f t="shared" si="1"/>
        <v>Ошибка, не численные значения</v>
      </c>
    </row>
    <row r="93" spans="1:8" x14ac:dyDescent="0.25">
      <c r="A93" s="175">
        <f>'Инвест политика'!A116</f>
        <v>0</v>
      </c>
      <c r="B93" t="s">
        <v>411</v>
      </c>
      <c r="C93" t="s">
        <v>666</v>
      </c>
      <c r="D93">
        <v>0</v>
      </c>
      <c r="E93" t="s">
        <v>371</v>
      </c>
      <c r="F93" t="s">
        <v>408</v>
      </c>
      <c r="G93" s="177" t="e">
        <f>VLOOKUP(A93,'Инвест политика'!$A$26:$H$130,8,FALSE)</f>
        <v>#N/A</v>
      </c>
      <c r="H93" s="177" t="str">
        <f t="shared" si="1"/>
        <v>Ошибка, не численные значения</v>
      </c>
    </row>
    <row r="94" spans="1:8" x14ac:dyDescent="0.25">
      <c r="A94" s="175">
        <f>'Инвест политика'!A117</f>
        <v>0</v>
      </c>
      <c r="B94" t="s">
        <v>411</v>
      </c>
      <c r="C94" t="s">
        <v>666</v>
      </c>
      <c r="D94">
        <v>0</v>
      </c>
      <c r="E94" t="s">
        <v>371</v>
      </c>
      <c r="F94" t="s">
        <v>408</v>
      </c>
      <c r="G94" s="177" t="e">
        <f>VLOOKUP(A94,'Инвест политика'!$A$26:$H$130,8,FALSE)</f>
        <v>#N/A</v>
      </c>
      <c r="H94" s="177" t="str">
        <f t="shared" si="1"/>
        <v>Ошибка, не численные значения</v>
      </c>
    </row>
    <row r="95" spans="1:8" x14ac:dyDescent="0.25">
      <c r="A95" s="175">
        <f>'Инвест политика'!A118</f>
        <v>0</v>
      </c>
      <c r="B95" t="s">
        <v>411</v>
      </c>
      <c r="C95" t="s">
        <v>666</v>
      </c>
      <c r="D95">
        <v>0</v>
      </c>
      <c r="E95" t="s">
        <v>371</v>
      </c>
      <c r="F95" t="s">
        <v>408</v>
      </c>
      <c r="G95" s="177" t="e">
        <f>VLOOKUP(A95,'Инвест политика'!$A$26:$H$130,8,FALSE)</f>
        <v>#N/A</v>
      </c>
      <c r="H95" s="177" t="str">
        <f t="shared" si="1"/>
        <v>Ошибка, не численные значения</v>
      </c>
    </row>
    <row r="96" spans="1:8" x14ac:dyDescent="0.25">
      <c r="A96" s="175">
        <f>'Инвест политика'!A119</f>
        <v>0</v>
      </c>
      <c r="B96" t="s">
        <v>411</v>
      </c>
      <c r="C96" t="s">
        <v>666</v>
      </c>
      <c r="D96">
        <v>0</v>
      </c>
      <c r="E96" t="s">
        <v>371</v>
      </c>
      <c r="F96" t="s">
        <v>408</v>
      </c>
      <c r="G96" s="177" t="e">
        <f>VLOOKUP(A96,'Инвест политика'!$A$26:$H$130,8,FALSE)</f>
        <v>#N/A</v>
      </c>
      <c r="H96" s="177" t="str">
        <f t="shared" si="1"/>
        <v>Ошибка, не численные значения</v>
      </c>
    </row>
    <row r="97" spans="1:8" x14ac:dyDescent="0.25">
      <c r="A97" s="175">
        <f>'Инвест политика'!A120</f>
        <v>0</v>
      </c>
      <c r="B97" t="s">
        <v>411</v>
      </c>
      <c r="C97" t="s">
        <v>666</v>
      </c>
      <c r="D97">
        <v>0</v>
      </c>
      <c r="E97" t="s">
        <v>371</v>
      </c>
      <c r="F97" t="s">
        <v>408</v>
      </c>
      <c r="G97" s="177" t="e">
        <f>VLOOKUP(A97,'Инвест политика'!$A$26:$H$130,8,FALSE)</f>
        <v>#N/A</v>
      </c>
      <c r="H97" s="177" t="str">
        <f t="shared" si="1"/>
        <v>Ошибка, не численные значения</v>
      </c>
    </row>
    <row r="98" spans="1:8" x14ac:dyDescent="0.25">
      <c r="A98" s="175">
        <f>'Инвест политика'!A121</f>
        <v>0</v>
      </c>
      <c r="B98" t="s">
        <v>411</v>
      </c>
      <c r="C98" t="s">
        <v>666</v>
      </c>
      <c r="D98">
        <v>0</v>
      </c>
      <c r="E98" t="s">
        <v>371</v>
      </c>
      <c r="F98" t="s">
        <v>408</v>
      </c>
      <c r="G98" s="177" t="e">
        <f>VLOOKUP(A98,'Инвест политика'!$A$26:$H$130,8,FALSE)</f>
        <v>#N/A</v>
      </c>
      <c r="H98" s="177" t="str">
        <f t="shared" si="1"/>
        <v>Ошибка, не численные значения</v>
      </c>
    </row>
    <row r="99" spans="1:8" x14ac:dyDescent="0.25">
      <c r="A99" s="175">
        <f>'Инвест политика'!A122</f>
        <v>0</v>
      </c>
      <c r="B99" t="s">
        <v>411</v>
      </c>
      <c r="C99" t="s">
        <v>666</v>
      </c>
      <c r="D99">
        <v>0</v>
      </c>
      <c r="E99" t="s">
        <v>371</v>
      </c>
      <c r="F99" t="s">
        <v>408</v>
      </c>
      <c r="G99" s="177" t="e">
        <f>VLOOKUP(A99,'Инвест политика'!$A$26:$H$130,8,FALSE)</f>
        <v>#N/A</v>
      </c>
      <c r="H99" s="177" t="str">
        <f t="shared" si="1"/>
        <v>Ошибка, не численные значения</v>
      </c>
    </row>
    <row r="100" spans="1:8" x14ac:dyDescent="0.25">
      <c r="A100" s="175">
        <f>'Инвест политика'!A123</f>
        <v>0</v>
      </c>
      <c r="B100" t="s">
        <v>411</v>
      </c>
      <c r="C100" t="s">
        <v>666</v>
      </c>
      <c r="D100">
        <v>0</v>
      </c>
      <c r="E100" t="s">
        <v>371</v>
      </c>
      <c r="F100" t="s">
        <v>408</v>
      </c>
      <c r="G100" s="177" t="e">
        <f>VLOOKUP(A100,'Инвест политика'!$A$26:$H$130,8,FALSE)</f>
        <v>#N/A</v>
      </c>
      <c r="H100" s="177" t="str">
        <f t="shared" si="1"/>
        <v>Ошибка, не численные значения</v>
      </c>
    </row>
    <row r="101" spans="1:8" x14ac:dyDescent="0.25">
      <c r="A101" s="175">
        <f>'Инвест политика'!A124</f>
        <v>0</v>
      </c>
      <c r="B101" t="s">
        <v>411</v>
      </c>
      <c r="C101" t="s">
        <v>666</v>
      </c>
      <c r="D101">
        <v>0</v>
      </c>
      <c r="E101" t="s">
        <v>371</v>
      </c>
      <c r="F101" t="s">
        <v>408</v>
      </c>
      <c r="G101" s="177" t="e">
        <f>VLOOKUP(A101,'Инвест политика'!$A$26:$H$130,8,FALSE)</f>
        <v>#N/A</v>
      </c>
      <c r="H101" s="177" t="str">
        <f t="shared" si="1"/>
        <v>Ошибка, не численные значения</v>
      </c>
    </row>
    <row r="102" spans="1:8" x14ac:dyDescent="0.25">
      <c r="A102" s="175">
        <f>'Инвест политика'!A125</f>
        <v>0</v>
      </c>
      <c r="B102" t="s">
        <v>411</v>
      </c>
      <c r="C102" t="s">
        <v>666</v>
      </c>
      <c r="D102">
        <v>0</v>
      </c>
      <c r="E102" t="s">
        <v>371</v>
      </c>
      <c r="F102" t="s">
        <v>408</v>
      </c>
      <c r="G102" s="177" t="e">
        <f>VLOOKUP(A102,'Инвест политика'!$A$26:$H$130,8,FALSE)</f>
        <v>#N/A</v>
      </c>
      <c r="H102" s="177" t="str">
        <f t="shared" si="1"/>
        <v>Ошибка, не численные значения</v>
      </c>
    </row>
    <row r="103" spans="1:8" x14ac:dyDescent="0.25">
      <c r="A103" s="175">
        <f>'Инвест политика'!A126</f>
        <v>0</v>
      </c>
      <c r="B103" t="s">
        <v>411</v>
      </c>
      <c r="C103" t="s">
        <v>666</v>
      </c>
      <c r="D103">
        <v>0</v>
      </c>
      <c r="E103" t="s">
        <v>371</v>
      </c>
      <c r="F103" t="s">
        <v>408</v>
      </c>
      <c r="G103" s="177" t="e">
        <f>VLOOKUP(A103,'Инвест политика'!$A$26:$H$130,8,FALSE)</f>
        <v>#N/A</v>
      </c>
      <c r="H103" s="177" t="str">
        <f t="shared" si="1"/>
        <v>Ошибка, не численные значения</v>
      </c>
    </row>
    <row r="104" spans="1:8" x14ac:dyDescent="0.25">
      <c r="A104" s="175">
        <f>'Инвест политика'!A127</f>
        <v>0</v>
      </c>
      <c r="B104" t="s">
        <v>411</v>
      </c>
      <c r="C104" t="s">
        <v>666</v>
      </c>
      <c r="D104">
        <v>0</v>
      </c>
      <c r="E104" t="s">
        <v>371</v>
      </c>
      <c r="F104" t="s">
        <v>408</v>
      </c>
      <c r="G104" s="177" t="e">
        <f>VLOOKUP(A104,'Инвест политика'!$A$26:$H$130,8,FALSE)</f>
        <v>#N/A</v>
      </c>
      <c r="H104" s="177" t="str">
        <f t="shared" si="1"/>
        <v>Ошибка, не численные значения</v>
      </c>
    </row>
    <row r="105" spans="1:8" x14ac:dyDescent="0.25">
      <c r="A105" s="175">
        <f>'Инвест политика'!A128</f>
        <v>0</v>
      </c>
      <c r="B105" t="s">
        <v>411</v>
      </c>
      <c r="C105" t="s">
        <v>666</v>
      </c>
      <c r="D105">
        <v>0</v>
      </c>
      <c r="E105" t="s">
        <v>371</v>
      </c>
      <c r="F105" t="s">
        <v>408</v>
      </c>
      <c r="G105" s="177" t="e">
        <f>VLOOKUP(A105,'Инвест политика'!$A$26:$H$130,8,FALSE)</f>
        <v>#N/A</v>
      </c>
      <c r="H105" s="177" t="str">
        <f t="shared" si="1"/>
        <v>Ошибка, не численные значения</v>
      </c>
    </row>
    <row r="106" spans="1:8" x14ac:dyDescent="0.25">
      <c r="A106" s="175">
        <f>'Инвест политика'!A129</f>
        <v>0</v>
      </c>
      <c r="B106" t="s">
        <v>411</v>
      </c>
      <c r="C106" t="s">
        <v>666</v>
      </c>
      <c r="D106">
        <v>0</v>
      </c>
      <c r="E106" t="s">
        <v>371</v>
      </c>
      <c r="F106" t="s">
        <v>408</v>
      </c>
      <c r="G106" s="177" t="e">
        <f>VLOOKUP(A106,'Инвест политика'!$A$26:$H$130,8,FALSE)</f>
        <v>#N/A</v>
      </c>
      <c r="H106" s="177" t="str">
        <f t="shared" si="1"/>
        <v>Ошибка, не численные значения</v>
      </c>
    </row>
    <row r="107" spans="1:8" x14ac:dyDescent="0.25">
      <c r="A107" s="175">
        <f>'Инвест политика'!A130</f>
        <v>0</v>
      </c>
      <c r="B107" t="s">
        <v>411</v>
      </c>
      <c r="C107" t="s">
        <v>666</v>
      </c>
      <c r="D107">
        <v>0</v>
      </c>
      <c r="E107" t="s">
        <v>371</v>
      </c>
      <c r="F107" t="s">
        <v>408</v>
      </c>
      <c r="G107" s="177" t="e">
        <f>VLOOKUP(A107,'Инвест политика'!$A$26:$H$130,8,FALSE)</f>
        <v>#N/A</v>
      </c>
      <c r="H107" s="177" t="str">
        <f t="shared" si="1"/>
        <v>Ошибка, не численные значения</v>
      </c>
    </row>
    <row r="108" spans="1:8" x14ac:dyDescent="0.25">
      <c r="A108" s="175">
        <f>'Инвест политика'!A131</f>
        <v>0</v>
      </c>
      <c r="B108" t="s">
        <v>411</v>
      </c>
      <c r="C108" t="s">
        <v>666</v>
      </c>
      <c r="D108">
        <v>0</v>
      </c>
      <c r="E108" t="s">
        <v>371</v>
      </c>
      <c r="F108" t="s">
        <v>408</v>
      </c>
      <c r="G108" s="177" t="e">
        <f>VLOOKUP(A108,'Инвест политика'!$A$26:$H$130,8,FALSE)</f>
        <v>#N/A</v>
      </c>
      <c r="H108" s="177" t="str">
        <f t="shared" si="1"/>
        <v>Ошибка, не численные значения</v>
      </c>
    </row>
    <row r="109" spans="1:8" x14ac:dyDescent="0.25">
      <c r="A109" s="175">
        <f>'Инвест политика'!A132</f>
        <v>0</v>
      </c>
      <c r="B109" t="s">
        <v>411</v>
      </c>
      <c r="C109" t="s">
        <v>666</v>
      </c>
      <c r="D109">
        <v>0</v>
      </c>
      <c r="E109" t="s">
        <v>371</v>
      </c>
      <c r="F109" t="s">
        <v>408</v>
      </c>
      <c r="G109" s="177" t="e">
        <f>VLOOKUP(A109,'Инвест политика'!$A$26:$H$130,8,FALSE)</f>
        <v>#N/A</v>
      </c>
      <c r="H109" s="177" t="str">
        <f t="shared" si="1"/>
        <v>Ошибка, не численные значения</v>
      </c>
    </row>
    <row r="110" spans="1:8" x14ac:dyDescent="0.25">
      <c r="A110" s="175">
        <f>'Инвест политика'!A133</f>
        <v>0</v>
      </c>
      <c r="B110" t="s">
        <v>411</v>
      </c>
      <c r="C110" t="s">
        <v>666</v>
      </c>
      <c r="D110">
        <v>0</v>
      </c>
      <c r="E110" t="s">
        <v>371</v>
      </c>
      <c r="F110" t="s">
        <v>408</v>
      </c>
      <c r="G110" s="177" t="e">
        <f>VLOOKUP(A110,'Инвест политика'!$A$26:$H$130,8,FALSE)</f>
        <v>#N/A</v>
      </c>
      <c r="H110" s="177" t="str">
        <f t="shared" si="1"/>
        <v>Ошибка, не численные значения</v>
      </c>
    </row>
    <row r="111" spans="1:8" x14ac:dyDescent="0.25">
      <c r="A111" s="175">
        <f>'Инвест политика'!A134</f>
        <v>0</v>
      </c>
      <c r="B111" t="s">
        <v>411</v>
      </c>
      <c r="C111" t="s">
        <v>666</v>
      </c>
      <c r="D111">
        <v>0</v>
      </c>
      <c r="E111" t="s">
        <v>371</v>
      </c>
      <c r="F111" t="s">
        <v>408</v>
      </c>
      <c r="G111" s="177" t="e">
        <f>VLOOKUP(A111,'Инвест политика'!$A$26:$H$130,8,FALSE)</f>
        <v>#N/A</v>
      </c>
      <c r="H111" s="177" t="str">
        <f t="shared" si="1"/>
        <v>Ошибка, не численные значения</v>
      </c>
    </row>
    <row r="112" spans="1:8" x14ac:dyDescent="0.25">
      <c r="A112" s="175">
        <f>'Инвест политика'!A135</f>
        <v>0</v>
      </c>
      <c r="B112" t="s">
        <v>411</v>
      </c>
      <c r="C112" t="s">
        <v>666</v>
      </c>
      <c r="D112">
        <v>0</v>
      </c>
      <c r="E112" t="s">
        <v>371</v>
      </c>
      <c r="F112" t="s">
        <v>408</v>
      </c>
      <c r="G112" s="177" t="e">
        <f>VLOOKUP(A112,'Инвест политика'!$A$26:$H$130,8,FALSE)</f>
        <v>#N/A</v>
      </c>
      <c r="H112" s="177" t="str">
        <f t="shared" si="1"/>
        <v>Ошибка, не численные значения</v>
      </c>
    </row>
    <row r="113" spans="1:8" x14ac:dyDescent="0.25">
      <c r="A113" s="175">
        <f>'Инвест политика'!A136</f>
        <v>0</v>
      </c>
      <c r="B113" t="s">
        <v>411</v>
      </c>
      <c r="C113" t="s">
        <v>666</v>
      </c>
      <c r="D113">
        <v>0</v>
      </c>
      <c r="E113" t="s">
        <v>371</v>
      </c>
      <c r="F113" t="s">
        <v>408</v>
      </c>
      <c r="G113" s="177" t="e">
        <f>VLOOKUP(A113,'Инвест политика'!$A$26:$H$130,8,FALSE)</f>
        <v>#N/A</v>
      </c>
      <c r="H113" s="177" t="str">
        <f t="shared" si="1"/>
        <v>Ошибка, не численные значения</v>
      </c>
    </row>
    <row r="114" spans="1:8" x14ac:dyDescent="0.25">
      <c r="A114" s="175">
        <f>'Инвест политика'!A137</f>
        <v>0</v>
      </c>
      <c r="B114" t="s">
        <v>411</v>
      </c>
      <c r="C114" t="s">
        <v>666</v>
      </c>
      <c r="D114">
        <v>0</v>
      </c>
      <c r="E114" t="s">
        <v>371</v>
      </c>
      <c r="F114" t="s">
        <v>408</v>
      </c>
      <c r="G114" s="177" t="e">
        <f>VLOOKUP(A114,'Инвест политика'!$A$26:$H$130,8,FALSE)</f>
        <v>#N/A</v>
      </c>
      <c r="H114" s="177" t="str">
        <f t="shared" si="1"/>
        <v>Ошибка, не численные значения</v>
      </c>
    </row>
    <row r="115" spans="1:8" x14ac:dyDescent="0.25">
      <c r="A115" s="175">
        <f>'Инвест политика'!A138</f>
        <v>0</v>
      </c>
      <c r="B115" t="s">
        <v>411</v>
      </c>
      <c r="C115" t="s">
        <v>666</v>
      </c>
      <c r="D115">
        <v>0</v>
      </c>
      <c r="E115" t="s">
        <v>371</v>
      </c>
      <c r="F115" t="s">
        <v>408</v>
      </c>
      <c r="G115" s="177" t="e">
        <f>VLOOKUP(A115,'Инвест политика'!$A$26:$H$130,8,FALSE)</f>
        <v>#N/A</v>
      </c>
      <c r="H115" s="177" t="str">
        <f t="shared" si="1"/>
        <v>Ошибка, не численные значения</v>
      </c>
    </row>
    <row r="116" spans="1:8" x14ac:dyDescent="0.25">
      <c r="A116" s="175">
        <f>'Инвест политика'!A139</f>
        <v>0</v>
      </c>
      <c r="B116" t="s">
        <v>411</v>
      </c>
      <c r="C116" t="s">
        <v>666</v>
      </c>
      <c r="D116">
        <v>0</v>
      </c>
      <c r="E116" t="s">
        <v>371</v>
      </c>
      <c r="F116" t="s">
        <v>408</v>
      </c>
      <c r="G116" s="177" t="e">
        <f>VLOOKUP(A116,'Инвест политика'!$A$26:$H$130,8,FALSE)</f>
        <v>#N/A</v>
      </c>
      <c r="H116" s="177" t="str">
        <f t="shared" si="1"/>
        <v>Ошибка, не численные значения</v>
      </c>
    </row>
    <row r="117" spans="1:8" x14ac:dyDescent="0.25">
      <c r="A117" s="175">
        <f>'Инвест политика'!A140</f>
        <v>0</v>
      </c>
      <c r="B117" t="s">
        <v>411</v>
      </c>
      <c r="C117" t="s">
        <v>666</v>
      </c>
      <c r="D117">
        <v>0</v>
      </c>
      <c r="E117" t="s">
        <v>371</v>
      </c>
      <c r="F117" t="s">
        <v>408</v>
      </c>
      <c r="G117" s="177" t="e">
        <f>VLOOKUP(A117,'Инвест политика'!$A$26:$H$130,8,FALSE)</f>
        <v>#N/A</v>
      </c>
      <c r="H117" s="177" t="str">
        <f t="shared" si="1"/>
        <v>Ошибка, не численные значения</v>
      </c>
    </row>
    <row r="118" spans="1:8" x14ac:dyDescent="0.25">
      <c r="A118" s="175">
        <f>'Инвест политика'!A141</f>
        <v>0</v>
      </c>
      <c r="B118" t="s">
        <v>411</v>
      </c>
      <c r="C118" t="s">
        <v>666</v>
      </c>
      <c r="D118">
        <v>0</v>
      </c>
      <c r="E118" t="s">
        <v>371</v>
      </c>
      <c r="F118" t="s">
        <v>408</v>
      </c>
      <c r="G118" s="177" t="e">
        <f>VLOOKUP(A118,'Инвест политика'!$A$26:$H$130,8,FALSE)</f>
        <v>#N/A</v>
      </c>
      <c r="H118" s="177" t="str">
        <f t="shared" si="1"/>
        <v>Ошибка, не численные значения</v>
      </c>
    </row>
    <row r="119" spans="1:8" x14ac:dyDescent="0.25">
      <c r="A119" s="175">
        <f>'Инвест политика'!A142</f>
        <v>0</v>
      </c>
      <c r="B119" t="s">
        <v>411</v>
      </c>
      <c r="C119" t="s">
        <v>666</v>
      </c>
      <c r="D119">
        <v>0</v>
      </c>
      <c r="E119" t="s">
        <v>371</v>
      </c>
      <c r="F119" t="s">
        <v>408</v>
      </c>
      <c r="G119" s="177" t="e">
        <f>VLOOKUP(A119,'Инвест политика'!$A$26:$H$130,8,FALSE)</f>
        <v>#N/A</v>
      </c>
      <c r="H119" s="177" t="str">
        <f t="shared" si="1"/>
        <v>Ошибка, не численные значения</v>
      </c>
    </row>
    <row r="120" spans="1:8" x14ac:dyDescent="0.25">
      <c r="A120" s="175">
        <f>'Инвест политика'!A143</f>
        <v>0</v>
      </c>
      <c r="B120" t="s">
        <v>411</v>
      </c>
      <c r="C120" t="s">
        <v>666</v>
      </c>
      <c r="D120">
        <v>0</v>
      </c>
      <c r="E120" t="s">
        <v>371</v>
      </c>
      <c r="F120" t="s">
        <v>408</v>
      </c>
      <c r="G120" s="177" t="e">
        <f>VLOOKUP(A120,'Инвест политика'!$A$26:$H$130,8,FALSE)</f>
        <v>#N/A</v>
      </c>
      <c r="H120" s="177" t="str">
        <f t="shared" si="1"/>
        <v>Ошибка, не численные значения</v>
      </c>
    </row>
    <row r="121" spans="1:8" x14ac:dyDescent="0.25">
      <c r="A121" s="175">
        <f>'Инвест политика'!A144</f>
        <v>0</v>
      </c>
      <c r="B121" t="s">
        <v>411</v>
      </c>
      <c r="C121" t="s">
        <v>666</v>
      </c>
      <c r="D121">
        <v>0</v>
      </c>
      <c r="E121" t="s">
        <v>371</v>
      </c>
      <c r="F121" t="s">
        <v>408</v>
      </c>
      <c r="G121" s="177" t="e">
        <f>VLOOKUP(A121,'Инвест политика'!$A$26:$H$130,8,FALSE)</f>
        <v>#N/A</v>
      </c>
      <c r="H121" s="177" t="str">
        <f t="shared" si="1"/>
        <v>Ошибка, не численные значения</v>
      </c>
    </row>
    <row r="122" spans="1:8" x14ac:dyDescent="0.25">
      <c r="A122" s="175">
        <f>'Инвест политика'!A145</f>
        <v>0</v>
      </c>
      <c r="B122" t="s">
        <v>411</v>
      </c>
      <c r="C122" t="s">
        <v>666</v>
      </c>
      <c r="D122">
        <v>0</v>
      </c>
      <c r="E122" t="s">
        <v>371</v>
      </c>
      <c r="F122" t="s">
        <v>408</v>
      </c>
      <c r="G122" s="177" t="e">
        <f>VLOOKUP(A122,'Инвест политика'!$A$26:$H$130,8,FALSE)</f>
        <v>#N/A</v>
      </c>
      <c r="H122" s="177" t="str">
        <f t="shared" si="1"/>
        <v>Ошибка, не численные значения</v>
      </c>
    </row>
    <row r="123" spans="1:8" x14ac:dyDescent="0.25">
      <c r="A123" s="175">
        <f>'Инвест политика'!A146</f>
        <v>0</v>
      </c>
      <c r="B123" t="s">
        <v>411</v>
      </c>
      <c r="C123" t="s">
        <v>666</v>
      </c>
      <c r="D123">
        <v>0</v>
      </c>
      <c r="E123" t="s">
        <v>371</v>
      </c>
      <c r="F123" t="s">
        <v>408</v>
      </c>
      <c r="G123" s="177" t="e">
        <f>VLOOKUP(A123,'Инвест политика'!$A$26:$H$130,8,FALSE)</f>
        <v>#N/A</v>
      </c>
      <c r="H123" s="177" t="str">
        <f t="shared" si="1"/>
        <v>Ошибка, не численные значения</v>
      </c>
    </row>
    <row r="124" spans="1:8" x14ac:dyDescent="0.25">
      <c r="A124" s="175">
        <f>'Инвест политика'!A147</f>
        <v>0</v>
      </c>
      <c r="B124" t="s">
        <v>411</v>
      </c>
      <c r="C124" t="s">
        <v>666</v>
      </c>
      <c r="D124">
        <v>0</v>
      </c>
      <c r="E124" t="s">
        <v>371</v>
      </c>
      <c r="F124" t="s">
        <v>408</v>
      </c>
      <c r="G124" s="177" t="e">
        <f>VLOOKUP(A124,'Инвест политика'!$A$26:$H$130,8,FALSE)</f>
        <v>#N/A</v>
      </c>
      <c r="H124" s="177" t="str">
        <f t="shared" si="1"/>
        <v>Ошибка, не численные значения</v>
      </c>
    </row>
    <row r="125" spans="1:8" x14ac:dyDescent="0.25">
      <c r="A125" s="175">
        <f>'Инвест политика'!A148</f>
        <v>0</v>
      </c>
      <c r="B125" t="s">
        <v>411</v>
      </c>
      <c r="C125" t="s">
        <v>666</v>
      </c>
      <c r="D125">
        <v>0</v>
      </c>
      <c r="E125" t="s">
        <v>371</v>
      </c>
      <c r="F125" t="s">
        <v>408</v>
      </c>
      <c r="G125" s="177" t="e">
        <f>VLOOKUP(A125,'Инвест политика'!$A$26:$H$130,8,FALSE)</f>
        <v>#N/A</v>
      </c>
      <c r="H125" s="177" t="str">
        <f t="shared" si="1"/>
        <v>Ошибка, не численные значения</v>
      </c>
    </row>
    <row r="126" spans="1:8" x14ac:dyDescent="0.25">
      <c r="A126" s="175">
        <f>'Инвест политика'!A149</f>
        <v>0</v>
      </c>
      <c r="B126" t="s">
        <v>411</v>
      </c>
      <c r="C126" t="s">
        <v>666</v>
      </c>
      <c r="D126">
        <v>0</v>
      </c>
      <c r="E126" t="s">
        <v>371</v>
      </c>
      <c r="F126" t="s">
        <v>408</v>
      </c>
      <c r="G126" s="177" t="e">
        <f>VLOOKUP(A126,'Инвест политика'!$A$26:$H$130,8,FALSE)</f>
        <v>#N/A</v>
      </c>
      <c r="H126" s="177" t="str">
        <f t="shared" si="1"/>
        <v>Ошибка, не численные значения</v>
      </c>
    </row>
    <row r="127" spans="1:8" x14ac:dyDescent="0.25">
      <c r="A127" s="175">
        <f>'Инвест политика'!A150</f>
        <v>0</v>
      </c>
      <c r="B127" t="s">
        <v>411</v>
      </c>
      <c r="C127" t="s">
        <v>666</v>
      </c>
      <c r="D127">
        <v>0</v>
      </c>
      <c r="E127" t="s">
        <v>371</v>
      </c>
      <c r="F127" t="s">
        <v>408</v>
      </c>
      <c r="G127" s="177" t="e">
        <f>VLOOKUP(A127,'Инвест политика'!$A$26:$H$130,8,FALSE)</f>
        <v>#N/A</v>
      </c>
      <c r="H127" s="177" t="str">
        <f t="shared" si="1"/>
        <v>Ошибка, не численные значения</v>
      </c>
    </row>
    <row r="128" spans="1:8" x14ac:dyDescent="0.25">
      <c r="A128" s="175">
        <f>'Инвест политика'!A151</f>
        <v>0</v>
      </c>
      <c r="B128" t="s">
        <v>411</v>
      </c>
      <c r="C128" t="s">
        <v>666</v>
      </c>
      <c r="D128">
        <v>0</v>
      </c>
      <c r="E128" t="s">
        <v>371</v>
      </c>
      <c r="F128" t="s">
        <v>408</v>
      </c>
      <c r="G128" s="177" t="e">
        <f>VLOOKUP(A128,'Инвест политика'!$A$26:$H$130,8,FALSE)</f>
        <v>#N/A</v>
      </c>
      <c r="H128" s="177" t="str">
        <f t="shared" si="1"/>
        <v>Ошибка, не численные значения</v>
      </c>
    </row>
    <row r="129" spans="1:8" x14ac:dyDescent="0.25">
      <c r="A129" s="175">
        <f>'Инвест политика'!A152</f>
        <v>0</v>
      </c>
      <c r="B129" t="s">
        <v>411</v>
      </c>
      <c r="C129" t="s">
        <v>666</v>
      </c>
      <c r="D129">
        <v>0</v>
      </c>
      <c r="E129" t="s">
        <v>371</v>
      </c>
      <c r="F129" t="s">
        <v>408</v>
      </c>
      <c r="G129" s="177" t="e">
        <f>VLOOKUP(A129,'Инвест политика'!$A$26:$H$130,8,FALSE)</f>
        <v>#N/A</v>
      </c>
      <c r="H129" s="177" t="str">
        <f t="shared" si="1"/>
        <v>Ошибка, не численные значения</v>
      </c>
    </row>
    <row r="130" spans="1:8" x14ac:dyDescent="0.25">
      <c r="A130" s="175">
        <f>'Инвест политика'!A153</f>
        <v>0</v>
      </c>
      <c r="B130" t="s">
        <v>411</v>
      </c>
      <c r="C130" t="s">
        <v>666</v>
      </c>
      <c r="D130">
        <v>0</v>
      </c>
      <c r="E130" t="s">
        <v>371</v>
      </c>
      <c r="F130" t="s">
        <v>408</v>
      </c>
      <c r="G130" s="177" t="e">
        <f>VLOOKUP(A130,'Инвест политика'!$A$26:$H$130,8,FALSE)</f>
        <v>#N/A</v>
      </c>
      <c r="H130" s="177" t="str">
        <f t="shared" si="1"/>
        <v>Ошибка, не численные значения</v>
      </c>
    </row>
    <row r="131" spans="1:8" x14ac:dyDescent="0.25">
      <c r="A131" s="175">
        <f>'Инвест политика'!A154</f>
        <v>0</v>
      </c>
      <c r="B131" t="s">
        <v>411</v>
      </c>
      <c r="C131" t="s">
        <v>666</v>
      </c>
      <c r="D131">
        <v>0</v>
      </c>
      <c r="E131" t="s">
        <v>371</v>
      </c>
      <c r="F131" t="s">
        <v>408</v>
      </c>
      <c r="G131" s="177" t="e">
        <f>VLOOKUP(A131,'Инвест политика'!$A$26:$H$130,8,FALSE)</f>
        <v>#N/A</v>
      </c>
      <c r="H131" s="177" t="str">
        <f t="shared" si="1"/>
        <v>Ошибка, не численные значения</v>
      </c>
    </row>
    <row r="132" spans="1:8" x14ac:dyDescent="0.25">
      <c r="A132" s="175">
        <f>'Инвест политика'!A155</f>
        <v>0</v>
      </c>
      <c r="B132" t="s">
        <v>411</v>
      </c>
      <c r="C132" t="s">
        <v>666</v>
      </c>
      <c r="D132">
        <v>0</v>
      </c>
      <c r="E132" t="s">
        <v>371</v>
      </c>
      <c r="F132" t="s">
        <v>408</v>
      </c>
      <c r="G132" s="177" t="e">
        <f>VLOOKUP(A132,'Инвест политика'!$A$26:$H$130,8,FALSE)</f>
        <v>#N/A</v>
      </c>
      <c r="H132" s="177" t="str">
        <f t="shared" ref="H132:H161" si="2">Эшелонирование(F132,G132,C132)</f>
        <v>Ошибка, не численные значения</v>
      </c>
    </row>
    <row r="133" spans="1:8" x14ac:dyDescent="0.25">
      <c r="A133" s="175">
        <f>'Инвест политика'!A156</f>
        <v>0</v>
      </c>
      <c r="B133" t="s">
        <v>411</v>
      </c>
      <c r="C133" t="s">
        <v>666</v>
      </c>
      <c r="D133">
        <v>0</v>
      </c>
      <c r="E133" t="s">
        <v>371</v>
      </c>
      <c r="F133" t="s">
        <v>408</v>
      </c>
      <c r="G133" s="177" t="e">
        <f>VLOOKUP(A133,'Инвест политика'!$A$26:$H$130,8,FALSE)</f>
        <v>#N/A</v>
      </c>
      <c r="H133" s="177" t="str">
        <f t="shared" si="2"/>
        <v>Ошибка, не численные значения</v>
      </c>
    </row>
    <row r="134" spans="1:8" x14ac:dyDescent="0.25">
      <c r="A134" s="175">
        <f>'Инвест политика'!A157</f>
        <v>0</v>
      </c>
      <c r="B134" t="s">
        <v>411</v>
      </c>
      <c r="C134" t="s">
        <v>666</v>
      </c>
      <c r="D134">
        <v>0</v>
      </c>
      <c r="E134" t="s">
        <v>371</v>
      </c>
      <c r="F134" t="s">
        <v>408</v>
      </c>
      <c r="G134" s="177" t="e">
        <f>VLOOKUP(A134,'Инвест политика'!$A$26:$H$130,8,FALSE)</f>
        <v>#N/A</v>
      </c>
      <c r="H134" s="177" t="str">
        <f t="shared" si="2"/>
        <v>Ошибка, не численные значения</v>
      </c>
    </row>
    <row r="135" spans="1:8" x14ac:dyDescent="0.25">
      <c r="A135" s="175">
        <f>'Инвест политика'!A158</f>
        <v>0</v>
      </c>
      <c r="B135" t="s">
        <v>411</v>
      </c>
      <c r="C135" t="s">
        <v>666</v>
      </c>
      <c r="D135">
        <v>0</v>
      </c>
      <c r="E135" t="s">
        <v>371</v>
      </c>
      <c r="F135" t="s">
        <v>408</v>
      </c>
      <c r="G135" s="177" t="e">
        <f>VLOOKUP(A135,'Инвест политика'!$A$26:$H$130,8,FALSE)</f>
        <v>#N/A</v>
      </c>
      <c r="H135" s="177" t="str">
        <f t="shared" si="2"/>
        <v>Ошибка, не численные значения</v>
      </c>
    </row>
    <row r="136" spans="1:8" x14ac:dyDescent="0.25">
      <c r="A136" s="175">
        <f>'Инвест политика'!A159</f>
        <v>0</v>
      </c>
      <c r="B136" t="s">
        <v>411</v>
      </c>
      <c r="C136" t="s">
        <v>666</v>
      </c>
      <c r="D136">
        <v>0</v>
      </c>
      <c r="E136" t="s">
        <v>371</v>
      </c>
      <c r="F136" t="s">
        <v>408</v>
      </c>
      <c r="G136" s="177" t="e">
        <f>VLOOKUP(A136,'Инвест политика'!$A$26:$H$130,8,FALSE)</f>
        <v>#N/A</v>
      </c>
      <c r="H136" s="177" t="str">
        <f t="shared" si="2"/>
        <v>Ошибка, не численные значения</v>
      </c>
    </row>
    <row r="137" spans="1:8" x14ac:dyDescent="0.25">
      <c r="A137" s="175">
        <f>'Инвест политика'!A160</f>
        <v>0</v>
      </c>
      <c r="B137" t="s">
        <v>411</v>
      </c>
      <c r="C137" t="s">
        <v>666</v>
      </c>
      <c r="D137">
        <v>0</v>
      </c>
      <c r="E137" t="s">
        <v>371</v>
      </c>
      <c r="F137" t="s">
        <v>408</v>
      </c>
      <c r="G137" s="177" t="e">
        <f>VLOOKUP(A137,'Инвест политика'!$A$26:$H$130,8,FALSE)</f>
        <v>#N/A</v>
      </c>
      <c r="H137" s="177" t="str">
        <f t="shared" si="2"/>
        <v>Ошибка, не численные значения</v>
      </c>
    </row>
    <row r="138" spans="1:8" x14ac:dyDescent="0.25">
      <c r="A138" s="175">
        <f>'Инвест политика'!A161</f>
        <v>0</v>
      </c>
      <c r="B138" t="s">
        <v>411</v>
      </c>
      <c r="C138" t="s">
        <v>666</v>
      </c>
      <c r="D138">
        <v>0</v>
      </c>
      <c r="E138" t="s">
        <v>371</v>
      </c>
      <c r="F138" t="s">
        <v>408</v>
      </c>
      <c r="G138" s="177" t="e">
        <f>VLOOKUP(A138,'Инвест политика'!$A$26:$H$130,8,FALSE)</f>
        <v>#N/A</v>
      </c>
      <c r="H138" s="177" t="str">
        <f t="shared" si="2"/>
        <v>Ошибка, не численные значения</v>
      </c>
    </row>
    <row r="139" spans="1:8" x14ac:dyDescent="0.25">
      <c r="A139" s="175">
        <f>'Инвест политика'!A162</f>
        <v>0</v>
      </c>
      <c r="B139" t="s">
        <v>411</v>
      </c>
      <c r="C139" t="s">
        <v>666</v>
      </c>
      <c r="D139">
        <v>0</v>
      </c>
      <c r="E139" t="s">
        <v>371</v>
      </c>
      <c r="F139" t="s">
        <v>408</v>
      </c>
      <c r="G139" s="177" t="e">
        <f>VLOOKUP(A139,'Инвест политика'!$A$26:$H$130,8,FALSE)</f>
        <v>#N/A</v>
      </c>
      <c r="H139" s="177" t="str">
        <f t="shared" si="2"/>
        <v>Ошибка, не численные значения</v>
      </c>
    </row>
    <row r="140" spans="1:8" x14ac:dyDescent="0.25">
      <c r="A140" s="175">
        <f>'Инвест политика'!A163</f>
        <v>0</v>
      </c>
      <c r="B140" t="s">
        <v>411</v>
      </c>
      <c r="C140" t="s">
        <v>666</v>
      </c>
      <c r="D140">
        <v>0</v>
      </c>
      <c r="E140" t="s">
        <v>371</v>
      </c>
      <c r="F140" t="s">
        <v>408</v>
      </c>
      <c r="G140" s="177" t="e">
        <f>VLOOKUP(A140,'Инвест политика'!$A$26:$H$130,8,FALSE)</f>
        <v>#N/A</v>
      </c>
      <c r="H140" s="177" t="str">
        <f t="shared" si="2"/>
        <v>Ошибка, не численные значения</v>
      </c>
    </row>
    <row r="141" spans="1:8" x14ac:dyDescent="0.25">
      <c r="A141" s="175">
        <f>'Инвест политика'!A164</f>
        <v>0</v>
      </c>
      <c r="B141" t="s">
        <v>411</v>
      </c>
      <c r="C141" t="s">
        <v>666</v>
      </c>
      <c r="D141">
        <v>0</v>
      </c>
      <c r="E141" t="s">
        <v>371</v>
      </c>
      <c r="F141" t="s">
        <v>408</v>
      </c>
      <c r="G141" s="177" t="e">
        <f>VLOOKUP(A141,'Инвест политика'!$A$26:$H$130,8,FALSE)</f>
        <v>#N/A</v>
      </c>
      <c r="H141" s="177" t="str">
        <f t="shared" si="2"/>
        <v>Ошибка, не численные значения</v>
      </c>
    </row>
    <row r="142" spans="1:8" x14ac:dyDescent="0.25">
      <c r="A142" s="175">
        <f>'Инвест политика'!A165</f>
        <v>0</v>
      </c>
      <c r="B142" t="s">
        <v>411</v>
      </c>
      <c r="C142" t="s">
        <v>666</v>
      </c>
      <c r="D142">
        <v>0</v>
      </c>
      <c r="E142" t="s">
        <v>371</v>
      </c>
      <c r="F142" t="s">
        <v>408</v>
      </c>
      <c r="G142" s="177" t="e">
        <f>VLOOKUP(A142,'Инвест политика'!$A$26:$H$130,8,FALSE)</f>
        <v>#N/A</v>
      </c>
      <c r="H142" s="177" t="str">
        <f t="shared" si="2"/>
        <v>Ошибка, не численные значения</v>
      </c>
    </row>
    <row r="143" spans="1:8" x14ac:dyDescent="0.25">
      <c r="A143" s="175">
        <f>'Инвест политика'!A166</f>
        <v>0</v>
      </c>
      <c r="B143" t="s">
        <v>411</v>
      </c>
      <c r="C143" t="s">
        <v>666</v>
      </c>
      <c r="D143">
        <v>0</v>
      </c>
      <c r="E143" t="s">
        <v>371</v>
      </c>
      <c r="F143" t="s">
        <v>408</v>
      </c>
      <c r="G143" s="177" t="e">
        <f>VLOOKUP(A143,'Инвест политика'!$A$26:$H$130,8,FALSE)</f>
        <v>#N/A</v>
      </c>
      <c r="H143" s="177" t="str">
        <f t="shared" si="2"/>
        <v>Ошибка, не численные значения</v>
      </c>
    </row>
    <row r="144" spans="1:8" x14ac:dyDescent="0.25">
      <c r="A144" s="175">
        <f>'Инвест политика'!A167</f>
        <v>0</v>
      </c>
      <c r="B144" t="s">
        <v>411</v>
      </c>
      <c r="C144" t="s">
        <v>666</v>
      </c>
      <c r="D144">
        <v>0</v>
      </c>
      <c r="E144" t="s">
        <v>371</v>
      </c>
      <c r="F144" t="s">
        <v>408</v>
      </c>
      <c r="G144" s="177" t="e">
        <f>VLOOKUP(A144,'Инвест политика'!$A$26:$H$130,8,FALSE)</f>
        <v>#N/A</v>
      </c>
      <c r="H144" s="177" t="str">
        <f t="shared" si="2"/>
        <v>Ошибка, не численные значения</v>
      </c>
    </row>
    <row r="145" spans="1:8" x14ac:dyDescent="0.25">
      <c r="A145" s="175">
        <f>'Инвест политика'!A168</f>
        <v>0</v>
      </c>
      <c r="B145" t="s">
        <v>411</v>
      </c>
      <c r="C145" t="s">
        <v>666</v>
      </c>
      <c r="D145">
        <v>0</v>
      </c>
      <c r="E145" t="s">
        <v>371</v>
      </c>
      <c r="F145" t="s">
        <v>408</v>
      </c>
      <c r="G145" s="177" t="e">
        <f>VLOOKUP(A145,'Инвест политика'!$A$26:$H$130,8,FALSE)</f>
        <v>#N/A</v>
      </c>
      <c r="H145" s="177" t="str">
        <f t="shared" si="2"/>
        <v>Ошибка, не численные значения</v>
      </c>
    </row>
    <row r="146" spans="1:8" x14ac:dyDescent="0.25">
      <c r="A146" s="175">
        <f>'Инвест политика'!A169</f>
        <v>0</v>
      </c>
      <c r="B146" t="s">
        <v>411</v>
      </c>
      <c r="C146" t="s">
        <v>666</v>
      </c>
      <c r="D146">
        <v>0</v>
      </c>
      <c r="E146" t="s">
        <v>371</v>
      </c>
      <c r="F146" t="s">
        <v>408</v>
      </c>
      <c r="G146" s="177" t="e">
        <f>VLOOKUP(A146,'Инвест политика'!$A$26:$H$130,8,FALSE)</f>
        <v>#N/A</v>
      </c>
      <c r="H146" s="177" t="str">
        <f t="shared" si="2"/>
        <v>Ошибка, не численные значения</v>
      </c>
    </row>
    <row r="147" spans="1:8" x14ac:dyDescent="0.25">
      <c r="A147" s="175">
        <f>'Инвест политика'!A170</f>
        <v>0</v>
      </c>
      <c r="B147" t="s">
        <v>411</v>
      </c>
      <c r="C147" t="s">
        <v>666</v>
      </c>
      <c r="D147">
        <v>0</v>
      </c>
      <c r="E147" t="s">
        <v>371</v>
      </c>
      <c r="F147" t="s">
        <v>408</v>
      </c>
      <c r="G147" s="177" t="e">
        <f>VLOOKUP(A147,'Инвест политика'!$A$26:$H$130,8,FALSE)</f>
        <v>#N/A</v>
      </c>
      <c r="H147" s="177" t="str">
        <f t="shared" si="2"/>
        <v>Ошибка, не численные значения</v>
      </c>
    </row>
    <row r="148" spans="1:8" x14ac:dyDescent="0.25">
      <c r="A148" s="175">
        <f>'Инвест политика'!A171</f>
        <v>0</v>
      </c>
      <c r="B148" t="s">
        <v>411</v>
      </c>
      <c r="C148" t="s">
        <v>666</v>
      </c>
      <c r="D148">
        <v>0</v>
      </c>
      <c r="E148" t="s">
        <v>371</v>
      </c>
      <c r="F148" t="s">
        <v>408</v>
      </c>
      <c r="G148" s="177" t="e">
        <f>VLOOKUP(A148,'Инвест политика'!$A$26:$H$130,8,FALSE)</f>
        <v>#N/A</v>
      </c>
      <c r="H148" s="177" t="str">
        <f t="shared" si="2"/>
        <v>Ошибка, не численные значения</v>
      </c>
    </row>
    <row r="149" spans="1:8" x14ac:dyDescent="0.25">
      <c r="A149" s="175">
        <f>'Инвест политика'!A172</f>
        <v>0</v>
      </c>
      <c r="B149" t="s">
        <v>411</v>
      </c>
      <c r="C149" t="s">
        <v>666</v>
      </c>
      <c r="D149">
        <v>0</v>
      </c>
      <c r="E149" t="s">
        <v>371</v>
      </c>
      <c r="F149" t="s">
        <v>408</v>
      </c>
      <c r="G149" s="177" t="e">
        <f>VLOOKUP(A149,'Инвест политика'!$A$26:$H$130,8,FALSE)</f>
        <v>#N/A</v>
      </c>
      <c r="H149" s="177" t="str">
        <f t="shared" si="2"/>
        <v>Ошибка, не численные значения</v>
      </c>
    </row>
    <row r="150" spans="1:8" x14ac:dyDescent="0.25">
      <c r="A150" s="175">
        <f>'Инвест политика'!A173</f>
        <v>0</v>
      </c>
      <c r="B150" t="s">
        <v>411</v>
      </c>
      <c r="C150" t="s">
        <v>666</v>
      </c>
      <c r="D150">
        <v>0</v>
      </c>
      <c r="E150" t="s">
        <v>371</v>
      </c>
      <c r="F150" t="s">
        <v>408</v>
      </c>
      <c r="G150" s="177" t="e">
        <f>VLOOKUP(A150,'Инвест политика'!$A$26:$H$130,8,FALSE)</f>
        <v>#N/A</v>
      </c>
      <c r="H150" s="177" t="str">
        <f t="shared" si="2"/>
        <v>Ошибка, не численные значения</v>
      </c>
    </row>
    <row r="151" spans="1:8" x14ac:dyDescent="0.25">
      <c r="A151" s="175">
        <f>'Инвест политика'!A174</f>
        <v>0</v>
      </c>
      <c r="B151" t="s">
        <v>411</v>
      </c>
      <c r="C151" t="s">
        <v>666</v>
      </c>
      <c r="D151">
        <v>0</v>
      </c>
      <c r="E151" t="s">
        <v>371</v>
      </c>
      <c r="F151" t="s">
        <v>408</v>
      </c>
      <c r="G151" s="177" t="e">
        <f>VLOOKUP(A151,'Инвест политика'!$A$26:$H$130,8,FALSE)</f>
        <v>#N/A</v>
      </c>
      <c r="H151" s="177" t="str">
        <f t="shared" si="2"/>
        <v>Ошибка, не численные значения</v>
      </c>
    </row>
    <row r="152" spans="1:8" x14ac:dyDescent="0.25">
      <c r="A152" s="175">
        <f>'Инвест политика'!A175</f>
        <v>0</v>
      </c>
      <c r="B152" t="s">
        <v>411</v>
      </c>
      <c r="C152" t="s">
        <v>666</v>
      </c>
      <c r="D152">
        <v>0</v>
      </c>
      <c r="E152" t="s">
        <v>371</v>
      </c>
      <c r="F152" t="s">
        <v>408</v>
      </c>
      <c r="G152" s="177" t="e">
        <f>VLOOKUP(A152,'Инвест политика'!$A$26:$H$130,8,FALSE)</f>
        <v>#N/A</v>
      </c>
      <c r="H152" s="177" t="str">
        <f t="shared" si="2"/>
        <v>Ошибка, не численные значения</v>
      </c>
    </row>
    <row r="153" spans="1:8" x14ac:dyDescent="0.25">
      <c r="A153" s="175">
        <f>'Инвест политика'!A176</f>
        <v>0</v>
      </c>
      <c r="B153" t="s">
        <v>411</v>
      </c>
      <c r="C153" t="s">
        <v>666</v>
      </c>
      <c r="D153">
        <v>0</v>
      </c>
      <c r="E153" t="s">
        <v>371</v>
      </c>
      <c r="F153" t="s">
        <v>408</v>
      </c>
      <c r="G153" s="177" t="e">
        <f>VLOOKUP(A153,'Инвест политика'!$A$26:$H$130,8,FALSE)</f>
        <v>#N/A</v>
      </c>
      <c r="H153" s="177" t="str">
        <f t="shared" si="2"/>
        <v>Ошибка, не численные значения</v>
      </c>
    </row>
    <row r="154" spans="1:8" x14ac:dyDescent="0.25">
      <c r="A154" s="175">
        <f>'Инвест политика'!A177</f>
        <v>0</v>
      </c>
      <c r="B154" t="s">
        <v>411</v>
      </c>
      <c r="C154" t="s">
        <v>666</v>
      </c>
      <c r="D154">
        <v>0</v>
      </c>
      <c r="E154" t="s">
        <v>371</v>
      </c>
      <c r="F154" t="s">
        <v>408</v>
      </c>
      <c r="G154" s="177" t="e">
        <f>VLOOKUP(A154,'Инвест политика'!$A$26:$H$130,8,FALSE)</f>
        <v>#N/A</v>
      </c>
      <c r="H154" s="177" t="str">
        <f t="shared" si="2"/>
        <v>Ошибка, не численные значения</v>
      </c>
    </row>
    <row r="155" spans="1:8" x14ac:dyDescent="0.25">
      <c r="A155" s="175">
        <f>'Инвест политика'!A178</f>
        <v>0</v>
      </c>
      <c r="B155" t="s">
        <v>411</v>
      </c>
      <c r="C155" t="s">
        <v>666</v>
      </c>
      <c r="D155">
        <v>0</v>
      </c>
      <c r="E155" t="s">
        <v>371</v>
      </c>
      <c r="F155" t="s">
        <v>408</v>
      </c>
      <c r="G155" s="177" t="e">
        <f>VLOOKUP(A155,'Инвест политика'!$A$26:$H$130,8,FALSE)</f>
        <v>#N/A</v>
      </c>
      <c r="H155" s="177" t="str">
        <f t="shared" si="2"/>
        <v>Ошибка, не численные значения</v>
      </c>
    </row>
    <row r="156" spans="1:8" x14ac:dyDescent="0.25">
      <c r="A156" s="175">
        <f>'Инвест политика'!A179</f>
        <v>0</v>
      </c>
      <c r="B156" t="s">
        <v>411</v>
      </c>
      <c r="C156" t="s">
        <v>666</v>
      </c>
      <c r="D156">
        <v>0</v>
      </c>
      <c r="E156" t="s">
        <v>371</v>
      </c>
      <c r="F156" t="s">
        <v>408</v>
      </c>
      <c r="G156" s="177" t="e">
        <f>VLOOKUP(A156,'Инвест политика'!$A$26:$H$130,8,FALSE)</f>
        <v>#N/A</v>
      </c>
      <c r="H156" s="177" t="str">
        <f t="shared" si="2"/>
        <v>Ошибка, не численные значения</v>
      </c>
    </row>
    <row r="157" spans="1:8" x14ac:dyDescent="0.25">
      <c r="A157" s="175">
        <f>'Инвест политика'!A180</f>
        <v>0</v>
      </c>
      <c r="B157" t="s">
        <v>411</v>
      </c>
      <c r="C157" t="s">
        <v>666</v>
      </c>
      <c r="D157">
        <v>0</v>
      </c>
      <c r="E157" t="s">
        <v>371</v>
      </c>
      <c r="F157" t="s">
        <v>408</v>
      </c>
      <c r="G157" s="177" t="e">
        <f>VLOOKUP(A157,'Инвест политика'!$A$26:$H$130,8,FALSE)</f>
        <v>#N/A</v>
      </c>
      <c r="H157" s="177" t="str">
        <f t="shared" si="2"/>
        <v>Ошибка, не численные значения</v>
      </c>
    </row>
    <row r="158" spans="1:8" x14ac:dyDescent="0.25">
      <c r="A158" s="175">
        <f>'Инвест политика'!A181</f>
        <v>0</v>
      </c>
      <c r="B158" t="s">
        <v>411</v>
      </c>
      <c r="C158" t="s">
        <v>666</v>
      </c>
      <c r="D158">
        <v>0</v>
      </c>
      <c r="E158" t="s">
        <v>371</v>
      </c>
      <c r="F158" t="s">
        <v>408</v>
      </c>
      <c r="G158" s="177" t="e">
        <f>VLOOKUP(A158,'Инвест политика'!$A$26:$H$130,8,FALSE)</f>
        <v>#N/A</v>
      </c>
      <c r="H158" s="177" t="str">
        <f t="shared" si="2"/>
        <v>Ошибка, не численные значения</v>
      </c>
    </row>
    <row r="159" spans="1:8" x14ac:dyDescent="0.25">
      <c r="A159" s="175">
        <f>'Инвест политика'!A182</f>
        <v>0</v>
      </c>
      <c r="B159" t="s">
        <v>411</v>
      </c>
      <c r="C159" t="s">
        <v>666</v>
      </c>
      <c r="D159">
        <v>0</v>
      </c>
      <c r="E159" t="s">
        <v>371</v>
      </c>
      <c r="F159" t="s">
        <v>408</v>
      </c>
      <c r="G159" s="177" t="e">
        <f>VLOOKUP(A159,'Инвест политика'!$A$26:$H$130,8,FALSE)</f>
        <v>#N/A</v>
      </c>
      <c r="H159" s="177" t="str">
        <f t="shared" si="2"/>
        <v>Ошибка, не численные значения</v>
      </c>
    </row>
    <row r="160" spans="1:8" x14ac:dyDescent="0.25">
      <c r="A160" s="175">
        <f>'Инвест политика'!A183</f>
        <v>0</v>
      </c>
      <c r="B160" t="s">
        <v>411</v>
      </c>
      <c r="C160" t="s">
        <v>666</v>
      </c>
      <c r="D160">
        <v>0</v>
      </c>
      <c r="E160" t="s">
        <v>371</v>
      </c>
      <c r="F160" t="s">
        <v>408</v>
      </c>
      <c r="G160" s="177" t="e">
        <f>VLOOKUP(A160,'Инвест политика'!$A$26:$H$130,8,FALSE)</f>
        <v>#N/A</v>
      </c>
      <c r="H160" s="177" t="str">
        <f t="shared" si="2"/>
        <v>Ошибка, не численные значения</v>
      </c>
    </row>
    <row r="161" spans="1:8" x14ac:dyDescent="0.25">
      <c r="A161" s="175">
        <f>'Инвест политика'!A184</f>
        <v>0</v>
      </c>
      <c r="B161" t="s">
        <v>411</v>
      </c>
      <c r="C161" t="s">
        <v>666</v>
      </c>
      <c r="D161">
        <v>0</v>
      </c>
      <c r="E161" t="s">
        <v>371</v>
      </c>
      <c r="F161" t="s">
        <v>408</v>
      </c>
      <c r="G161" s="177" t="e">
        <f>VLOOKUP(A161,'Инвест политика'!$A$26:$H$130,8,FALSE)</f>
        <v>#N/A</v>
      </c>
      <c r="H161" s="177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topLeftCell="A25" workbookViewId="0">
      <selection activeCell="F3" sqref="F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hidden="1" customWidth="1"/>
    <col min="8" max="8" width="20.28515625" hidden="1" customWidth="1"/>
    <col min="9" max="9" width="18.140625" customWidth="1"/>
    <col min="10" max="10" width="24.140625" hidden="1" customWidth="1"/>
    <col min="11" max="11" width="21.140625" customWidth="1"/>
  </cols>
  <sheetData>
    <row r="1" spans="1:11" x14ac:dyDescent="0.25">
      <c r="A1" t="s">
        <v>19</v>
      </c>
      <c r="G1" t="s">
        <v>19</v>
      </c>
    </row>
    <row r="2" spans="1:11" ht="156" customHeight="1" x14ac:dyDescent="0.25">
      <c r="A2" s="5"/>
      <c r="B2" s="183" t="s">
        <v>422</v>
      </c>
      <c r="C2" s="183" t="s">
        <v>423</v>
      </c>
      <c r="D2" s="183" t="s">
        <v>424</v>
      </c>
      <c r="E2" s="183" t="s">
        <v>425</v>
      </c>
      <c r="F2" s="183" t="s">
        <v>426</v>
      </c>
      <c r="G2" s="183" t="s">
        <v>427</v>
      </c>
      <c r="H2" s="183" t="s">
        <v>458</v>
      </c>
      <c r="I2" s="183" t="s">
        <v>459</v>
      </c>
      <c r="J2" s="216" t="s">
        <v>460</v>
      </c>
      <c r="K2" s="188" t="s">
        <v>472</v>
      </c>
    </row>
    <row r="3" spans="1:11" x14ac:dyDescent="0.25">
      <c r="A3" s="5" t="s">
        <v>428</v>
      </c>
      <c r="B3" s="14">
        <v>17964.089510598817</v>
      </c>
      <c r="C3" s="14">
        <v>17479.938342013047</v>
      </c>
      <c r="D3" s="14">
        <v>2884.3065000000001</v>
      </c>
      <c r="E3" s="14">
        <v>3085.96</v>
      </c>
      <c r="F3" s="14">
        <v>11512.659</v>
      </c>
      <c r="G3" s="14">
        <v>15808.515864999999</v>
      </c>
      <c r="H3" s="14">
        <v>15479.185635</v>
      </c>
      <c r="I3" s="14">
        <v>15355.535384999999</v>
      </c>
      <c r="J3" s="217">
        <v>20010.22417275206</v>
      </c>
      <c r="K3" s="25">
        <v>22781.429500196231</v>
      </c>
    </row>
    <row r="4" spans="1:11" x14ac:dyDescent="0.25">
      <c r="A4" s="5" t="s">
        <v>412</v>
      </c>
      <c r="B4" s="14">
        <v>916.8516290459595</v>
      </c>
      <c r="C4" s="14">
        <v>588.46430723403364</v>
      </c>
      <c r="D4" s="14">
        <v>99.087716157416168</v>
      </c>
      <c r="E4" s="14">
        <v>117.93922089975614</v>
      </c>
      <c r="F4" s="14">
        <v>398.51551174570358</v>
      </c>
      <c r="G4" s="14">
        <v>498.71841491866803</v>
      </c>
      <c r="H4" s="14">
        <v>507</v>
      </c>
      <c r="I4" s="14">
        <v>501.08319123191905</v>
      </c>
      <c r="J4" s="217">
        <v>745.57405171516007</v>
      </c>
      <c r="K4" s="25">
        <v>817.87964110103769</v>
      </c>
    </row>
    <row r="5" spans="1:11" x14ac:dyDescent="0.25">
      <c r="A5" t="s">
        <v>412</v>
      </c>
      <c r="B5" s="184">
        <f>B4/B3</f>
        <v>5.1038023858933503E-2</v>
      </c>
      <c r="C5" s="184">
        <f t="shared" ref="C5:G5" si="0">C4/C3</f>
        <v>3.3665124883173025E-2</v>
      </c>
      <c r="D5" s="184">
        <f t="shared" si="0"/>
        <v>3.4354086903529903E-2</v>
      </c>
      <c r="E5" s="184">
        <f t="shared" si="0"/>
        <v>3.8218000524879177E-2</v>
      </c>
      <c r="F5" s="184">
        <f t="shared" si="0"/>
        <v>3.4615418709587731E-2</v>
      </c>
      <c r="G5" s="184">
        <f t="shared" si="0"/>
        <v>3.1547453232015847E-2</v>
      </c>
      <c r="H5" s="184">
        <f>H4/H3</f>
        <v>3.2753661074625393E-2</v>
      </c>
      <c r="I5" s="184">
        <f>I4/I3</f>
        <v>3.2632088603136586E-2</v>
      </c>
      <c r="J5" s="184">
        <f>J4/J3</f>
        <v>3.7259655128222345E-2</v>
      </c>
      <c r="K5" s="184">
        <f>K4/K3</f>
        <v>3.590115541669555E-2</v>
      </c>
    </row>
    <row r="6" spans="1:11" x14ac:dyDescent="0.25">
      <c r="B6" s="209" t="s">
        <v>413</v>
      </c>
      <c r="C6" s="209" t="s">
        <v>413</v>
      </c>
      <c r="D6" s="209" t="s">
        <v>413</v>
      </c>
      <c r="E6" s="209" t="s">
        <v>413</v>
      </c>
      <c r="F6" s="209" t="s">
        <v>413</v>
      </c>
      <c r="G6" s="209" t="s">
        <v>413</v>
      </c>
      <c r="H6" s="209" t="s">
        <v>413</v>
      </c>
      <c r="I6" s="209" t="s">
        <v>413</v>
      </c>
      <c r="J6" s="209" t="s">
        <v>413</v>
      </c>
      <c r="K6" t="s">
        <v>413</v>
      </c>
    </row>
    <row r="7" spans="1:11" x14ac:dyDescent="0.25">
      <c r="B7" s="209" t="s">
        <v>414</v>
      </c>
      <c r="C7" s="209" t="s">
        <v>416</v>
      </c>
      <c r="D7" s="209" t="s">
        <v>415</v>
      </c>
      <c r="E7" s="209" t="s">
        <v>415</v>
      </c>
      <c r="F7" s="209" t="s">
        <v>417</v>
      </c>
      <c r="G7" s="209" t="s">
        <v>417</v>
      </c>
      <c r="H7" s="209" t="s">
        <v>417</v>
      </c>
      <c r="I7" s="209" t="s">
        <v>417</v>
      </c>
      <c r="J7" s="209" t="s">
        <v>417</v>
      </c>
      <c r="K7" t="s">
        <v>417</v>
      </c>
    </row>
    <row r="8" spans="1:11" x14ac:dyDescent="0.25">
      <c r="B8" s="209" t="s">
        <v>415</v>
      </c>
      <c r="C8" s="209" t="s">
        <v>415</v>
      </c>
      <c r="D8" s="209" t="s">
        <v>417</v>
      </c>
      <c r="E8" s="209" t="s">
        <v>417</v>
      </c>
      <c r="F8" s="209" t="s">
        <v>418</v>
      </c>
      <c r="G8" s="209" t="s">
        <v>418</v>
      </c>
      <c r="H8" s="209" t="s">
        <v>418</v>
      </c>
      <c r="I8" s="209" t="s">
        <v>418</v>
      </c>
      <c r="J8" s="209" t="s">
        <v>457</v>
      </c>
      <c r="K8" t="s">
        <v>457</v>
      </c>
    </row>
    <row r="9" spans="1:11" x14ac:dyDescent="0.25">
      <c r="B9" s="209"/>
      <c r="C9" s="209" t="s">
        <v>417</v>
      </c>
      <c r="D9" s="209"/>
      <c r="E9" s="209"/>
      <c r="F9" s="209"/>
      <c r="G9" s="209" t="s">
        <v>419</v>
      </c>
      <c r="H9" s="209" t="s">
        <v>419</v>
      </c>
      <c r="I9" s="209" t="s">
        <v>419</v>
      </c>
      <c r="J9" s="209" t="s">
        <v>419</v>
      </c>
      <c r="K9" t="s">
        <v>419</v>
      </c>
    </row>
    <row r="10" spans="1:11" x14ac:dyDescent="0.25">
      <c r="B10" s="209"/>
      <c r="C10" s="209"/>
      <c r="D10" s="209"/>
      <c r="E10" s="209"/>
      <c r="F10" s="209"/>
      <c r="G10" s="209" t="s">
        <v>421</v>
      </c>
      <c r="H10" s="209" t="s">
        <v>421</v>
      </c>
      <c r="I10" s="209" t="s">
        <v>421</v>
      </c>
      <c r="J10" s="209" t="s">
        <v>421</v>
      </c>
      <c r="K10" t="s">
        <v>421</v>
      </c>
    </row>
    <row r="11" spans="1:11" x14ac:dyDescent="0.25">
      <c r="B11" s="182"/>
      <c r="C11" s="182"/>
      <c r="D11" s="182"/>
      <c r="E11" s="182"/>
      <c r="F11" s="182"/>
      <c r="J11" s="209" t="s">
        <v>144</v>
      </c>
      <c r="K11" t="s">
        <v>144</v>
      </c>
    </row>
    <row r="12" spans="1:11" x14ac:dyDescent="0.25">
      <c r="B12" s="182"/>
      <c r="C12" s="182"/>
      <c r="D12" s="182"/>
      <c r="E12" s="182"/>
      <c r="F12" s="182"/>
      <c r="J12" s="209" t="s">
        <v>456</v>
      </c>
      <c r="K12" t="s">
        <v>456</v>
      </c>
    </row>
    <row r="33" spans="1:4" x14ac:dyDescent="0.25">
      <c r="C33" t="s">
        <v>431</v>
      </c>
      <c r="D33" t="s">
        <v>432</v>
      </c>
    </row>
    <row r="34" spans="1:4" x14ac:dyDescent="0.25">
      <c r="A34" s="189" t="s">
        <v>413</v>
      </c>
      <c r="B34" s="190">
        <v>619970000</v>
      </c>
      <c r="C34" s="189" t="s">
        <v>81</v>
      </c>
      <c r="D34" s="189"/>
    </row>
    <row r="35" spans="1:4" x14ac:dyDescent="0.25">
      <c r="A35" s="189" t="s">
        <v>417</v>
      </c>
      <c r="B35" s="190">
        <v>743823000</v>
      </c>
      <c r="C35" s="189" t="s">
        <v>79</v>
      </c>
      <c r="D35" s="189" t="s">
        <v>81</v>
      </c>
    </row>
    <row r="36" spans="1:4" x14ac:dyDescent="0.25">
      <c r="A36" s="189" t="s">
        <v>457</v>
      </c>
      <c r="B36" s="190">
        <v>9916643000</v>
      </c>
      <c r="C36" s="189" t="s">
        <v>83</v>
      </c>
      <c r="D36" s="189"/>
    </row>
    <row r="37" spans="1:4" x14ac:dyDescent="0.25">
      <c r="A37" s="189" t="s">
        <v>419</v>
      </c>
      <c r="B37" s="190">
        <v>368192385</v>
      </c>
      <c r="C37" s="189" t="s">
        <v>77</v>
      </c>
      <c r="D37" s="189"/>
    </row>
    <row r="38" spans="1:4" x14ac:dyDescent="0.25">
      <c r="A38" s="189" t="s">
        <v>420</v>
      </c>
      <c r="B38" s="190">
        <v>3719115000</v>
      </c>
      <c r="C38" s="189" t="s">
        <v>81</v>
      </c>
      <c r="D38" s="189"/>
    </row>
    <row r="39" spans="1:4" x14ac:dyDescent="0.25">
      <c r="A39" s="189" t="s">
        <v>144</v>
      </c>
      <c r="B39" s="190">
        <v>2460599988</v>
      </c>
      <c r="C39" s="189" t="s">
        <v>83</v>
      </c>
      <c r="D39" s="189"/>
    </row>
    <row r="40" spans="1:4" x14ac:dyDescent="0.25">
      <c r="A40" s="189" t="s">
        <v>456</v>
      </c>
      <c r="B40" s="190">
        <v>2181880799.752059</v>
      </c>
      <c r="C40" s="189" t="s">
        <v>87</v>
      </c>
      <c r="D40" s="189"/>
    </row>
    <row r="41" spans="1:4" x14ac:dyDescent="0.25">
      <c r="A41" s="189"/>
      <c r="B41" s="190"/>
      <c r="C41" s="189"/>
      <c r="D41" s="189"/>
    </row>
    <row r="42" spans="1:4" x14ac:dyDescent="0.25">
      <c r="B42" s="2">
        <f>SUM(B34:B40)</f>
        <v>20010224172.75206</v>
      </c>
    </row>
    <row r="45" spans="1:4" x14ac:dyDescent="0.25">
      <c r="A45" t="s">
        <v>77</v>
      </c>
      <c r="B45" s="191">
        <f>SUMIF($C$34:$C$38,A45,$B$34:$B$38)</f>
        <v>368192385</v>
      </c>
      <c r="C45" s="215">
        <f>B45/$B$50</f>
        <v>1.8400212902230647E-2</v>
      </c>
    </row>
    <row r="46" spans="1:4" x14ac:dyDescent="0.25">
      <c r="A46" t="s">
        <v>79</v>
      </c>
      <c r="B46" s="191">
        <f t="shared" ref="B46:B47" si="1">SUMIF($C$34:$C$38,A46,$B$34:$B$38)</f>
        <v>743823000</v>
      </c>
      <c r="C46" s="215">
        <f t="shared" ref="C46:C49" si="2">B46/$B$50</f>
        <v>3.7172147277233628E-2</v>
      </c>
    </row>
    <row r="47" spans="1:4" x14ac:dyDescent="0.25">
      <c r="A47" t="s">
        <v>81</v>
      </c>
      <c r="B47" s="191">
        <f t="shared" si="1"/>
        <v>4339085000</v>
      </c>
      <c r="C47" s="215">
        <f t="shared" si="2"/>
        <v>0.21684339778204664</v>
      </c>
    </row>
    <row r="48" spans="1:4" x14ac:dyDescent="0.25">
      <c r="A48" t="s">
        <v>83</v>
      </c>
      <c r="B48" s="191">
        <f>SUMIF($C$34:$C$40,A48,$B$34:$B$40)</f>
        <v>12377242988</v>
      </c>
      <c r="C48" s="215">
        <f t="shared" si="2"/>
        <v>0.61854594337099444</v>
      </c>
    </row>
    <row r="49" spans="1:3" x14ac:dyDescent="0.25">
      <c r="A49" t="s">
        <v>87</v>
      </c>
      <c r="B49" s="191">
        <f>SUMIF($C$34:$C$40,A49,$B$34:$B$40)</f>
        <v>2181880799.752059</v>
      </c>
      <c r="C49" s="215">
        <f t="shared" si="2"/>
        <v>0.10903829866749459</v>
      </c>
    </row>
    <row r="50" spans="1:3" x14ac:dyDescent="0.25">
      <c r="B50" s="2">
        <f>SUM(B45:B49)</f>
        <v>20010224172.75206</v>
      </c>
      <c r="C50" s="21">
        <f>SUM(C45:C49)</f>
        <v>0.99999999999999989</v>
      </c>
    </row>
    <row r="51" spans="1:3" x14ac:dyDescent="0.25">
      <c r="A51" s="192" t="s">
        <v>14</v>
      </c>
      <c r="B51" s="193">
        <f>B50-B42</f>
        <v>0</v>
      </c>
    </row>
    <row r="52" spans="1:3" x14ac:dyDescent="0.25">
      <c r="A52" s="192"/>
      <c r="B52" s="192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H17" sqref="H17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446</v>
      </c>
    </row>
    <row r="2" spans="1:19" ht="15.75" thickBot="1" x14ac:dyDescent="0.3">
      <c r="A2" s="249" t="s">
        <v>42</v>
      </c>
      <c r="B2" s="250"/>
      <c r="C2" s="250"/>
      <c r="D2" s="250"/>
      <c r="E2" s="251"/>
      <c r="H2" s="249" t="s">
        <v>49</v>
      </c>
      <c r="I2" s="250"/>
      <c r="J2" s="250"/>
      <c r="K2" s="250"/>
      <c r="L2" s="251"/>
    </row>
    <row r="3" spans="1:19" x14ac:dyDescent="0.25">
      <c r="A3" s="248" t="s">
        <v>440</v>
      </c>
      <c r="B3" s="248"/>
      <c r="C3" s="248"/>
      <c r="D3" s="248"/>
      <c r="E3" s="248"/>
    </row>
    <row r="4" spans="1:19" ht="25.5" x14ac:dyDescent="0.25">
      <c r="A4" s="196" t="s">
        <v>44</v>
      </c>
      <c r="B4" s="196" t="s">
        <v>441</v>
      </c>
      <c r="C4" s="196" t="s">
        <v>102</v>
      </c>
      <c r="D4" s="197" t="s">
        <v>433</v>
      </c>
      <c r="E4" s="80" t="s">
        <v>164</v>
      </c>
    </row>
    <row r="5" spans="1:19" x14ac:dyDescent="0.25">
      <c r="A5" s="5"/>
      <c r="B5" s="5"/>
      <c r="C5" s="5"/>
      <c r="D5" s="198"/>
      <c r="E5" s="108" t="s">
        <v>77</v>
      </c>
    </row>
    <row r="8" spans="1:19" x14ac:dyDescent="0.25">
      <c r="A8" s="252" t="s">
        <v>442</v>
      </c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252"/>
    </row>
    <row r="9" spans="1:19" x14ac:dyDescent="0.25">
      <c r="A9" s="248" t="s">
        <v>443</v>
      </c>
      <c r="B9" s="248"/>
      <c r="C9" s="248"/>
      <c r="D9" s="248"/>
      <c r="E9" s="248"/>
      <c r="H9" s="248" t="s">
        <v>443</v>
      </c>
      <c r="I9" s="248"/>
      <c r="J9" s="248"/>
      <c r="K9" s="248"/>
      <c r="L9" s="248"/>
      <c r="O9" s="248" t="s">
        <v>444</v>
      </c>
      <c r="P9" s="248"/>
      <c r="Q9" s="248"/>
      <c r="R9" s="248"/>
      <c r="S9" s="248"/>
    </row>
    <row r="10" spans="1:19" ht="25.5" x14ac:dyDescent="0.25">
      <c r="A10" s="196" t="s">
        <v>44</v>
      </c>
      <c r="B10" s="196" t="s">
        <v>441</v>
      </c>
      <c r="C10" s="196" t="s">
        <v>102</v>
      </c>
      <c r="D10" s="197" t="str">
        <f>D4</f>
        <v>Вложения (руб) на 01.03.2021</v>
      </c>
      <c r="E10" s="80" t="s">
        <v>164</v>
      </c>
      <c r="H10" s="196" t="s">
        <v>44</v>
      </c>
      <c r="I10" s="196" t="s">
        <v>441</v>
      </c>
      <c r="J10" s="196" t="s">
        <v>102</v>
      </c>
      <c r="K10" s="197" t="str">
        <f>D4</f>
        <v>Вложения (руб) на 01.03.2021</v>
      </c>
      <c r="L10" s="80" t="s">
        <v>164</v>
      </c>
      <c r="O10" s="253" t="s">
        <v>42</v>
      </c>
      <c r="P10" s="253"/>
      <c r="Q10" s="199"/>
      <c r="R10" s="253" t="s">
        <v>49</v>
      </c>
      <c r="S10" s="253"/>
    </row>
    <row r="11" spans="1:19" x14ac:dyDescent="0.25">
      <c r="A11" s="196" t="s">
        <v>42</v>
      </c>
      <c r="B11" s="196" t="s">
        <v>434</v>
      </c>
      <c r="C11" s="196" t="s">
        <v>163</v>
      </c>
      <c r="D11" s="198"/>
      <c r="E11" s="108" t="s">
        <v>77</v>
      </c>
      <c r="H11" s="5"/>
      <c r="I11" s="5"/>
      <c r="J11" s="5"/>
      <c r="K11" s="5"/>
      <c r="L11" s="5"/>
      <c r="O11" s="156" t="s">
        <v>71</v>
      </c>
      <c r="P11" s="140">
        <f>SUMIF($E$23:$E$88,O11,$D$23:D$88)</f>
        <v>0</v>
      </c>
      <c r="Q11" s="199"/>
      <c r="R11" s="156" t="s">
        <v>71</v>
      </c>
      <c r="S11" s="140">
        <f>SUMIF($L$23:L$39,R11,$K$23:$K$39)</f>
        <v>0</v>
      </c>
    </row>
    <row r="12" spans="1:19" x14ac:dyDescent="0.25">
      <c r="A12" s="200"/>
      <c r="B12" s="200"/>
      <c r="C12" s="200"/>
      <c r="D12" s="201"/>
      <c r="E12" s="202"/>
      <c r="O12" s="139" t="s">
        <v>73</v>
      </c>
      <c r="P12" s="140">
        <f>SUMIF($E$23:$E$88,O12,$D$23:D$88)</f>
        <v>0</v>
      </c>
      <c r="Q12" s="199"/>
      <c r="R12" s="139" t="s">
        <v>73</v>
      </c>
      <c r="S12" s="140">
        <f>SUMIF($L$23:L$39,R12,$K$23:$K$39)</f>
        <v>0</v>
      </c>
    </row>
    <row r="13" spans="1:19" x14ac:dyDescent="0.25">
      <c r="O13" s="139" t="s">
        <v>75</v>
      </c>
      <c r="P13" s="140">
        <f>SUMIF($E$23:$E$88,O13,$D$23:D$88)</f>
        <v>0</v>
      </c>
      <c r="Q13" s="199"/>
      <c r="R13" s="139" t="s">
        <v>75</v>
      </c>
      <c r="S13" s="140">
        <f>SUMIF($L$23:L$39,R13,$K$23:$K$39)</f>
        <v>0</v>
      </c>
    </row>
    <row r="14" spans="1:19" x14ac:dyDescent="0.25">
      <c r="A14" s="200"/>
      <c r="B14" s="200"/>
      <c r="C14" s="200"/>
      <c r="D14" s="201"/>
      <c r="E14" s="202"/>
      <c r="O14" s="139" t="s">
        <v>77</v>
      </c>
      <c r="P14" s="140">
        <f>SUMIF($E$23:$E$88,O14,$D$23:D$88)</f>
        <v>0</v>
      </c>
      <c r="Q14" s="199"/>
      <c r="R14" s="139" t="s">
        <v>77</v>
      </c>
      <c r="S14" s="140">
        <f>SUMIF($L$23:L$39,R14,$K$23:$K$39)</f>
        <v>0</v>
      </c>
    </row>
    <row r="15" spans="1:19" x14ac:dyDescent="0.25">
      <c r="A15" s="248" t="s">
        <v>445</v>
      </c>
      <c r="B15" s="248"/>
      <c r="C15" s="248"/>
      <c r="D15" s="248"/>
      <c r="E15" s="248"/>
      <c r="H15" s="248" t="s">
        <v>445</v>
      </c>
      <c r="I15" s="248"/>
      <c r="J15" s="248"/>
      <c r="K15" s="248"/>
      <c r="L15" s="248"/>
      <c r="O15" s="156" t="s">
        <v>79</v>
      </c>
      <c r="P15" s="140">
        <f>SUMIF($E$23:$E$88,O15,$D$23:D$88)</f>
        <v>0</v>
      </c>
      <c r="Q15" s="199"/>
      <c r="R15" s="156" t="s">
        <v>79</v>
      </c>
      <c r="S15" s="140">
        <f>SUMIF($L$23:L$39,R15,$K$23:$K$39)</f>
        <v>0</v>
      </c>
    </row>
    <row r="16" spans="1:19" ht="25.5" x14ac:dyDescent="0.25">
      <c r="A16" s="196" t="s">
        <v>44</v>
      </c>
      <c r="B16" s="196" t="s">
        <v>441</v>
      </c>
      <c r="C16" s="196" t="s">
        <v>102</v>
      </c>
      <c r="D16" s="197" t="str">
        <f>D4</f>
        <v>Вложения (руб) на 01.03.2021</v>
      </c>
      <c r="E16" s="80" t="s">
        <v>164</v>
      </c>
      <c r="H16" s="196" t="s">
        <v>44</v>
      </c>
      <c r="I16" s="196" t="s">
        <v>441</v>
      </c>
      <c r="J16" s="196" t="s">
        <v>102</v>
      </c>
      <c r="K16" s="197" t="str">
        <f>D4</f>
        <v>Вложения (руб) на 01.03.2021</v>
      </c>
      <c r="L16" s="80" t="s">
        <v>164</v>
      </c>
      <c r="O16" s="157" t="s">
        <v>81</v>
      </c>
      <c r="P16" s="140">
        <f>SUMIF($E$23:$E$88,O16,$D$23:D$88)</f>
        <v>0</v>
      </c>
      <c r="Q16" s="199"/>
      <c r="R16" s="157" t="s">
        <v>81</v>
      </c>
      <c r="S16" s="140">
        <f>SUMIF($L$23:L$39,R16,$K$23:$K$39)</f>
        <v>0</v>
      </c>
    </row>
    <row r="17" spans="1:21" x14ac:dyDescent="0.25">
      <c r="A17" s="196"/>
      <c r="B17" s="196"/>
      <c r="C17" s="196"/>
      <c r="D17" s="198">
        <v>0</v>
      </c>
      <c r="E17" s="108"/>
      <c r="H17" s="196"/>
      <c r="I17" s="196"/>
      <c r="J17" s="196"/>
      <c r="K17" s="198"/>
      <c r="L17" s="108"/>
      <c r="O17" s="157" t="s">
        <v>83</v>
      </c>
      <c r="P17" s="140">
        <f>SUMIF($E$23:$E$88,O17,$D$23:D$88)</f>
        <v>0</v>
      </c>
      <c r="Q17" s="199"/>
      <c r="R17" s="157" t="s">
        <v>83</v>
      </c>
      <c r="S17" s="140">
        <f>SUMIF($L$23:L$39,R17,$K$23:$K$39)</f>
        <v>0</v>
      </c>
    </row>
    <row r="18" spans="1:21" x14ac:dyDescent="0.25">
      <c r="O18" s="156" t="s">
        <v>85</v>
      </c>
      <c r="P18" s="140">
        <f>SUMIF($E$23:$E$88,O18,$D$23:D$88)</f>
        <v>0</v>
      </c>
      <c r="Q18" s="199"/>
      <c r="R18" s="156" t="s">
        <v>85</v>
      </c>
      <c r="S18" s="140">
        <f>SUMIF($L$23:L$39,R18,$K$23:$K$39)</f>
        <v>0</v>
      </c>
    </row>
    <row r="19" spans="1:21" x14ac:dyDescent="0.25">
      <c r="O19" s="156" t="s">
        <v>87</v>
      </c>
      <c r="P19" s="140">
        <f>SUMIF($E$23:$E$88,O19,$D$23:D$88)</f>
        <v>0</v>
      </c>
      <c r="Q19" s="199"/>
      <c r="R19" s="156" t="s">
        <v>87</v>
      </c>
      <c r="S19" s="140">
        <f>SUMIF($L$23:L$39,R19,$K$23:$K$39)</f>
        <v>0</v>
      </c>
    </row>
    <row r="20" spans="1:21" x14ac:dyDescent="0.25">
      <c r="O20" s="156" t="s">
        <v>89</v>
      </c>
      <c r="P20" s="140">
        <f>SUMIF($E$23:$E$88,O20,$D$23:D$88)</f>
        <v>0</v>
      </c>
      <c r="Q20" s="199"/>
      <c r="R20" s="156" t="s">
        <v>89</v>
      </c>
      <c r="S20" s="140">
        <f>SUMIF($L$23:L$39,R20,$K$23:$K$39)</f>
        <v>0</v>
      </c>
    </row>
    <row r="21" spans="1:21" x14ac:dyDescent="0.25">
      <c r="A21" s="248" t="s">
        <v>444</v>
      </c>
      <c r="B21" s="248"/>
      <c r="C21" s="248"/>
      <c r="D21" s="248"/>
      <c r="E21" s="248"/>
      <c r="F21" s="79"/>
      <c r="G21" s="79"/>
      <c r="H21" s="248" t="s">
        <v>444</v>
      </c>
      <c r="I21" s="248"/>
      <c r="J21" s="248"/>
      <c r="K21" s="248"/>
      <c r="L21" s="248"/>
      <c r="M21" s="79"/>
      <c r="N21" s="199"/>
      <c r="O21" s="156" t="s">
        <v>116</v>
      </c>
      <c r="P21" s="140">
        <f>SUMIF($E$23:$E$88,O21,$D$23:D$88)</f>
        <v>0</v>
      </c>
      <c r="Q21" s="199"/>
      <c r="R21" s="156" t="s">
        <v>116</v>
      </c>
      <c r="S21" s="140">
        <f>SUMIF($L$23:L$39,R21,$K$23:$K$39)</f>
        <v>0</v>
      </c>
    </row>
    <row r="22" spans="1:21" ht="38.25" customHeight="1" x14ac:dyDescent="0.25">
      <c r="A22" s="196" t="s">
        <v>44</v>
      </c>
      <c r="B22" s="196" t="s">
        <v>441</v>
      </c>
      <c r="C22" s="196" t="s">
        <v>102</v>
      </c>
      <c r="D22" s="197" t="str">
        <f>D4</f>
        <v>Вложения (руб) на 01.03.2021</v>
      </c>
      <c r="E22" s="80" t="s">
        <v>164</v>
      </c>
      <c r="F22" s="202"/>
      <c r="G22" s="202"/>
      <c r="H22" s="196" t="s">
        <v>44</v>
      </c>
      <c r="I22" s="196" t="s">
        <v>441</v>
      </c>
      <c r="J22" s="196" t="s">
        <v>102</v>
      </c>
      <c r="K22" s="197" t="str">
        <f>D4</f>
        <v>Вложения (руб) на 01.03.2021</v>
      </c>
      <c r="L22" s="80" t="s">
        <v>164</v>
      </c>
      <c r="M22" s="202"/>
      <c r="N22" s="199"/>
      <c r="O22" s="156"/>
      <c r="P22" s="140">
        <f>SUM(P11:P21)</f>
        <v>0</v>
      </c>
      <c r="Q22" s="199"/>
      <c r="R22" s="156"/>
      <c r="S22" s="140">
        <f>SUM(S11:S21)</f>
        <v>0</v>
      </c>
    </row>
    <row r="23" spans="1:21" x14ac:dyDescent="0.25">
      <c r="A23" s="196"/>
      <c r="B23" s="196"/>
      <c r="C23" s="196"/>
      <c r="D23" s="198"/>
      <c r="E23" s="108"/>
      <c r="F23" s="203"/>
      <c r="G23" s="203"/>
      <c r="H23" s="196"/>
      <c r="I23" s="196"/>
      <c r="J23" s="196"/>
      <c r="K23" s="198"/>
      <c r="L23" s="108"/>
      <c r="M23" s="203"/>
      <c r="N23" s="199"/>
      <c r="O23" s="144" t="s">
        <v>14</v>
      </c>
      <c r="P23" s="140">
        <f ca="1">P22+D5+D11+D17-'портефль до погашения'!F3</f>
        <v>-59393911625.97998</v>
      </c>
      <c r="Q23" s="199"/>
      <c r="R23" s="144" t="s">
        <v>14</v>
      </c>
      <c r="S23" s="140">
        <f ca="1">S22+K11+K17-'портефль до погашения'!F4</f>
        <v>-3117188314.44348</v>
      </c>
    </row>
    <row r="24" spans="1:21" x14ac:dyDescent="0.25">
      <c r="A24" s="196"/>
      <c r="B24" s="196"/>
      <c r="C24" s="196"/>
      <c r="D24" s="198"/>
      <c r="E24" s="108"/>
      <c r="F24" s="203"/>
      <c r="G24" s="203"/>
      <c r="H24" s="196"/>
      <c r="I24" s="196"/>
      <c r="J24" s="196"/>
      <c r="K24" s="198"/>
      <c r="L24" s="108"/>
      <c r="M24" s="203"/>
      <c r="N24" s="199"/>
      <c r="O24" s="199"/>
      <c r="P24" s="199"/>
      <c r="Q24" s="199"/>
      <c r="R24" s="199"/>
      <c r="S24" s="199"/>
    </row>
    <row r="25" spans="1:21" x14ac:dyDescent="0.25">
      <c r="A25" s="196"/>
      <c r="B25" s="196"/>
      <c r="C25" s="196"/>
      <c r="D25" s="198"/>
      <c r="E25" s="108"/>
      <c r="F25" s="203"/>
      <c r="G25" s="203"/>
      <c r="H25" s="196"/>
      <c r="I25" s="196"/>
      <c r="J25" s="196"/>
      <c r="K25" s="198"/>
      <c r="L25" s="108"/>
      <c r="M25" s="203"/>
      <c r="N25" s="199"/>
      <c r="O25" s="199"/>
      <c r="P25" s="199"/>
      <c r="Q25" s="199"/>
      <c r="R25" s="199"/>
      <c r="S25" s="199"/>
    </row>
    <row r="26" spans="1:21" x14ac:dyDescent="0.25">
      <c r="A26" s="196"/>
      <c r="B26" s="196"/>
      <c r="C26" s="196"/>
      <c r="D26" s="198"/>
      <c r="E26" s="108"/>
      <c r="F26" s="203"/>
      <c r="G26" s="203"/>
      <c r="H26" s="196"/>
      <c r="I26" s="196"/>
      <c r="J26" s="196"/>
      <c r="K26" s="198"/>
      <c r="L26" s="108"/>
      <c r="M26" s="203"/>
      <c r="N26" s="199"/>
      <c r="O26" s="199"/>
      <c r="P26" s="199"/>
      <c r="Q26" s="199"/>
      <c r="R26" s="199"/>
      <c r="S26" s="199"/>
    </row>
    <row r="27" spans="1:21" x14ac:dyDescent="0.25">
      <c r="A27" s="196"/>
      <c r="B27" s="196"/>
      <c r="C27" s="196"/>
      <c r="D27" s="198"/>
      <c r="E27" s="108"/>
      <c r="F27" s="203"/>
      <c r="G27" s="203"/>
      <c r="H27" s="196"/>
      <c r="I27" s="196"/>
      <c r="J27" s="196"/>
      <c r="K27" s="198"/>
      <c r="L27" s="108"/>
      <c r="M27" s="203"/>
      <c r="N27" s="199"/>
      <c r="O27" s="199"/>
      <c r="P27" s="199"/>
      <c r="Q27" s="199"/>
      <c r="R27" s="199"/>
      <c r="S27" s="199"/>
      <c r="T27" s="199"/>
      <c r="U27" s="199"/>
    </row>
    <row r="28" spans="1:21" x14ac:dyDescent="0.25">
      <c r="A28" s="196"/>
      <c r="B28" s="196"/>
      <c r="C28" s="196"/>
      <c r="D28" s="198"/>
      <c r="E28" s="108"/>
      <c r="F28" s="203"/>
      <c r="G28" s="203"/>
      <c r="H28" s="196"/>
      <c r="I28" s="196"/>
      <c r="J28" s="196"/>
      <c r="K28" s="198"/>
      <c r="L28" s="108"/>
      <c r="M28" s="203"/>
      <c r="N28" s="199"/>
      <c r="O28" s="199"/>
      <c r="P28" s="199"/>
      <c r="Q28" s="199"/>
      <c r="R28" s="199"/>
      <c r="S28" s="199"/>
      <c r="T28" s="199"/>
      <c r="U28" s="199"/>
    </row>
    <row r="29" spans="1:21" x14ac:dyDescent="0.25">
      <c r="A29" s="196"/>
      <c r="B29" s="196"/>
      <c r="C29" s="196"/>
      <c r="D29" s="198"/>
      <c r="E29" s="108"/>
      <c r="F29" s="203"/>
      <c r="G29" s="203"/>
      <c r="H29" s="196"/>
      <c r="I29" s="196"/>
      <c r="J29" s="196"/>
      <c r="K29" s="198"/>
      <c r="L29" s="108"/>
      <c r="M29" s="203"/>
      <c r="N29" s="199"/>
      <c r="O29" s="199"/>
      <c r="P29" s="199"/>
      <c r="Q29" s="199"/>
      <c r="R29" s="199"/>
      <c r="S29" s="199"/>
      <c r="T29" s="199"/>
      <c r="U29" s="199"/>
    </row>
    <row r="30" spans="1:21" x14ac:dyDescent="0.25">
      <c r="A30" s="196"/>
      <c r="B30" s="196"/>
      <c r="C30" s="196"/>
      <c r="D30" s="198"/>
      <c r="E30" s="108"/>
      <c r="F30" s="203"/>
      <c r="G30" s="203"/>
      <c r="H30" s="196"/>
      <c r="I30" s="196"/>
      <c r="J30" s="196"/>
      <c r="K30" s="198"/>
      <c r="L30" s="108"/>
      <c r="M30" s="203"/>
      <c r="N30" s="199"/>
      <c r="O30" s="199"/>
      <c r="P30" s="199"/>
      <c r="Q30" s="199"/>
      <c r="R30" s="199"/>
      <c r="S30" s="199"/>
      <c r="T30" s="199"/>
      <c r="U30" s="199"/>
    </row>
    <row r="31" spans="1:21" x14ac:dyDescent="0.25">
      <c r="A31" s="196"/>
      <c r="B31" s="196"/>
      <c r="C31" s="196"/>
      <c r="D31" s="198"/>
      <c r="E31" s="108"/>
      <c r="F31" s="203"/>
      <c r="G31" s="203"/>
      <c r="H31" s="203"/>
      <c r="I31" s="203"/>
      <c r="J31" s="203"/>
      <c r="K31" s="203"/>
      <c r="L31" s="203"/>
      <c r="M31" s="203"/>
      <c r="N31" s="199"/>
      <c r="O31" s="199"/>
      <c r="P31" s="199"/>
      <c r="Q31" s="199"/>
      <c r="R31" s="199"/>
      <c r="S31" s="199"/>
      <c r="T31" s="199"/>
      <c r="U31" s="199"/>
    </row>
    <row r="32" spans="1:21" x14ac:dyDescent="0.25">
      <c r="A32" s="196"/>
      <c r="B32" s="196"/>
      <c r="C32" s="196"/>
      <c r="D32" s="198"/>
      <c r="E32" s="108"/>
      <c r="F32" s="203"/>
      <c r="G32" s="203"/>
      <c r="H32" s="203"/>
      <c r="I32" s="203"/>
      <c r="J32" s="203"/>
      <c r="K32" s="203"/>
      <c r="L32" s="203"/>
      <c r="M32" s="203"/>
      <c r="N32" s="199"/>
      <c r="O32" s="199"/>
      <c r="P32" s="199"/>
      <c r="Q32" s="199"/>
      <c r="R32" s="199"/>
      <c r="S32" s="199"/>
      <c r="T32" s="199"/>
      <c r="U32" s="199"/>
    </row>
    <row r="33" spans="1:21" x14ac:dyDescent="0.25">
      <c r="A33" s="196"/>
      <c r="B33" s="196"/>
      <c r="C33" s="196"/>
      <c r="D33" s="198"/>
      <c r="E33" s="108"/>
      <c r="F33" s="203"/>
      <c r="G33" s="203"/>
      <c r="H33" s="203"/>
      <c r="I33" s="203"/>
      <c r="J33" s="203"/>
      <c r="K33" s="203"/>
      <c r="L33" s="203"/>
      <c r="M33" s="203"/>
      <c r="N33" s="199"/>
      <c r="O33" s="199"/>
      <c r="P33" s="199"/>
      <c r="Q33" s="199"/>
      <c r="R33" s="199"/>
      <c r="S33" s="199"/>
      <c r="T33" s="199"/>
      <c r="U33" s="199"/>
    </row>
    <row r="34" spans="1:21" x14ac:dyDescent="0.25">
      <c r="A34" s="196"/>
      <c r="B34" s="196"/>
      <c r="C34" s="196"/>
      <c r="D34" s="198"/>
      <c r="E34" s="108"/>
      <c r="F34" s="203"/>
      <c r="G34" s="203"/>
      <c r="H34" s="203"/>
      <c r="I34" s="203"/>
      <c r="J34" s="203"/>
      <c r="K34" s="203"/>
      <c r="L34" s="203"/>
      <c r="M34" s="203"/>
      <c r="N34" s="199"/>
      <c r="O34" s="199"/>
      <c r="P34" s="199"/>
      <c r="Q34" s="199"/>
      <c r="R34" s="199"/>
      <c r="S34" s="199"/>
      <c r="T34" s="199"/>
      <c r="U34" s="199"/>
    </row>
    <row r="35" spans="1:21" x14ac:dyDescent="0.25">
      <c r="A35" s="196"/>
      <c r="B35" s="196"/>
      <c r="C35" s="196"/>
      <c r="D35" s="198"/>
      <c r="E35" s="108"/>
      <c r="F35" s="203"/>
      <c r="G35" s="203"/>
      <c r="H35" s="203"/>
      <c r="I35" s="203"/>
      <c r="J35" s="203"/>
      <c r="K35" s="203"/>
      <c r="L35" s="203"/>
      <c r="M35" s="203"/>
      <c r="N35" s="199"/>
      <c r="O35" s="199"/>
      <c r="P35" s="199"/>
      <c r="Q35" s="199"/>
      <c r="R35" s="199"/>
      <c r="S35" s="199"/>
    </row>
    <row r="36" spans="1:21" x14ac:dyDescent="0.25">
      <c r="A36" s="196"/>
      <c r="B36" s="196"/>
      <c r="C36" s="196"/>
      <c r="D36" s="198"/>
      <c r="E36" s="108"/>
      <c r="F36" s="203"/>
      <c r="G36" s="203"/>
      <c r="H36" s="203"/>
      <c r="I36" s="203"/>
      <c r="J36" s="203"/>
      <c r="K36" s="203"/>
      <c r="L36" s="203"/>
      <c r="M36" s="203"/>
      <c r="N36" s="199"/>
      <c r="O36" s="199"/>
      <c r="P36" s="199"/>
      <c r="Q36" s="199"/>
      <c r="R36" s="199"/>
      <c r="S36" s="199"/>
    </row>
    <row r="37" spans="1:21" x14ac:dyDescent="0.25">
      <c r="A37" s="196"/>
      <c r="B37" s="196"/>
      <c r="C37" s="196"/>
      <c r="D37" s="198"/>
      <c r="E37" s="108"/>
      <c r="F37" s="203"/>
      <c r="G37" s="203"/>
      <c r="H37" s="203"/>
      <c r="I37" s="203"/>
      <c r="J37" s="203"/>
      <c r="K37" s="203"/>
      <c r="L37" s="203"/>
      <c r="M37" s="203"/>
      <c r="N37" s="199"/>
      <c r="O37" s="199"/>
      <c r="P37" s="199"/>
      <c r="Q37" s="199"/>
      <c r="R37" s="199"/>
      <c r="S37" s="199"/>
    </row>
    <row r="38" spans="1:21" x14ac:dyDescent="0.25">
      <c r="A38" s="196"/>
      <c r="B38" s="196"/>
      <c r="C38" s="196"/>
      <c r="D38" s="198"/>
      <c r="E38" s="108"/>
      <c r="F38" s="203"/>
      <c r="G38" s="203"/>
      <c r="H38" s="203"/>
      <c r="I38" s="203"/>
      <c r="J38" s="203"/>
      <c r="K38" s="203"/>
      <c r="L38" s="203"/>
      <c r="M38" s="203"/>
      <c r="N38" s="199"/>
      <c r="O38" s="199"/>
      <c r="P38" s="199"/>
      <c r="Q38" s="199"/>
      <c r="R38" s="199"/>
      <c r="S38" s="199"/>
    </row>
    <row r="39" spans="1:21" x14ac:dyDescent="0.25">
      <c r="A39" s="196"/>
      <c r="B39" s="196"/>
      <c r="C39" s="196"/>
      <c r="D39" s="198"/>
      <c r="E39" s="108"/>
      <c r="F39" s="203"/>
      <c r="G39" s="203"/>
      <c r="H39" s="203"/>
      <c r="I39" s="203"/>
      <c r="J39" s="203"/>
      <c r="K39" s="203"/>
      <c r="L39" s="203"/>
      <c r="M39" s="203"/>
      <c r="N39" s="199"/>
      <c r="O39" s="199"/>
      <c r="P39" s="199"/>
      <c r="Q39" s="199"/>
      <c r="R39" s="199"/>
      <c r="S39" s="199"/>
    </row>
    <row r="40" spans="1:21" x14ac:dyDescent="0.25">
      <c r="A40" s="196"/>
      <c r="B40" s="196"/>
      <c r="C40" s="196"/>
      <c r="D40" s="198"/>
      <c r="E40" s="108"/>
      <c r="F40" s="203"/>
      <c r="G40" s="203"/>
      <c r="H40" s="203"/>
      <c r="I40" s="203"/>
      <c r="J40" s="203"/>
      <c r="K40" s="203"/>
      <c r="L40" s="203"/>
      <c r="M40" s="203"/>
      <c r="N40" s="199"/>
      <c r="O40" s="199"/>
      <c r="P40" s="199"/>
      <c r="Q40" s="199"/>
      <c r="R40" s="199"/>
      <c r="S40" s="199"/>
    </row>
    <row r="41" spans="1:21" x14ac:dyDescent="0.25">
      <c r="A41" s="196"/>
      <c r="B41" s="196"/>
      <c r="C41" s="196"/>
      <c r="D41" s="198"/>
      <c r="E41" s="108"/>
      <c r="F41" s="203"/>
      <c r="G41" s="203"/>
      <c r="H41" s="203"/>
      <c r="I41" s="203"/>
      <c r="J41" s="203"/>
      <c r="K41" s="203"/>
      <c r="L41" s="203"/>
      <c r="M41" s="203"/>
      <c r="N41" s="199"/>
      <c r="O41" s="199"/>
      <c r="P41" s="199"/>
      <c r="Q41" s="199"/>
      <c r="R41" s="199"/>
      <c r="S41" s="199"/>
    </row>
    <row r="42" spans="1:21" x14ac:dyDescent="0.25">
      <c r="A42" s="196"/>
      <c r="B42" s="196"/>
      <c r="C42" s="196"/>
      <c r="D42" s="198"/>
      <c r="E42" s="108"/>
      <c r="F42" s="203"/>
      <c r="G42" s="203"/>
      <c r="H42" s="203"/>
      <c r="I42" s="203"/>
      <c r="J42" s="203"/>
      <c r="K42" s="203"/>
      <c r="L42" s="203"/>
      <c r="M42" s="203"/>
      <c r="N42" s="199"/>
      <c r="O42" s="199"/>
      <c r="P42" s="199"/>
      <c r="Q42" s="199"/>
      <c r="R42" s="199"/>
      <c r="S42" s="199"/>
    </row>
    <row r="43" spans="1:21" x14ac:dyDescent="0.25">
      <c r="A43" s="196"/>
      <c r="B43" s="196"/>
      <c r="C43" s="196"/>
      <c r="D43" s="198"/>
      <c r="E43" s="108"/>
      <c r="F43" s="203"/>
      <c r="G43" s="203"/>
      <c r="H43" s="203"/>
      <c r="I43" s="203"/>
      <c r="J43" s="203"/>
      <c r="K43" s="203"/>
      <c r="L43" s="203"/>
      <c r="M43" s="203"/>
      <c r="N43" s="199"/>
      <c r="O43" s="199"/>
      <c r="P43" s="199"/>
      <c r="Q43" s="199"/>
      <c r="R43" s="199"/>
      <c r="S43" s="199"/>
    </row>
    <row r="44" spans="1:21" x14ac:dyDescent="0.25">
      <c r="A44" s="196"/>
      <c r="B44" s="196"/>
      <c r="C44" s="196"/>
      <c r="D44" s="198"/>
      <c r="E44" s="108"/>
      <c r="F44" s="203"/>
      <c r="G44" s="203"/>
      <c r="H44" s="203"/>
      <c r="I44" s="203"/>
      <c r="J44" s="203"/>
      <c r="K44" s="203"/>
      <c r="L44" s="203"/>
      <c r="M44" s="203"/>
      <c r="N44" s="199"/>
      <c r="O44" s="199"/>
      <c r="P44" s="199"/>
      <c r="Q44" s="199"/>
      <c r="R44" s="199"/>
      <c r="S44" s="199"/>
    </row>
    <row r="45" spans="1:21" x14ac:dyDescent="0.25">
      <c r="A45" s="196"/>
      <c r="B45" s="196"/>
      <c r="C45" s="196"/>
      <c r="D45" s="198"/>
      <c r="E45" s="108"/>
      <c r="F45" s="203"/>
      <c r="G45" s="203"/>
      <c r="H45" s="203"/>
      <c r="I45" s="203"/>
      <c r="J45" s="203"/>
      <c r="K45" s="203"/>
      <c r="L45" s="203"/>
      <c r="M45" s="203"/>
      <c r="N45" s="199"/>
      <c r="O45" s="199"/>
      <c r="P45" s="199"/>
      <c r="Q45" s="199"/>
      <c r="R45" s="199"/>
      <c r="S45" s="199"/>
    </row>
    <row r="46" spans="1:21" x14ac:dyDescent="0.25">
      <c r="A46" s="196"/>
      <c r="B46" s="196"/>
      <c r="C46" s="196"/>
      <c r="D46" s="198"/>
      <c r="E46" s="108"/>
      <c r="F46" s="203"/>
      <c r="G46" s="203"/>
      <c r="H46" s="203"/>
      <c r="I46" s="203"/>
      <c r="J46" s="203"/>
      <c r="K46" s="203"/>
      <c r="L46" s="203"/>
      <c r="M46" s="203"/>
      <c r="N46" s="199"/>
      <c r="O46" s="199"/>
      <c r="P46" s="199"/>
      <c r="Q46" s="199"/>
      <c r="R46" s="199"/>
      <c r="S46" s="199"/>
    </row>
    <row r="47" spans="1:21" x14ac:dyDescent="0.25">
      <c r="A47" s="196"/>
      <c r="B47" s="196"/>
      <c r="C47" s="196"/>
      <c r="D47" s="198"/>
      <c r="E47" s="108"/>
      <c r="F47" s="203"/>
      <c r="G47" s="203"/>
      <c r="H47" s="203"/>
      <c r="I47" s="203"/>
      <c r="J47" s="203"/>
      <c r="K47" s="203"/>
      <c r="L47" s="203"/>
      <c r="M47" s="203"/>
      <c r="N47" s="199"/>
      <c r="O47" s="199"/>
      <c r="P47" s="199"/>
      <c r="Q47" s="199"/>
      <c r="R47" s="199"/>
      <c r="S47" s="199"/>
    </row>
    <row r="48" spans="1:21" x14ac:dyDescent="0.25">
      <c r="A48" s="196"/>
      <c r="B48" s="196"/>
      <c r="C48" s="196"/>
      <c r="D48" s="198"/>
      <c r="E48" s="108"/>
      <c r="F48" s="203"/>
      <c r="G48" s="203"/>
      <c r="H48" s="203"/>
      <c r="I48" s="203"/>
      <c r="J48" s="203"/>
      <c r="K48" s="203"/>
      <c r="L48" s="203"/>
      <c r="M48" s="203"/>
      <c r="N48" s="199"/>
      <c r="O48" s="199"/>
      <c r="P48" s="199"/>
      <c r="Q48" s="199"/>
      <c r="R48" s="199"/>
      <c r="S48" s="199"/>
    </row>
    <row r="49" spans="1:19" x14ac:dyDescent="0.25">
      <c r="A49" s="196"/>
      <c r="B49" s="196"/>
      <c r="C49" s="196"/>
      <c r="D49" s="198"/>
      <c r="E49" s="108"/>
      <c r="F49" s="203"/>
      <c r="G49" s="203"/>
      <c r="H49" s="203"/>
      <c r="I49" s="203"/>
      <c r="J49" s="203"/>
      <c r="K49" s="203"/>
      <c r="L49" s="203"/>
      <c r="M49" s="203"/>
      <c r="N49" s="199"/>
      <c r="O49" s="199"/>
      <c r="P49" s="199"/>
      <c r="Q49" s="199"/>
      <c r="R49" s="199"/>
      <c r="S49" s="199"/>
    </row>
    <row r="50" spans="1:19" x14ac:dyDescent="0.25">
      <c r="A50" s="196"/>
      <c r="B50" s="196"/>
      <c r="C50" s="196"/>
      <c r="D50" s="198"/>
      <c r="E50" s="108"/>
      <c r="F50" s="203"/>
      <c r="G50" s="203"/>
      <c r="H50" s="203"/>
      <c r="I50" s="203"/>
      <c r="J50" s="203"/>
      <c r="K50" s="203"/>
      <c r="L50" s="203"/>
      <c r="M50" s="203"/>
      <c r="N50" s="199"/>
      <c r="O50" s="199"/>
      <c r="P50" s="199"/>
      <c r="Q50" s="199"/>
      <c r="R50" s="199"/>
      <c r="S50" s="199"/>
    </row>
    <row r="51" spans="1:19" x14ac:dyDescent="0.25">
      <c r="A51" s="196"/>
      <c r="B51" s="196"/>
      <c r="C51" s="196"/>
      <c r="D51" s="198"/>
      <c r="E51" s="108"/>
      <c r="F51" s="203"/>
      <c r="G51" s="203"/>
      <c r="H51" s="203"/>
      <c r="I51" s="203"/>
      <c r="J51" s="203"/>
      <c r="K51" s="203"/>
      <c r="L51" s="203"/>
      <c r="M51" s="203"/>
      <c r="N51" s="199"/>
      <c r="O51" s="199"/>
      <c r="P51" s="199"/>
      <c r="Q51" s="199"/>
      <c r="R51" s="199"/>
      <c r="S51" s="199"/>
    </row>
    <row r="52" spans="1:19" x14ac:dyDescent="0.25">
      <c r="A52" s="196"/>
      <c r="B52" s="196"/>
      <c r="C52" s="196"/>
      <c r="D52" s="198"/>
      <c r="E52" s="108"/>
      <c r="F52" s="203"/>
      <c r="G52" s="203"/>
      <c r="H52" s="203"/>
      <c r="I52" s="203"/>
      <c r="J52" s="203"/>
      <c r="K52" s="203"/>
      <c r="L52" s="203"/>
      <c r="M52" s="203"/>
      <c r="N52" s="199"/>
      <c r="O52" s="199"/>
      <c r="P52" s="199"/>
      <c r="Q52" s="199"/>
      <c r="R52" s="199"/>
      <c r="S52" s="199"/>
    </row>
    <row r="53" spans="1:19" x14ac:dyDescent="0.25">
      <c r="A53" s="196"/>
      <c r="B53" s="196"/>
      <c r="C53" s="196"/>
      <c r="D53" s="198"/>
      <c r="E53" s="108"/>
      <c r="F53" s="203"/>
      <c r="G53" s="203"/>
      <c r="H53" s="203"/>
      <c r="I53" s="203"/>
      <c r="J53" s="203"/>
      <c r="K53" s="203"/>
      <c r="L53" s="203"/>
      <c r="M53" s="203"/>
      <c r="N53" s="199"/>
      <c r="O53" s="199"/>
      <c r="P53" s="199"/>
      <c r="Q53" s="199"/>
      <c r="R53" s="199"/>
      <c r="S53" s="199"/>
    </row>
    <row r="54" spans="1:19" x14ac:dyDescent="0.25">
      <c r="A54" s="196"/>
      <c r="B54" s="196"/>
      <c r="C54" s="196"/>
      <c r="D54" s="198"/>
      <c r="E54" s="108"/>
      <c r="F54" s="203"/>
      <c r="G54" s="203"/>
      <c r="H54" s="203"/>
      <c r="I54" s="203"/>
      <c r="J54" s="203"/>
      <c r="K54" s="203"/>
      <c r="L54" s="203"/>
      <c r="M54" s="203"/>
      <c r="N54" s="199"/>
      <c r="O54" s="199"/>
      <c r="P54" s="199"/>
      <c r="Q54" s="199"/>
      <c r="R54" s="199"/>
      <c r="S54" s="199"/>
    </row>
    <row r="55" spans="1:19" x14ac:dyDescent="0.25">
      <c r="A55" s="196"/>
      <c r="B55" s="196"/>
      <c r="C55" s="196"/>
      <c r="D55" s="198"/>
      <c r="E55" s="108"/>
      <c r="F55" s="203"/>
      <c r="G55" s="203"/>
      <c r="H55" s="203"/>
      <c r="I55" s="203"/>
      <c r="J55" s="203"/>
      <c r="K55" s="203"/>
      <c r="L55" s="203"/>
      <c r="M55" s="203"/>
      <c r="N55" s="199"/>
      <c r="O55" s="199"/>
      <c r="P55" s="199"/>
      <c r="Q55" s="199"/>
      <c r="R55" s="199"/>
      <c r="S55" s="199"/>
    </row>
    <row r="56" spans="1:19" x14ac:dyDescent="0.25">
      <c r="A56" s="196"/>
      <c r="B56" s="196"/>
      <c r="C56" s="196"/>
      <c r="D56" s="198"/>
      <c r="E56" s="108"/>
      <c r="F56" s="203"/>
      <c r="G56" s="203"/>
      <c r="H56" s="203"/>
      <c r="I56" s="203"/>
      <c r="J56" s="203"/>
      <c r="K56" s="203"/>
      <c r="L56" s="203"/>
      <c r="M56" s="203"/>
      <c r="N56" s="199"/>
      <c r="O56" s="199"/>
      <c r="P56" s="199"/>
      <c r="Q56" s="199"/>
      <c r="R56" s="199"/>
      <c r="S56" s="199"/>
    </row>
    <row r="57" spans="1:19" x14ac:dyDescent="0.25">
      <c r="A57" s="196"/>
      <c r="B57" s="196"/>
      <c r="C57" s="196"/>
      <c r="D57" s="198"/>
      <c r="E57" s="108"/>
      <c r="F57" s="203"/>
      <c r="G57" s="203"/>
      <c r="H57" s="203"/>
      <c r="I57" s="203"/>
      <c r="J57" s="203"/>
      <c r="K57" s="203"/>
      <c r="L57" s="203"/>
      <c r="M57" s="203"/>
      <c r="N57" s="199"/>
      <c r="O57" s="199"/>
      <c r="P57" s="199"/>
      <c r="Q57" s="199"/>
      <c r="R57" s="199"/>
      <c r="S57" s="199"/>
    </row>
    <row r="58" spans="1:19" x14ac:dyDescent="0.25">
      <c r="A58" s="196"/>
      <c r="B58" s="196"/>
      <c r="C58" s="196"/>
      <c r="D58" s="198"/>
      <c r="E58" s="108"/>
      <c r="F58" s="203"/>
      <c r="G58" s="203"/>
      <c r="H58" s="203"/>
      <c r="I58" s="203"/>
      <c r="J58" s="203"/>
      <c r="K58" s="203"/>
      <c r="L58" s="203"/>
      <c r="M58" s="203"/>
      <c r="N58" s="199"/>
      <c r="O58" s="199"/>
      <c r="P58" s="199"/>
      <c r="Q58" s="199"/>
      <c r="R58" s="199"/>
      <c r="S58" s="199"/>
    </row>
    <row r="59" spans="1:19" x14ac:dyDescent="0.25">
      <c r="A59" s="196"/>
      <c r="B59" s="196"/>
      <c r="C59" s="196"/>
      <c r="D59" s="198"/>
      <c r="E59" s="108"/>
      <c r="F59" s="203"/>
      <c r="G59" s="203"/>
      <c r="H59" s="203"/>
      <c r="I59" s="203"/>
      <c r="J59" s="203"/>
      <c r="K59" s="203"/>
      <c r="L59" s="203"/>
      <c r="M59" s="203"/>
      <c r="N59" s="199"/>
      <c r="O59" s="199"/>
      <c r="P59" s="199"/>
      <c r="Q59" s="199"/>
      <c r="R59" s="199"/>
      <c r="S59" s="199"/>
    </row>
    <row r="60" spans="1:19" x14ac:dyDescent="0.25">
      <c r="A60" s="196"/>
      <c r="B60" s="196"/>
      <c r="C60" s="196"/>
      <c r="D60" s="198"/>
      <c r="E60" s="108"/>
      <c r="F60" s="203"/>
      <c r="G60" s="203"/>
      <c r="H60" s="203"/>
      <c r="I60" s="203"/>
      <c r="J60" s="203"/>
      <c r="K60" s="203"/>
      <c r="L60" s="203"/>
      <c r="M60" s="203"/>
      <c r="N60" s="199"/>
      <c r="O60" s="199"/>
      <c r="P60" s="199"/>
      <c r="Q60" s="199"/>
      <c r="R60" s="199"/>
      <c r="S60" s="199"/>
    </row>
    <row r="61" spans="1:19" x14ac:dyDescent="0.25">
      <c r="A61" s="196"/>
      <c r="B61" s="196"/>
      <c r="C61" s="196"/>
      <c r="D61" s="198"/>
      <c r="E61" s="108"/>
      <c r="F61" s="203"/>
      <c r="G61" s="203"/>
      <c r="H61" s="203"/>
      <c r="I61" s="203"/>
      <c r="J61" s="203"/>
      <c r="K61" s="203"/>
      <c r="L61" s="203"/>
      <c r="M61" s="203"/>
      <c r="N61" s="199"/>
      <c r="O61" s="199"/>
      <c r="P61" s="199"/>
      <c r="Q61" s="199"/>
      <c r="R61" s="199"/>
      <c r="S61" s="199"/>
    </row>
    <row r="62" spans="1:19" x14ac:dyDescent="0.25">
      <c r="A62" s="196"/>
      <c r="B62" s="196"/>
      <c r="C62" s="196"/>
      <c r="D62" s="198"/>
      <c r="E62" s="108"/>
      <c r="F62" s="203"/>
      <c r="G62" s="203"/>
      <c r="H62" s="203"/>
      <c r="I62" s="203"/>
      <c r="J62" s="203"/>
      <c r="K62" s="203"/>
      <c r="L62" s="203"/>
      <c r="M62" s="203"/>
      <c r="N62" s="199"/>
      <c r="O62" s="199"/>
      <c r="P62" s="199"/>
      <c r="Q62" s="199"/>
      <c r="R62" s="199"/>
      <c r="S62" s="199"/>
    </row>
    <row r="63" spans="1:19" x14ac:dyDescent="0.25">
      <c r="A63" s="196"/>
      <c r="B63" s="196"/>
      <c r="C63" s="196"/>
      <c r="D63" s="198"/>
      <c r="E63" s="108"/>
      <c r="F63" s="203"/>
      <c r="G63" s="203"/>
      <c r="H63" s="203"/>
      <c r="I63" s="203"/>
      <c r="J63" s="203"/>
      <c r="K63" s="203"/>
      <c r="L63" s="203"/>
      <c r="M63" s="203"/>
      <c r="N63" s="199"/>
      <c r="O63" s="199"/>
      <c r="P63" s="199"/>
      <c r="Q63" s="199"/>
      <c r="R63" s="199"/>
      <c r="S63" s="199"/>
    </row>
    <row r="64" spans="1:19" x14ac:dyDescent="0.25">
      <c r="A64" s="196"/>
      <c r="B64" s="196"/>
      <c r="C64" s="196"/>
      <c r="D64" s="198"/>
      <c r="E64" s="108"/>
      <c r="F64" s="203"/>
      <c r="G64" s="203"/>
      <c r="H64" s="203"/>
      <c r="I64" s="203"/>
      <c r="J64" s="203"/>
      <c r="K64" s="203"/>
      <c r="L64" s="203"/>
      <c r="M64" s="203"/>
      <c r="N64" s="199"/>
      <c r="O64" s="199"/>
      <c r="P64" s="199"/>
      <c r="Q64" s="199"/>
      <c r="R64" s="199"/>
      <c r="S64" s="199"/>
    </row>
    <row r="65" spans="1:19" x14ac:dyDescent="0.25">
      <c r="A65" s="196"/>
      <c r="B65" s="196"/>
      <c r="C65" s="196"/>
      <c r="D65" s="198"/>
      <c r="E65" s="108"/>
      <c r="F65" s="203"/>
      <c r="G65" s="203"/>
      <c r="H65" s="203"/>
      <c r="I65" s="203"/>
      <c r="J65" s="203"/>
      <c r="K65" s="203"/>
      <c r="L65" s="203"/>
      <c r="M65" s="203"/>
      <c r="N65" s="199"/>
      <c r="O65" s="199"/>
      <c r="P65" s="199"/>
      <c r="Q65" s="199"/>
      <c r="R65" s="199"/>
      <c r="S65" s="199"/>
    </row>
    <row r="66" spans="1:19" x14ac:dyDescent="0.25">
      <c r="A66" s="196"/>
      <c r="B66" s="196"/>
      <c r="C66" s="196"/>
      <c r="D66" s="198"/>
      <c r="E66" s="108"/>
      <c r="F66" s="203"/>
      <c r="G66" s="203"/>
      <c r="H66" s="203"/>
      <c r="I66" s="203"/>
      <c r="J66" s="203"/>
      <c r="K66" s="203"/>
      <c r="L66" s="203"/>
      <c r="M66" s="203"/>
      <c r="N66" s="199"/>
      <c r="O66" s="199"/>
      <c r="P66" s="199"/>
      <c r="Q66" s="199"/>
      <c r="R66" s="199"/>
      <c r="S66" s="199"/>
    </row>
    <row r="67" spans="1:19" x14ac:dyDescent="0.25">
      <c r="A67" s="196"/>
      <c r="B67" s="196"/>
      <c r="C67" s="196"/>
      <c r="D67" s="198"/>
      <c r="E67" s="108"/>
      <c r="F67" s="203"/>
      <c r="G67" s="203"/>
      <c r="H67" s="203"/>
      <c r="I67" s="203"/>
      <c r="J67" s="203"/>
      <c r="K67" s="203"/>
      <c r="L67" s="203"/>
      <c r="M67" s="203"/>
      <c r="N67" s="199"/>
      <c r="O67" s="199"/>
      <c r="P67" s="199"/>
      <c r="Q67" s="199"/>
      <c r="R67" s="199"/>
      <c r="S67" s="199"/>
    </row>
    <row r="68" spans="1:19" x14ac:dyDescent="0.25">
      <c r="A68" s="196"/>
      <c r="B68" s="196"/>
      <c r="C68" s="196"/>
      <c r="D68" s="198"/>
      <c r="E68" s="108"/>
      <c r="F68" s="203"/>
      <c r="G68" s="203"/>
      <c r="H68" s="203"/>
      <c r="I68" s="203"/>
      <c r="J68" s="203"/>
      <c r="K68" s="203"/>
      <c r="L68" s="203"/>
      <c r="M68" s="203"/>
      <c r="N68" s="199"/>
      <c r="O68" s="199"/>
      <c r="P68" s="199"/>
      <c r="Q68" s="199"/>
      <c r="R68" s="199"/>
      <c r="S68" s="199"/>
    </row>
    <row r="69" spans="1:19" x14ac:dyDescent="0.25">
      <c r="A69" s="196"/>
      <c r="B69" s="196"/>
      <c r="C69" s="196"/>
      <c r="D69" s="198"/>
      <c r="E69" s="108"/>
      <c r="F69" s="203"/>
      <c r="G69" s="203"/>
      <c r="H69" s="203"/>
      <c r="I69" s="203"/>
      <c r="J69" s="203"/>
      <c r="K69" s="203"/>
      <c r="L69" s="203"/>
      <c r="M69" s="203"/>
      <c r="N69" s="199"/>
      <c r="O69" s="199"/>
      <c r="P69" s="199"/>
      <c r="Q69" s="199"/>
      <c r="R69" s="199"/>
      <c r="S69" s="199"/>
    </row>
    <row r="70" spans="1:19" x14ac:dyDescent="0.25">
      <c r="A70" s="196"/>
      <c r="B70" s="196"/>
      <c r="C70" s="196"/>
      <c r="D70" s="198"/>
      <c r="E70" s="108"/>
      <c r="F70" s="203"/>
      <c r="G70" s="203"/>
      <c r="H70" s="203"/>
      <c r="I70" s="203"/>
      <c r="J70" s="203"/>
      <c r="K70" s="203"/>
      <c r="L70" s="203"/>
      <c r="M70" s="203"/>
      <c r="N70" s="199"/>
      <c r="O70" s="199"/>
      <c r="P70" s="199"/>
      <c r="Q70" s="199"/>
      <c r="R70" s="199"/>
      <c r="S70" s="199"/>
    </row>
    <row r="71" spans="1:19" x14ac:dyDescent="0.25">
      <c r="A71" s="196"/>
      <c r="B71" s="196"/>
      <c r="C71" s="196"/>
      <c r="D71" s="198"/>
      <c r="E71" s="108"/>
      <c r="F71" s="203"/>
      <c r="G71" s="203"/>
      <c r="H71" s="203"/>
      <c r="I71" s="203"/>
      <c r="J71" s="203"/>
      <c r="K71" s="203"/>
      <c r="L71" s="203"/>
      <c r="M71" s="203"/>
      <c r="N71" s="199"/>
    </row>
    <row r="72" spans="1:19" x14ac:dyDescent="0.25">
      <c r="A72" s="196"/>
      <c r="B72" s="196"/>
      <c r="C72" s="196"/>
      <c r="D72" s="198"/>
      <c r="E72" s="108"/>
      <c r="F72" s="203"/>
      <c r="G72" s="203"/>
      <c r="H72" s="203"/>
      <c r="I72" s="203"/>
      <c r="J72" s="203"/>
      <c r="K72" s="203"/>
      <c r="L72" s="203"/>
      <c r="M72" s="203"/>
      <c r="N72" s="199"/>
    </row>
    <row r="73" spans="1:19" x14ac:dyDescent="0.25">
      <c r="A73" s="196"/>
      <c r="B73" s="196"/>
      <c r="C73" s="196"/>
      <c r="D73" s="198"/>
      <c r="E73" s="108"/>
      <c r="F73" s="203"/>
      <c r="G73" s="203"/>
      <c r="H73" s="203"/>
      <c r="I73" s="203"/>
      <c r="J73" s="203"/>
      <c r="K73" s="203"/>
      <c r="L73" s="203"/>
      <c r="M73" s="203"/>
      <c r="N73" s="199"/>
    </row>
    <row r="74" spans="1:19" x14ac:dyDescent="0.25">
      <c r="A74" s="196"/>
      <c r="B74" s="196"/>
      <c r="C74" s="196"/>
      <c r="D74" s="198"/>
      <c r="E74" s="108"/>
      <c r="F74" s="203"/>
      <c r="G74" s="203"/>
      <c r="H74" s="203"/>
      <c r="I74" s="203"/>
      <c r="J74" s="203"/>
      <c r="K74" s="203"/>
      <c r="L74" s="203"/>
      <c r="M74" s="203"/>
      <c r="N74" s="199"/>
    </row>
    <row r="75" spans="1:19" x14ac:dyDescent="0.25">
      <c r="A75" s="196"/>
      <c r="B75" s="196"/>
      <c r="C75" s="196"/>
      <c r="D75" s="198"/>
      <c r="E75" s="108"/>
      <c r="F75" s="203"/>
      <c r="G75" s="203"/>
      <c r="H75" s="203"/>
      <c r="I75" s="203"/>
      <c r="J75" s="203"/>
      <c r="K75" s="203"/>
      <c r="L75" s="203"/>
      <c r="M75" s="203"/>
      <c r="N75" s="199"/>
    </row>
    <row r="76" spans="1:19" x14ac:dyDescent="0.25">
      <c r="A76" s="196"/>
      <c r="B76" s="196"/>
      <c r="C76" s="196"/>
      <c r="D76" s="198"/>
      <c r="E76" s="108"/>
      <c r="F76" s="203"/>
      <c r="G76" s="203"/>
      <c r="H76" s="203"/>
      <c r="I76" s="203"/>
      <c r="J76" s="203"/>
      <c r="K76" s="203"/>
      <c r="L76" s="203"/>
      <c r="M76" s="203"/>
      <c r="N76" s="199"/>
    </row>
    <row r="77" spans="1:19" x14ac:dyDescent="0.25">
      <c r="A77" s="196"/>
      <c r="B77" s="196"/>
      <c r="C77" s="196"/>
      <c r="D77" s="198"/>
      <c r="E77" s="108"/>
      <c r="F77" s="203"/>
      <c r="G77" s="203"/>
      <c r="H77" s="203"/>
      <c r="I77" s="203"/>
      <c r="J77" s="203"/>
      <c r="K77" s="203"/>
      <c r="L77" s="203"/>
      <c r="M77" s="203"/>
      <c r="N77" s="199"/>
    </row>
    <row r="78" spans="1:19" x14ac:dyDescent="0.25">
      <c r="A78" s="196"/>
      <c r="B78" s="196"/>
      <c r="C78" s="196"/>
      <c r="D78" s="198"/>
      <c r="E78" s="108"/>
      <c r="F78" s="203"/>
      <c r="G78" s="203"/>
      <c r="H78" s="203"/>
      <c r="I78" s="203"/>
      <c r="J78" s="203"/>
      <c r="K78" s="203"/>
      <c r="L78" s="203"/>
      <c r="M78" s="203"/>
      <c r="N78" s="199"/>
    </row>
    <row r="79" spans="1:19" x14ac:dyDescent="0.25">
      <c r="A79" s="196"/>
      <c r="B79" s="196"/>
      <c r="C79" s="196"/>
      <c r="D79" s="198"/>
      <c r="E79" s="108"/>
      <c r="F79" s="203"/>
      <c r="G79" s="203"/>
      <c r="H79" s="203"/>
      <c r="I79" s="203"/>
      <c r="J79" s="203"/>
      <c r="K79" s="203"/>
      <c r="L79" s="203"/>
      <c r="M79" s="203"/>
      <c r="N79" s="199"/>
    </row>
    <row r="80" spans="1:19" x14ac:dyDescent="0.25">
      <c r="A80" s="196"/>
      <c r="B80" s="196"/>
      <c r="C80" s="196"/>
      <c r="D80" s="198"/>
      <c r="E80" s="108"/>
      <c r="F80" s="203"/>
      <c r="G80" s="203"/>
      <c r="H80" s="203"/>
      <c r="I80" s="203"/>
      <c r="J80" s="203"/>
      <c r="K80" s="203"/>
      <c r="L80" s="203"/>
      <c r="M80" s="203"/>
      <c r="N80" s="199"/>
    </row>
    <row r="81" spans="1:14" x14ac:dyDescent="0.25">
      <c r="A81" s="196"/>
      <c r="B81" s="196"/>
      <c r="C81" s="196"/>
      <c r="D81" s="198"/>
      <c r="E81" s="108"/>
      <c r="F81" s="203"/>
      <c r="G81" s="203"/>
      <c r="H81" s="203"/>
      <c r="I81" s="203"/>
      <c r="J81" s="203"/>
      <c r="K81" s="203"/>
      <c r="L81" s="203"/>
      <c r="M81" s="203"/>
      <c r="N81" s="199"/>
    </row>
    <row r="82" spans="1:14" x14ac:dyDescent="0.25">
      <c r="A82" s="196"/>
      <c r="B82" s="196"/>
      <c r="C82" s="196"/>
      <c r="D82" s="198"/>
      <c r="E82" s="108"/>
      <c r="F82" s="203"/>
      <c r="G82" s="203"/>
      <c r="H82" s="203"/>
      <c r="I82" s="203"/>
      <c r="J82" s="203"/>
      <c r="K82" s="203"/>
      <c r="L82" s="203"/>
      <c r="M82" s="203"/>
      <c r="N82" s="199"/>
    </row>
    <row r="83" spans="1:14" x14ac:dyDescent="0.25">
      <c r="F83" s="203"/>
      <c r="G83" s="203"/>
      <c r="H83" s="203"/>
      <c r="I83" s="203"/>
      <c r="J83" s="203"/>
      <c r="K83" s="203"/>
      <c r="L83" s="203"/>
      <c r="M83" s="203"/>
      <c r="N83" s="199"/>
    </row>
  </sheetData>
  <autoFilter ref="A22:E82"/>
  <mergeCells count="13">
    <mergeCell ref="O9:S9"/>
    <mergeCell ref="O10:P10"/>
    <mergeCell ref="R10:S10"/>
    <mergeCell ref="A15:E15"/>
    <mergeCell ref="H15:L15"/>
    <mergeCell ref="A21:E21"/>
    <mergeCell ref="H21:L21"/>
    <mergeCell ref="A2:E2"/>
    <mergeCell ref="H2:L2"/>
    <mergeCell ref="A3:E3"/>
    <mergeCell ref="A8:L8"/>
    <mergeCell ref="A9:E9"/>
    <mergeCell ref="H9:L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5" customWidth="1"/>
    <col min="2" max="2" width="18.42578125" style="65"/>
    <col min="3" max="3" width="25.28515625" style="72" customWidth="1"/>
    <col min="4" max="4" width="34.7109375" style="65" customWidth="1"/>
    <col min="5" max="5" width="50.42578125" style="65" customWidth="1"/>
    <col min="6" max="16384" width="18.42578125" style="65"/>
  </cols>
  <sheetData>
    <row r="1" spans="1:5" x14ac:dyDescent="0.25">
      <c r="A1" s="62">
        <v>43922</v>
      </c>
      <c r="B1" s="63"/>
      <c r="C1" s="64"/>
      <c r="D1" s="63"/>
    </row>
    <row r="2" spans="1:5" s="84" customFormat="1" ht="12.75" x14ac:dyDescent="0.2">
      <c r="A2" s="88" t="s">
        <v>21</v>
      </c>
      <c r="B2" s="89" t="s">
        <v>24</v>
      </c>
      <c r="C2" s="90" t="s">
        <v>20</v>
      </c>
      <c r="D2" s="89" t="s">
        <v>20</v>
      </c>
      <c r="E2" s="84" t="s">
        <v>97</v>
      </c>
    </row>
    <row r="3" spans="1:5" s="84" customFormat="1" ht="12.75" x14ac:dyDescent="0.2">
      <c r="A3" s="106" t="s">
        <v>119</v>
      </c>
      <c r="B3" s="104" t="s">
        <v>98</v>
      </c>
      <c r="C3" s="105" t="s">
        <v>99</v>
      </c>
      <c r="D3" s="104" t="str">
        <f>A51</f>
        <v>Отказ в установлении</v>
      </c>
    </row>
    <row r="4" spans="1:5" s="84" customFormat="1" ht="12.75" x14ac:dyDescent="0.2">
      <c r="A4" s="91" t="s">
        <v>105</v>
      </c>
      <c r="B4" s="92">
        <v>43949</v>
      </c>
      <c r="C4" s="90" t="s">
        <v>120</v>
      </c>
      <c r="D4" s="89" t="str">
        <f>A50</f>
        <v>Установление/Увеличение лимита</v>
      </c>
    </row>
    <row r="5" spans="1:5" s="84" customFormat="1" ht="12.75" x14ac:dyDescent="0.2">
      <c r="A5" s="91" t="s">
        <v>117</v>
      </c>
      <c r="B5" s="89" t="s">
        <v>98</v>
      </c>
      <c r="C5" s="90" t="s">
        <v>121</v>
      </c>
      <c r="D5" s="89" t="str">
        <f>A49</f>
        <v>Закрытие / Приостановление</v>
      </c>
    </row>
    <row r="6" spans="1:5" s="84" customFormat="1" ht="12.75" x14ac:dyDescent="0.2">
      <c r="A6" s="91" t="s">
        <v>118</v>
      </c>
      <c r="B6" s="89" t="s">
        <v>98</v>
      </c>
      <c r="C6" s="90" t="s">
        <v>121</v>
      </c>
      <c r="D6" s="89" t="str">
        <f>A49</f>
        <v>Закрытие / Приостановление</v>
      </c>
    </row>
    <row r="7" spans="1:5" s="84" customFormat="1" ht="12.75" x14ac:dyDescent="0.2">
      <c r="A7" s="103" t="s">
        <v>101</v>
      </c>
      <c r="B7" s="104" t="s">
        <v>98</v>
      </c>
      <c r="C7" s="105"/>
      <c r="D7" s="104" t="str">
        <f>A52</f>
        <v>Аналитическая справка</v>
      </c>
    </row>
    <row r="8" spans="1:5" s="84" customFormat="1" ht="12.75" x14ac:dyDescent="0.2">
      <c r="A8" s="103" t="s">
        <v>104</v>
      </c>
      <c r="B8" s="104" t="s">
        <v>98</v>
      </c>
      <c r="C8" s="105"/>
      <c r="D8" s="104" t="str">
        <f>A52</f>
        <v>Аналитическая справка</v>
      </c>
    </row>
    <row r="9" spans="1:5" s="84" customFormat="1" ht="12.75" x14ac:dyDescent="0.2">
      <c r="A9" s="103" t="s">
        <v>122</v>
      </c>
      <c r="B9" s="104" t="s">
        <v>98</v>
      </c>
      <c r="C9" s="105"/>
      <c r="D9" s="104" t="str">
        <f>A52</f>
        <v>Аналитическая справка</v>
      </c>
    </row>
    <row r="10" spans="1:5" s="84" customFormat="1" ht="12.75" x14ac:dyDescent="0.2">
      <c r="A10" s="106" t="s">
        <v>100</v>
      </c>
      <c r="B10" s="104" t="s">
        <v>98</v>
      </c>
      <c r="C10" s="105"/>
      <c r="D10" s="104" t="str">
        <f>A52</f>
        <v>Аналитическая справка</v>
      </c>
    </row>
    <row r="11" spans="1:5" s="84" customFormat="1" ht="12.75" x14ac:dyDescent="0.2">
      <c r="A11" s="106" t="s">
        <v>123</v>
      </c>
      <c r="B11" s="104" t="s">
        <v>98</v>
      </c>
      <c r="C11" s="105"/>
      <c r="D11" s="104" t="str">
        <f>A52</f>
        <v>Аналитическая справка</v>
      </c>
    </row>
    <row r="12" spans="1:5" s="84" customFormat="1" ht="12.75" x14ac:dyDescent="0.2">
      <c r="A12" s="103" t="s">
        <v>124</v>
      </c>
      <c r="B12" s="104" t="s">
        <v>98</v>
      </c>
      <c r="C12" s="105"/>
      <c r="D12" s="104" t="str">
        <f>A52</f>
        <v>Аналитическая справка</v>
      </c>
    </row>
    <row r="13" spans="1:5" s="84" customFormat="1" ht="12.75" x14ac:dyDescent="0.2">
      <c r="A13" s="103" t="s">
        <v>105</v>
      </c>
      <c r="B13" s="104" t="s">
        <v>98</v>
      </c>
      <c r="C13" s="105"/>
      <c r="D13" s="104" t="str">
        <f>A52</f>
        <v>Аналитическая справка</v>
      </c>
    </row>
    <row r="14" spans="1:5" s="84" customFormat="1" ht="12.75" x14ac:dyDescent="0.2">
      <c r="A14" s="103" t="s">
        <v>125</v>
      </c>
      <c r="B14" s="104" t="s">
        <v>98</v>
      </c>
      <c r="C14" s="105"/>
      <c r="D14" s="104" t="str">
        <f>A52</f>
        <v>Аналитическая справка</v>
      </c>
    </row>
    <row r="15" spans="1:5" s="84" customFormat="1" ht="12.75" x14ac:dyDescent="0.2">
      <c r="A15" s="103" t="s">
        <v>126</v>
      </c>
      <c r="B15" s="104" t="s">
        <v>98</v>
      </c>
      <c r="C15" s="105"/>
      <c r="D15" s="104" t="str">
        <f>A52</f>
        <v>Аналитическая справка</v>
      </c>
    </row>
    <row r="16" spans="1:5" s="84" customFormat="1" ht="12.75" hidden="1" x14ac:dyDescent="0.2">
      <c r="A16" s="85"/>
      <c r="B16" s="82"/>
      <c r="C16" s="83"/>
      <c r="D16" s="82"/>
    </row>
    <row r="17" spans="1:5" s="84" customFormat="1" ht="12.75" hidden="1" x14ac:dyDescent="0.2">
      <c r="A17" s="85"/>
      <c r="B17" s="82"/>
      <c r="C17" s="83"/>
      <c r="D17" s="82"/>
    </row>
    <row r="18" spans="1:5" s="84" customFormat="1" ht="12.75" hidden="1" x14ac:dyDescent="0.2">
      <c r="A18" s="85"/>
      <c r="B18" s="82"/>
      <c r="C18" s="83"/>
      <c r="D18" s="85"/>
    </row>
    <row r="19" spans="1:5" s="84" customFormat="1" ht="12.75" hidden="1" x14ac:dyDescent="0.2">
      <c r="A19" s="85"/>
      <c r="B19" s="82"/>
      <c r="C19" s="83"/>
      <c r="D19" s="85"/>
    </row>
    <row r="20" spans="1:5" s="84" customFormat="1" ht="12.75" hidden="1" x14ac:dyDescent="0.2">
      <c r="A20" s="85"/>
      <c r="B20" s="82"/>
      <c r="C20" s="83"/>
      <c r="D20" s="85"/>
    </row>
    <row r="21" spans="1:5" s="84" customFormat="1" ht="12.75" hidden="1" x14ac:dyDescent="0.2">
      <c r="A21" s="85"/>
      <c r="B21" s="82"/>
      <c r="C21" s="83"/>
      <c r="D21" s="85"/>
    </row>
    <row r="22" spans="1:5" s="84" customFormat="1" ht="12.75" hidden="1" x14ac:dyDescent="0.2">
      <c r="A22" s="85"/>
      <c r="B22" s="82"/>
      <c r="C22" s="83"/>
      <c r="D22" s="85"/>
    </row>
    <row r="23" spans="1:5" s="84" customFormat="1" ht="12.75" hidden="1" x14ac:dyDescent="0.2">
      <c r="A23" s="85"/>
      <c r="B23" s="82"/>
      <c r="C23" s="83"/>
      <c r="D23" s="85"/>
    </row>
    <row r="24" spans="1:5" s="84" customFormat="1" ht="12.75" x14ac:dyDescent="0.2">
      <c r="A24" s="85"/>
      <c r="B24" s="82"/>
      <c r="C24" s="83"/>
      <c r="D24" s="85"/>
    </row>
    <row r="25" spans="1:5" x14ac:dyDescent="0.25">
      <c r="A25" s="69"/>
      <c r="B25" s="70"/>
      <c r="C25" s="71"/>
      <c r="D25" s="69"/>
    </row>
    <row r="26" spans="1:5" x14ac:dyDescent="0.25">
      <c r="A26" s="88" t="s">
        <v>34</v>
      </c>
      <c r="B26" s="99" t="s">
        <v>24</v>
      </c>
      <c r="C26" s="100" t="s">
        <v>20</v>
      </c>
      <c r="D26" s="99" t="s">
        <v>20</v>
      </c>
    </row>
    <row r="27" spans="1:5" x14ac:dyDescent="0.25">
      <c r="A27" s="88"/>
      <c r="B27" s="99"/>
      <c r="C27" s="100"/>
      <c r="D27" s="99"/>
    </row>
    <row r="28" spans="1:5" hidden="1" x14ac:dyDescent="0.25">
      <c r="A28" s="66"/>
      <c r="B28" s="67"/>
      <c r="C28" s="68"/>
      <c r="D28" s="67"/>
    </row>
    <row r="29" spans="1:5" ht="30" hidden="1" x14ac:dyDescent="0.25">
      <c r="A29" s="66"/>
      <c r="B29" s="67"/>
      <c r="C29" s="68"/>
      <c r="D29" s="67"/>
      <c r="E29" s="72" t="s">
        <v>41</v>
      </c>
    </row>
    <row r="30" spans="1:5" hidden="1" x14ac:dyDescent="0.25">
      <c r="A30" s="66"/>
      <c r="B30" s="67"/>
      <c r="C30" s="68"/>
      <c r="D30" s="67"/>
    </row>
    <row r="31" spans="1:5" hidden="1" x14ac:dyDescent="0.25">
      <c r="A31" s="66"/>
      <c r="B31" s="67"/>
      <c r="C31" s="68"/>
      <c r="D31" s="67"/>
    </row>
    <row r="32" spans="1:5" hidden="1" x14ac:dyDescent="0.25">
      <c r="A32" s="66"/>
      <c r="B32" s="67"/>
      <c r="C32" s="68"/>
      <c r="D32" s="67"/>
    </row>
    <row r="33" spans="1:5" hidden="1" x14ac:dyDescent="0.25">
      <c r="A33" s="67"/>
      <c r="B33" s="73"/>
      <c r="C33" s="68"/>
      <c r="D33" s="67"/>
    </row>
    <row r="34" spans="1:5" hidden="1" x14ac:dyDescent="0.25">
      <c r="A34" s="67"/>
      <c r="B34" s="73"/>
      <c r="C34" s="68"/>
      <c r="D34" s="67"/>
    </row>
    <row r="35" spans="1:5" hidden="1" x14ac:dyDescent="0.25">
      <c r="A35" s="67"/>
      <c r="B35" s="73"/>
      <c r="C35" s="68"/>
      <c r="D35" s="67"/>
    </row>
    <row r="36" spans="1:5" hidden="1" x14ac:dyDescent="0.25">
      <c r="A36" s="67"/>
      <c r="B36" s="73"/>
      <c r="C36" s="68"/>
      <c r="D36" s="67"/>
    </row>
    <row r="37" spans="1:5" hidden="1" x14ac:dyDescent="0.25">
      <c r="A37" s="67"/>
      <c r="B37" s="73"/>
      <c r="C37" s="68"/>
      <c r="D37" s="67"/>
    </row>
    <row r="38" spans="1:5" hidden="1" x14ac:dyDescent="0.25">
      <c r="A38" s="67"/>
      <c r="B38" s="73"/>
      <c r="C38" s="68"/>
      <c r="D38" s="67"/>
    </row>
    <row r="39" spans="1:5" hidden="1" x14ac:dyDescent="0.25">
      <c r="A39" s="67"/>
      <c r="B39" s="73"/>
      <c r="C39" s="68"/>
      <c r="D39" s="67"/>
    </row>
    <row r="40" spans="1:5" hidden="1" x14ac:dyDescent="0.25">
      <c r="A40" s="67"/>
      <c r="B40" s="73"/>
      <c r="C40" s="68"/>
      <c r="D40" s="67"/>
    </row>
    <row r="41" spans="1:5" hidden="1" x14ac:dyDescent="0.25">
      <c r="A41" s="74"/>
      <c r="B41" s="75"/>
      <c r="C41" s="76"/>
      <c r="D41" s="74"/>
    </row>
    <row r="42" spans="1:5" hidden="1" x14ac:dyDescent="0.25">
      <c r="A42" s="74"/>
      <c r="B42" s="75"/>
      <c r="C42" s="76"/>
      <c r="D42" s="74"/>
    </row>
    <row r="43" spans="1:5" hidden="1" x14ac:dyDescent="0.25"/>
    <row r="46" spans="1:5" s="93" customFormat="1" x14ac:dyDescent="0.25">
      <c r="A46" s="9"/>
      <c r="B46" s="9" t="s">
        <v>21</v>
      </c>
      <c r="C46" s="9" t="s">
        <v>22</v>
      </c>
      <c r="D46" s="9" t="s">
        <v>28</v>
      </c>
      <c r="E46" s="9" t="s">
        <v>35</v>
      </c>
    </row>
    <row r="47" spans="1:5" s="93" customFormat="1" hidden="1" x14ac:dyDescent="0.25">
      <c r="A47" s="94" t="s">
        <v>25</v>
      </c>
      <c r="B47" s="94">
        <f>SUM(B48:B53)</f>
        <v>13</v>
      </c>
      <c r="C47" s="94">
        <f>SUM(C48:C51)</f>
        <v>0</v>
      </c>
      <c r="D47" s="94">
        <f>SUM(D48:D51)</f>
        <v>4</v>
      </c>
      <c r="E47" s="95"/>
    </row>
    <row r="48" spans="1:5" s="98" customFormat="1" x14ac:dyDescent="0.25">
      <c r="A48" s="96" t="s">
        <v>23</v>
      </c>
      <c r="B48" s="96"/>
      <c r="C48" s="96"/>
      <c r="D48" s="96">
        <f>B48+C48</f>
        <v>0</v>
      </c>
      <c r="E48" s="97" t="s">
        <v>131</v>
      </c>
    </row>
    <row r="49" spans="1:5" s="72" customFormat="1" ht="30" x14ac:dyDescent="0.25">
      <c r="A49" s="96" t="s">
        <v>26</v>
      </c>
      <c r="B49" s="96">
        <v>2</v>
      </c>
      <c r="C49" s="77"/>
      <c r="D49" s="96">
        <f>B49+C49</f>
        <v>2</v>
      </c>
      <c r="E49" s="101" t="s">
        <v>129</v>
      </c>
    </row>
    <row r="50" spans="1:5" s="72" customFormat="1" ht="30" x14ac:dyDescent="0.25">
      <c r="A50" s="96" t="s">
        <v>27</v>
      </c>
      <c r="B50" s="96">
        <v>1</v>
      </c>
      <c r="C50" s="77"/>
      <c r="D50" s="96">
        <f t="shared" ref="D50:D53" si="0">B50+C50</f>
        <v>1</v>
      </c>
      <c r="E50" s="102" t="s">
        <v>127</v>
      </c>
    </row>
    <row r="51" spans="1:5" s="98" customFormat="1" ht="30" x14ac:dyDescent="0.25">
      <c r="A51" s="96" t="s">
        <v>32</v>
      </c>
      <c r="B51" s="96">
        <v>1</v>
      </c>
      <c r="C51" s="96"/>
      <c r="D51" s="96">
        <f t="shared" si="0"/>
        <v>1</v>
      </c>
      <c r="E51" s="96" t="s">
        <v>128</v>
      </c>
    </row>
    <row r="52" spans="1:5" s="98" customFormat="1" ht="30" x14ac:dyDescent="0.25">
      <c r="A52" s="96" t="s">
        <v>33</v>
      </c>
      <c r="B52" s="96">
        <v>9</v>
      </c>
      <c r="C52" s="96"/>
      <c r="D52" s="96">
        <f t="shared" si="0"/>
        <v>9</v>
      </c>
      <c r="E52" s="96" t="s">
        <v>130</v>
      </c>
    </row>
    <row r="53" spans="1:5" s="72" customFormat="1" x14ac:dyDescent="0.25">
      <c r="A53" s="96" t="s">
        <v>31</v>
      </c>
      <c r="B53" s="77"/>
      <c r="C53" s="77"/>
      <c r="D53" s="96">
        <f t="shared" si="0"/>
        <v>0</v>
      </c>
      <c r="E53" s="77"/>
    </row>
    <row r="56" spans="1:5" x14ac:dyDescent="0.25">
      <c r="A56" s="65">
        <f>B50+C50</f>
        <v>1</v>
      </c>
    </row>
    <row r="58" spans="1:5" x14ac:dyDescent="0.25">
      <c r="A58" s="65">
        <f>B48+B50+C50+B51+C384+B49</f>
        <v>4</v>
      </c>
    </row>
    <row r="66" spans="1:1" x14ac:dyDescent="0.25">
      <c r="A66" s="65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2024-04-18T10:07:19Z</dcterms:modified>
</cp:coreProperties>
</file>